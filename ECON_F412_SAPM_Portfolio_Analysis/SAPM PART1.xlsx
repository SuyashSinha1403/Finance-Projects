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 and ID" sheetId="1" r:id="rId4"/>
    <sheet state="visible" name="PART I, (A,B,C,D,E,F)" sheetId="2" r:id="rId5"/>
    <sheet state="visible" name="PART 1 (G)" sheetId="3" r:id="rId6"/>
    <sheet state="visible" name="vi" sheetId="4" r:id="rId7"/>
    <sheet state="visible" name="Tejas network " sheetId="5" r:id="rId8"/>
    <sheet state="visible" name="ITC limited" sheetId="6" r:id="rId9"/>
  </sheets>
  <definedNames/>
  <calcPr/>
</workbook>
</file>

<file path=xl/sharedStrings.xml><?xml version="1.0" encoding="utf-8"?>
<sst xmlns="http://schemas.openxmlformats.org/spreadsheetml/2006/main" count="3871" uniqueCount="579">
  <si>
    <t>NAME</t>
  </si>
  <si>
    <t>ID</t>
  </si>
  <si>
    <t>MIRNAL GUPTA</t>
  </si>
  <si>
    <t>2022A1PS1354P</t>
  </si>
  <si>
    <t>SUYASH SINHA</t>
  </si>
  <si>
    <t>2022A5PS1447P</t>
  </si>
  <si>
    <t>MANAS JALAN</t>
  </si>
  <si>
    <t>2022A4PS0921P</t>
  </si>
  <si>
    <t>HARSH DADLANI</t>
  </si>
  <si>
    <t>2022ABPS1635P</t>
  </si>
  <si>
    <t>URMIL CHOUTANI</t>
  </si>
  <si>
    <t>2022ABPS1590P</t>
  </si>
  <si>
    <t>NAMAN PATEL</t>
  </si>
  <si>
    <t>2022ABPS1346P</t>
  </si>
  <si>
    <t>BHARTI AIRTEL LTD</t>
  </si>
  <si>
    <t>Chosen company is Airtel</t>
  </si>
  <si>
    <t>Date</t>
  </si>
  <si>
    <t>Price</t>
  </si>
  <si>
    <t>Change</t>
  </si>
  <si>
    <t>Change %</t>
  </si>
  <si>
    <t>QUESTION NO.</t>
  </si>
  <si>
    <t>28-03-2024</t>
  </si>
  <si>
    <t>(A)</t>
  </si>
  <si>
    <t>27-03-2024</t>
  </si>
  <si>
    <t>26-03-2024</t>
  </si>
  <si>
    <t>Erm</t>
  </si>
  <si>
    <t>The Annualised Average Return for Airtel is significantly lower than the industry average over the same period indicating underperformance despite giving strong returns.</t>
  </si>
  <si>
    <t>22-03-2024</t>
  </si>
  <si>
    <t>Rf</t>
  </si>
  <si>
    <t>(By taking averageof 3 year t-bill rate)</t>
  </si>
  <si>
    <t>21-03-2024</t>
  </si>
  <si>
    <t>20-03-2024</t>
  </si>
  <si>
    <t>Beta</t>
  </si>
  <si>
    <t>19-03-2024</t>
  </si>
  <si>
    <t>Beta(regression)</t>
  </si>
  <si>
    <t>Financial Year</t>
  </si>
  <si>
    <t>2021</t>
  </si>
  <si>
    <t>2022</t>
  </si>
  <si>
    <t>2023</t>
  </si>
  <si>
    <t>Airtel</t>
  </si>
  <si>
    <t>VI</t>
  </si>
  <si>
    <t>Tejas Network</t>
  </si>
  <si>
    <t>ITC Ltd</t>
  </si>
  <si>
    <t>Industry Avg</t>
  </si>
  <si>
    <t>18-03-2024</t>
  </si>
  <si>
    <t>Beta(average)</t>
  </si>
  <si>
    <t xml:space="preserve">Daily Average Return </t>
  </si>
  <si>
    <t>Annualised Average Return</t>
  </si>
  <si>
    <t>15-03-2024</t>
  </si>
  <si>
    <t>Premium</t>
  </si>
  <si>
    <t>Unique Risk</t>
  </si>
  <si>
    <t>14-03-2024</t>
  </si>
  <si>
    <t>Beta Premium</t>
  </si>
  <si>
    <t>Final Daily Average Return</t>
  </si>
  <si>
    <t>Systematic Risk</t>
  </si>
  <si>
    <t>13-03-2024</t>
  </si>
  <si>
    <t>Ke(ERi)</t>
  </si>
  <si>
    <t>Yearly Avearge Return</t>
  </si>
  <si>
    <t>WACC</t>
  </si>
  <si>
    <t>(Cost of equity)</t>
  </si>
  <si>
    <t xml:space="preserve"> Yearly Average Return</t>
  </si>
  <si>
    <t>Final Yearly Avearge Return</t>
  </si>
  <si>
    <t>29-02-2024</t>
  </si>
  <si>
    <t>28-02-2024</t>
  </si>
  <si>
    <t>(E)</t>
  </si>
  <si>
    <t>COST OF DEBT</t>
  </si>
  <si>
    <t>27-02-2024</t>
  </si>
  <si>
    <t>Year</t>
  </si>
  <si>
    <t>2024</t>
  </si>
  <si>
    <t>26-02-2024</t>
  </si>
  <si>
    <t>Total Debt (Millions)</t>
  </si>
  <si>
    <t>23-02-2024</t>
  </si>
  <si>
    <t>Interest Paid (Millions)</t>
  </si>
  <si>
    <t>1,18,617</t>
  </si>
  <si>
    <t>1,45,318</t>
  </si>
  <si>
    <t>1,32,208</t>
  </si>
  <si>
    <t>1,44,054</t>
  </si>
  <si>
    <t>22-02-2024</t>
  </si>
  <si>
    <t>Average Interest rate(%)</t>
  </si>
  <si>
    <t>21-02-2024</t>
  </si>
  <si>
    <t>Taxable income (Millions)</t>
  </si>
  <si>
    <t>This means using Normative tax for calculating cost of debt</t>
  </si>
  <si>
    <t>20-02-2024</t>
  </si>
  <si>
    <t>Tax Paid (Millions)</t>
  </si>
  <si>
    <t>19-02-2024</t>
  </si>
  <si>
    <t>Tax rate</t>
  </si>
  <si>
    <t>16-02-2024</t>
  </si>
  <si>
    <t>After Tax cost of debt</t>
  </si>
  <si>
    <t>15-02-2024</t>
  </si>
  <si>
    <t>Total Equity (Millions)</t>
  </si>
  <si>
    <t>The WACC for Airtel is lower than the industry average indicating Lower debt and equity financing compared to its peers.</t>
  </si>
  <si>
    <t>14-02-2024</t>
  </si>
  <si>
    <t>weight of debt</t>
  </si>
  <si>
    <t>Lower WACC means Airtel has a strong balance sheet and better capital allocation due to efficient financing through debt and equity.</t>
  </si>
  <si>
    <t>13-02-2024</t>
  </si>
  <si>
    <t>weight of debt(%)</t>
  </si>
  <si>
    <t>This provides Airtel a competitive advantage in funding future growth.</t>
  </si>
  <si>
    <t>weight of equity</t>
  </si>
  <si>
    <t>weight of equity(%)</t>
  </si>
  <si>
    <t>WACC(%)</t>
  </si>
  <si>
    <t>Average WACC</t>
  </si>
  <si>
    <t>31-01-2024</t>
  </si>
  <si>
    <t>30-01-2024</t>
  </si>
  <si>
    <t>29-01-2024</t>
  </si>
  <si>
    <t>25-01-2024</t>
  </si>
  <si>
    <t>24-01-2024</t>
  </si>
  <si>
    <t>23-01-2024</t>
  </si>
  <si>
    <t>20-01-2024</t>
  </si>
  <si>
    <t>19-01-2024</t>
  </si>
  <si>
    <t>18-01-2024</t>
  </si>
  <si>
    <t>17-01-2024</t>
  </si>
  <si>
    <t>16-01-2024</t>
  </si>
  <si>
    <t>15-01-2024</t>
  </si>
  <si>
    <t>(B)</t>
  </si>
  <si>
    <t xml:space="preserve">The unique risk for Airtel is significantly lower than the industry indicating that it is a safer investment as the stock is not particularly affected by </t>
  </si>
  <si>
    <t xml:space="preserve">firm specific risks </t>
  </si>
  <si>
    <t>Variance of the stock</t>
  </si>
  <si>
    <t>Variance of the market</t>
  </si>
  <si>
    <t>like management decisions and operational efficiency.</t>
  </si>
  <si>
    <t>29-12-2023</t>
  </si>
  <si>
    <t>28-12-2023</t>
  </si>
  <si>
    <t>27-12-2023</t>
  </si>
  <si>
    <t>(C)</t>
  </si>
  <si>
    <t>Unsystematic Risk</t>
  </si>
  <si>
    <t xml:space="preserve">The systematic risk for Airtel is lower than the industry leading to lower sensitivity to market wide movements. </t>
  </si>
  <si>
    <t>26-12-2023</t>
  </si>
  <si>
    <t xml:space="preserve">This indicates that Airtel will be more stable as compared to its peers in case of high market fluctuation making it a </t>
  </si>
  <si>
    <t>22-12-2023</t>
  </si>
  <si>
    <t>safe investment.</t>
  </si>
  <si>
    <t>21-12-2023</t>
  </si>
  <si>
    <t>20-12-2023</t>
  </si>
  <si>
    <t>(D)</t>
  </si>
  <si>
    <t>19-12-2023</t>
  </si>
  <si>
    <t>18-12-2023</t>
  </si>
  <si>
    <t>15-12-2023</t>
  </si>
  <si>
    <t>14-12-2023</t>
  </si>
  <si>
    <t>13-12-2023</t>
  </si>
  <si>
    <t>Dividend Yield</t>
  </si>
  <si>
    <t>Price of the stock (Rs)</t>
  </si>
  <si>
    <t>Dividend (Rs)</t>
  </si>
  <si>
    <t>30-11-2023</t>
  </si>
  <si>
    <t>29-11-2023</t>
  </si>
  <si>
    <t>28-11-2023</t>
  </si>
  <si>
    <t>24-11-2023</t>
  </si>
  <si>
    <t>23-11-2023</t>
  </si>
  <si>
    <t>22-11-2023</t>
  </si>
  <si>
    <t>21-11-2023</t>
  </si>
  <si>
    <t>20-11-2023</t>
  </si>
  <si>
    <t>17-11-2023</t>
  </si>
  <si>
    <t>16-11-2023</t>
  </si>
  <si>
    <t>15-11-2023</t>
  </si>
  <si>
    <t>13-11-2023</t>
  </si>
  <si>
    <t>The dividend yield trends show a slight increase from 2022 (0.43%) to 2023 (0.46%), indicating improvement in shareholder returns via dividends.</t>
  </si>
  <si>
    <t>Trend Analysis:</t>
  </si>
  <si>
    <t>The company's dividend yield shows a positive trend, rising from 0.43% in 2022 to 0.46% in 2023, outperforming the sector average of 0.36%</t>
  </si>
  <si>
    <t>This reflects the company's improving financial stability and a shareholder-friendly approach, offering better returns than its peers despite modest overall yields.</t>
  </si>
  <si>
    <t>company operates in a growth-oriented sector with low dividend payouts.</t>
  </si>
  <si>
    <t>No dividends were paid in 2021 resulting in a 0% dividend yield.</t>
  </si>
  <si>
    <t>2022-2023: Dividend yields improved slightly but was under 1%, indicating a preference for reinvestment in growth over dividends which makes sense as the</t>
  </si>
  <si>
    <t>31-10-2023</t>
  </si>
  <si>
    <t>30-10-2023</t>
  </si>
  <si>
    <t>27-10-2023</t>
  </si>
  <si>
    <t>26-10-2023</t>
  </si>
  <si>
    <t>25-10-2023</t>
  </si>
  <si>
    <t>23-10-2023</t>
  </si>
  <si>
    <t>20-10-2023</t>
  </si>
  <si>
    <t>F)</t>
  </si>
  <si>
    <t>Market Risk (Beta):</t>
  </si>
  <si>
    <t>19-10-2023</t>
  </si>
  <si>
    <t>NIFTY 50 Beta: The NIFTY 50 index serves as a benchmark with a beta of 1.0. Individual stocks are compared against this to determine their volatility relative to the market.</t>
  </si>
  <si>
    <t>18-10-2023</t>
  </si>
  <si>
    <t>Comparison with Your Stock:</t>
  </si>
  <si>
    <t>17-10-2023</t>
  </si>
  <si>
    <t>Annualized Return: Your stock's annualized return is 33.94%, which is substantial.</t>
  </si>
  <si>
    <t>16-10-2023</t>
  </si>
  <si>
    <t>Beta: With a beta of 0.785, your stock is less volatile than the market, indicating lower systematic risk.</t>
  </si>
  <si>
    <t>13-10-2023</t>
  </si>
  <si>
    <t>Dividend Yield: The stock's dividend yield ranges from 0.43% to 0.46%, surpassing the sector average of 0.36%.</t>
  </si>
  <si>
    <t>Given the higher-than-average returns, lower volatility, and superior dividend yield compared to the sector, stock can be considered strong from a risk-reward perspective.</t>
  </si>
  <si>
    <t>29-09-2023</t>
  </si>
  <si>
    <t>28-09-2023</t>
  </si>
  <si>
    <t>27-09-2023</t>
  </si>
  <si>
    <t>26-09-2023</t>
  </si>
  <si>
    <t>25-09-2023</t>
  </si>
  <si>
    <t>22-09-2023</t>
  </si>
  <si>
    <t>21-09-2023</t>
  </si>
  <si>
    <t>20-09-2023</t>
  </si>
  <si>
    <t>18-09-2023</t>
  </si>
  <si>
    <t>15-09-2023</t>
  </si>
  <si>
    <t>14-09-2023</t>
  </si>
  <si>
    <t>13-09-2023</t>
  </si>
  <si>
    <t>31-08-2023</t>
  </si>
  <si>
    <t>30-08-2023</t>
  </si>
  <si>
    <t>29-08-2023</t>
  </si>
  <si>
    <t>28-08-2023</t>
  </si>
  <si>
    <t>25-08-2023</t>
  </si>
  <si>
    <t>24-08-2023</t>
  </si>
  <si>
    <t>23-08-2023</t>
  </si>
  <si>
    <t>22-08-2023</t>
  </si>
  <si>
    <t>21-08-2023</t>
  </si>
  <si>
    <t>18-08-2023</t>
  </si>
  <si>
    <t>17-08-2023</t>
  </si>
  <si>
    <t>16-08-2023</t>
  </si>
  <si>
    <t>14-08-2023</t>
  </si>
  <si>
    <t>31-07-2023</t>
  </si>
  <si>
    <t>28-07-2023</t>
  </si>
  <si>
    <t>27-07-2023</t>
  </si>
  <si>
    <t>26-07-2023</t>
  </si>
  <si>
    <t>25-07-2023</t>
  </si>
  <si>
    <t>24-07-2023</t>
  </si>
  <si>
    <t>21-07-2023</t>
  </si>
  <si>
    <t>20-07-2023</t>
  </si>
  <si>
    <t>19-07-2023</t>
  </si>
  <si>
    <t>18-07-2023</t>
  </si>
  <si>
    <t>17-07-2023</t>
  </si>
  <si>
    <t>14-07-2023</t>
  </si>
  <si>
    <t>13-07-2023</t>
  </si>
  <si>
    <t>30-06-2023</t>
  </si>
  <si>
    <t>28-06-2023</t>
  </si>
  <si>
    <t>27-06-2023</t>
  </si>
  <si>
    <t>26-06-2023</t>
  </si>
  <si>
    <t>23-06-2023</t>
  </si>
  <si>
    <t>22-06-2023</t>
  </si>
  <si>
    <t>21-06-2023</t>
  </si>
  <si>
    <t>20-06-2023</t>
  </si>
  <si>
    <t>19-06-2023</t>
  </si>
  <si>
    <t>16-06-2023</t>
  </si>
  <si>
    <t>15-06-2023</t>
  </si>
  <si>
    <t>14-06-2023</t>
  </si>
  <si>
    <t>13-06-2023</t>
  </si>
  <si>
    <t>31-05-2023</t>
  </si>
  <si>
    <t>30-05-2023</t>
  </si>
  <si>
    <t>29-05-2023</t>
  </si>
  <si>
    <t>26-05-2023</t>
  </si>
  <si>
    <t>25-05-2023</t>
  </si>
  <si>
    <t>24-05-2023</t>
  </si>
  <si>
    <t>23-05-2023</t>
  </si>
  <si>
    <t>22-05-2023</t>
  </si>
  <si>
    <t>19-05-2023</t>
  </si>
  <si>
    <t>18-05-2023</t>
  </si>
  <si>
    <t>17-05-2023</t>
  </si>
  <si>
    <t>16-05-2023</t>
  </si>
  <si>
    <t>15-05-2023</t>
  </si>
  <si>
    <t>28-04-2023</t>
  </si>
  <si>
    <t>27-04-2023</t>
  </si>
  <si>
    <t>26-04-2023</t>
  </si>
  <si>
    <t>25-04-2023</t>
  </si>
  <si>
    <t>24-04-2023</t>
  </si>
  <si>
    <t>21-04-2023</t>
  </si>
  <si>
    <t>20-04-2023</t>
  </si>
  <si>
    <t>19-04-2023</t>
  </si>
  <si>
    <t>18-04-2023</t>
  </si>
  <si>
    <t>17-04-2023</t>
  </si>
  <si>
    <t>13-04-2023</t>
  </si>
  <si>
    <t>31-03-2023</t>
  </si>
  <si>
    <t>29-03-2023</t>
  </si>
  <si>
    <t>28-03-2023</t>
  </si>
  <si>
    <t>27-03-2023</t>
  </si>
  <si>
    <t>24-03-2023</t>
  </si>
  <si>
    <t>23-03-2023</t>
  </si>
  <si>
    <t>22-03-2023</t>
  </si>
  <si>
    <t>21-03-2023</t>
  </si>
  <si>
    <t>20-03-2023</t>
  </si>
  <si>
    <t>17-03-2023</t>
  </si>
  <si>
    <t>16-03-2023</t>
  </si>
  <si>
    <t>15-03-2023</t>
  </si>
  <si>
    <t>14-03-2023</t>
  </si>
  <si>
    <t>13-03-2023</t>
  </si>
  <si>
    <t>28-02-2023</t>
  </si>
  <si>
    <t>27-02-2023</t>
  </si>
  <si>
    <t>24-02-2023</t>
  </si>
  <si>
    <t>23-02-2023</t>
  </si>
  <si>
    <t>22-02-2023</t>
  </si>
  <si>
    <t>21-02-2023</t>
  </si>
  <si>
    <t>20-02-2023</t>
  </si>
  <si>
    <t>17-02-2023</t>
  </si>
  <si>
    <t>16-02-2023</t>
  </si>
  <si>
    <t>15-02-2023</t>
  </si>
  <si>
    <t>14-02-2023</t>
  </si>
  <si>
    <t>13-02-2023</t>
  </si>
  <si>
    <t>31-01-2023</t>
  </si>
  <si>
    <t>30-01-2023</t>
  </si>
  <si>
    <t>27-01-2023</t>
  </si>
  <si>
    <t>25-01-2023</t>
  </si>
  <si>
    <t>24-01-2023</t>
  </si>
  <si>
    <t>23-01-2023</t>
  </si>
  <si>
    <t>20-01-2023</t>
  </si>
  <si>
    <t>19-01-2023</t>
  </si>
  <si>
    <t>18-01-2023</t>
  </si>
  <si>
    <t>17-01-2023</t>
  </si>
  <si>
    <t>16-01-2023</t>
  </si>
  <si>
    <t>13-01-2023</t>
  </si>
  <si>
    <t>30-12-2022</t>
  </si>
  <si>
    <t>29-12-2022</t>
  </si>
  <si>
    <t>28-12-2022</t>
  </si>
  <si>
    <t>27-12-2022</t>
  </si>
  <si>
    <t>26-12-2022</t>
  </si>
  <si>
    <t>23-12-2022</t>
  </si>
  <si>
    <t>22-12-2022</t>
  </si>
  <si>
    <t>21-12-2022</t>
  </si>
  <si>
    <t>20-12-2022</t>
  </si>
  <si>
    <t>19-12-2022</t>
  </si>
  <si>
    <t>16-12-2022</t>
  </si>
  <si>
    <t>15-12-2022</t>
  </si>
  <si>
    <t>14-12-2022</t>
  </si>
  <si>
    <t>13-12-2022</t>
  </si>
  <si>
    <t>30-11-2022</t>
  </si>
  <si>
    <t>29-11-2022</t>
  </si>
  <si>
    <t>28-11-2022</t>
  </si>
  <si>
    <t>25-11-2022</t>
  </si>
  <si>
    <t>24-11-2022</t>
  </si>
  <si>
    <t>23-11-2022</t>
  </si>
  <si>
    <t>22-11-2022</t>
  </si>
  <si>
    <t>21-11-2022</t>
  </si>
  <si>
    <t>18-11-2022</t>
  </si>
  <si>
    <t>17-11-2022</t>
  </si>
  <si>
    <t>16-11-2022</t>
  </si>
  <si>
    <t>15-11-2022</t>
  </si>
  <si>
    <t>14-11-2022</t>
  </si>
  <si>
    <t>31-10-2022</t>
  </si>
  <si>
    <t>28-10-2022</t>
  </si>
  <si>
    <t>27-10-2022</t>
  </si>
  <si>
    <t>25-10-2022</t>
  </si>
  <si>
    <t>24-10-2022</t>
  </si>
  <si>
    <t>21-10-2022</t>
  </si>
  <si>
    <t>20-10-2022</t>
  </si>
  <si>
    <t>19-10-2022</t>
  </si>
  <si>
    <t>18-10-2022</t>
  </si>
  <si>
    <t>17-10-2022</t>
  </si>
  <si>
    <t>14-10-2022</t>
  </si>
  <si>
    <t>13-10-2022</t>
  </si>
  <si>
    <t>30-09-2022</t>
  </si>
  <si>
    <t>29-09-2022</t>
  </si>
  <si>
    <t>28-09-2022</t>
  </si>
  <si>
    <t>27-09-2022</t>
  </si>
  <si>
    <t>26-09-2022</t>
  </si>
  <si>
    <t>23-09-2022</t>
  </si>
  <si>
    <t>22-09-2022</t>
  </si>
  <si>
    <t>21-09-2022</t>
  </si>
  <si>
    <t>20-09-2022</t>
  </si>
  <si>
    <t>19-09-2022</t>
  </si>
  <si>
    <t>16-09-2022</t>
  </si>
  <si>
    <t>15-09-2022</t>
  </si>
  <si>
    <t>14-09-2022</t>
  </si>
  <si>
    <t>13-09-2022</t>
  </si>
  <si>
    <t>30-08-2022</t>
  </si>
  <si>
    <t>29-08-2022</t>
  </si>
  <si>
    <t>26-08-2022</t>
  </si>
  <si>
    <t>25-08-2022</t>
  </si>
  <si>
    <t>24-08-2022</t>
  </si>
  <si>
    <t>23-08-2022</t>
  </si>
  <si>
    <t>22-08-2022</t>
  </si>
  <si>
    <t>19-08-2022</t>
  </si>
  <si>
    <t>18-08-2022</t>
  </si>
  <si>
    <t>17-08-2022</t>
  </si>
  <si>
    <t>16-08-2022</t>
  </si>
  <si>
    <t>29-07-2022</t>
  </si>
  <si>
    <t>28-07-2022</t>
  </si>
  <si>
    <t>27-07-2022</t>
  </si>
  <si>
    <t>26-07-2022</t>
  </si>
  <si>
    <t>25-07-2022</t>
  </si>
  <si>
    <t>22-07-2022</t>
  </si>
  <si>
    <t>21-07-2022</t>
  </si>
  <si>
    <t>20-07-2022</t>
  </si>
  <si>
    <t>19-07-2022</t>
  </si>
  <si>
    <t>18-07-2022</t>
  </si>
  <si>
    <t>15-07-2022</t>
  </si>
  <si>
    <t>14-07-2022</t>
  </si>
  <si>
    <t>13-07-2022</t>
  </si>
  <si>
    <t>30-06-2022</t>
  </si>
  <si>
    <t>29-06-2022</t>
  </si>
  <si>
    <t>28-06-2022</t>
  </si>
  <si>
    <t>27-06-2022</t>
  </si>
  <si>
    <t>24-06-2022</t>
  </si>
  <si>
    <t>23-06-2022</t>
  </si>
  <si>
    <t>22-06-2022</t>
  </si>
  <si>
    <t>21-06-2022</t>
  </si>
  <si>
    <t>20-06-2022</t>
  </si>
  <si>
    <t>17-06-2022</t>
  </si>
  <si>
    <t>16-06-2022</t>
  </si>
  <si>
    <t>15-06-2022</t>
  </si>
  <si>
    <t>14-06-2022</t>
  </si>
  <si>
    <t>13-06-2022</t>
  </si>
  <si>
    <t>31-05-2022</t>
  </si>
  <si>
    <t>30-05-2022</t>
  </si>
  <si>
    <t>27-05-2022</t>
  </si>
  <si>
    <t>26-05-2022</t>
  </si>
  <si>
    <t>25-05-2022</t>
  </si>
  <si>
    <t>24-05-2022</t>
  </si>
  <si>
    <t>23-05-2022</t>
  </si>
  <si>
    <t>20-05-2022</t>
  </si>
  <si>
    <t>19-05-2022</t>
  </si>
  <si>
    <t>18-05-2022</t>
  </si>
  <si>
    <t>17-05-2022</t>
  </si>
  <si>
    <t>16-05-2022</t>
  </si>
  <si>
    <t>13-05-2022</t>
  </si>
  <si>
    <t>29-04-2022</t>
  </si>
  <si>
    <t>28-04-2022</t>
  </si>
  <si>
    <t>27-04-2022</t>
  </si>
  <si>
    <t>26-04-2022</t>
  </si>
  <si>
    <t>25-04-2022</t>
  </si>
  <si>
    <t>22-04-2022</t>
  </si>
  <si>
    <t>21-04-2022</t>
  </si>
  <si>
    <t>20-04-2022</t>
  </si>
  <si>
    <t>19-04-2022</t>
  </si>
  <si>
    <t>18-04-2022</t>
  </si>
  <si>
    <t>13-04-2022</t>
  </si>
  <si>
    <t>31-03-2022</t>
  </si>
  <si>
    <t>30-03-2022</t>
  </si>
  <si>
    <t>29-03-2022</t>
  </si>
  <si>
    <t>28-03-2022</t>
  </si>
  <si>
    <t>25-03-2022</t>
  </si>
  <si>
    <t>24-03-2022</t>
  </si>
  <si>
    <t>23-03-2022</t>
  </si>
  <si>
    <t>22-03-2022</t>
  </si>
  <si>
    <t>21-03-2022</t>
  </si>
  <si>
    <t>17-03-2022</t>
  </si>
  <si>
    <t>16-03-2022</t>
  </si>
  <si>
    <t>15-03-2022</t>
  </si>
  <si>
    <t>14-03-2022</t>
  </si>
  <si>
    <t>28-02-2022</t>
  </si>
  <si>
    <t>25-02-2022</t>
  </si>
  <si>
    <t>24-02-2022</t>
  </si>
  <si>
    <t>23-02-2022</t>
  </si>
  <si>
    <t>22-02-2022</t>
  </si>
  <si>
    <t>21-02-2022</t>
  </si>
  <si>
    <t>18-02-2022</t>
  </si>
  <si>
    <t>17-02-2022</t>
  </si>
  <si>
    <t>16-02-2022</t>
  </si>
  <si>
    <t>15-02-2022</t>
  </si>
  <si>
    <t>14-02-2022</t>
  </si>
  <si>
    <t>31-01-2022</t>
  </si>
  <si>
    <t>28-01-2022</t>
  </si>
  <si>
    <t>27-01-2022</t>
  </si>
  <si>
    <t>25-01-2022</t>
  </si>
  <si>
    <t>24-01-2022</t>
  </si>
  <si>
    <t>21-01-2022</t>
  </si>
  <si>
    <t>20-01-2022</t>
  </si>
  <si>
    <t>19-01-2022</t>
  </si>
  <si>
    <t>18-01-2022</t>
  </si>
  <si>
    <t>17-01-2022</t>
  </si>
  <si>
    <t>14-01-2022</t>
  </si>
  <si>
    <t>13-01-2022</t>
  </si>
  <si>
    <t>31-12-2021</t>
  </si>
  <si>
    <t>30-12-2021</t>
  </si>
  <si>
    <t>29-12-2021</t>
  </si>
  <si>
    <t>28-12-2021</t>
  </si>
  <si>
    <t>27-12-2021</t>
  </si>
  <si>
    <t>24-12-2021</t>
  </si>
  <si>
    <t>23-12-2021</t>
  </si>
  <si>
    <t>22-12-2021</t>
  </si>
  <si>
    <t>21-12-2021</t>
  </si>
  <si>
    <t>20-12-2021</t>
  </si>
  <si>
    <t>17-12-2021</t>
  </si>
  <si>
    <t>16-12-2021</t>
  </si>
  <si>
    <t>15-12-2021</t>
  </si>
  <si>
    <t>14-12-2021</t>
  </si>
  <si>
    <t>13-12-2021</t>
  </si>
  <si>
    <t>30-11-2021</t>
  </si>
  <si>
    <t>29-11-2021</t>
  </si>
  <si>
    <t>26-11-2021</t>
  </si>
  <si>
    <t>25-11-2021</t>
  </si>
  <si>
    <t>24-11-2021</t>
  </si>
  <si>
    <t>23-11-2021</t>
  </si>
  <si>
    <t>22-11-2021</t>
  </si>
  <si>
    <t>18-11-2021</t>
  </si>
  <si>
    <t>17-11-2021</t>
  </si>
  <si>
    <t>16-11-2021</t>
  </si>
  <si>
    <t>15-11-2021</t>
  </si>
  <si>
    <t>29-10-2021</t>
  </si>
  <si>
    <t>28-10-2021</t>
  </si>
  <si>
    <t>27-10-2021</t>
  </si>
  <si>
    <t>26-10-2021</t>
  </si>
  <si>
    <t>25-10-2021</t>
  </si>
  <si>
    <t>22-10-2021</t>
  </si>
  <si>
    <t>21-10-2021</t>
  </si>
  <si>
    <t>20-10-2021</t>
  </si>
  <si>
    <t>19-10-2021</t>
  </si>
  <si>
    <t>18-10-2021</t>
  </si>
  <si>
    <t>14-10-2021</t>
  </si>
  <si>
    <t>13-10-2021</t>
  </si>
  <si>
    <t>30-09-2021</t>
  </si>
  <si>
    <t>29-09-2021</t>
  </si>
  <si>
    <t>28-09-2021</t>
  </si>
  <si>
    <t>27-09-2021</t>
  </si>
  <si>
    <t>24-09-2021</t>
  </si>
  <si>
    <t>23-09-2021</t>
  </si>
  <si>
    <t>22-09-2021</t>
  </si>
  <si>
    <t>21-09-2021</t>
  </si>
  <si>
    <t>20-09-2021</t>
  </si>
  <si>
    <t>17-09-2021</t>
  </si>
  <si>
    <t>16-09-2021</t>
  </si>
  <si>
    <t>15-09-2021</t>
  </si>
  <si>
    <t>14-09-2021</t>
  </si>
  <si>
    <t>13-09-2021</t>
  </si>
  <si>
    <t>31-08-2021</t>
  </si>
  <si>
    <t>30-08-2021</t>
  </si>
  <si>
    <t>27-08-2021</t>
  </si>
  <si>
    <t>26-08-2021</t>
  </si>
  <si>
    <t>25-08-2021</t>
  </si>
  <si>
    <t>24-08-2021</t>
  </si>
  <si>
    <t>23-08-2021</t>
  </si>
  <si>
    <t>20-08-2021</t>
  </si>
  <si>
    <t>18-08-2021</t>
  </si>
  <si>
    <t>17-08-2021</t>
  </si>
  <si>
    <t>16-08-2021</t>
  </si>
  <si>
    <t>13-08-2021</t>
  </si>
  <si>
    <t>30-07-2021</t>
  </si>
  <si>
    <t>29-07-2021</t>
  </si>
  <si>
    <t>28-07-2021</t>
  </si>
  <si>
    <t>27-07-2021</t>
  </si>
  <si>
    <t>26-07-2021</t>
  </si>
  <si>
    <t>23-07-2021</t>
  </si>
  <si>
    <t>22-07-2021</t>
  </si>
  <si>
    <t>20-07-2021</t>
  </si>
  <si>
    <t>19-07-2021</t>
  </si>
  <si>
    <t>16-07-2021</t>
  </si>
  <si>
    <t>15-07-2021</t>
  </si>
  <si>
    <t>14-07-2021</t>
  </si>
  <si>
    <t>13-07-2021</t>
  </si>
  <si>
    <t>30-06-2021</t>
  </si>
  <si>
    <t>29-06-2021</t>
  </si>
  <si>
    <t>28-06-2021</t>
  </si>
  <si>
    <t>25-06-2021</t>
  </si>
  <si>
    <t>24-06-2021</t>
  </si>
  <si>
    <t>23-06-2021</t>
  </si>
  <si>
    <t>22-06-2021</t>
  </si>
  <si>
    <t>21-06-2021</t>
  </si>
  <si>
    <t>18-06-2021</t>
  </si>
  <si>
    <t>17-06-2021</t>
  </si>
  <si>
    <t>16-06-2021</t>
  </si>
  <si>
    <t>15-06-2021</t>
  </si>
  <si>
    <t>14-06-2021</t>
  </si>
  <si>
    <t>31-05-2021</t>
  </si>
  <si>
    <t>28-05-2021</t>
  </si>
  <si>
    <t>27-05-2021</t>
  </si>
  <si>
    <t>26-05-2021</t>
  </si>
  <si>
    <t>25-05-2021</t>
  </si>
  <si>
    <t>24-05-2021</t>
  </si>
  <si>
    <t>21-05-2021</t>
  </si>
  <si>
    <t>20-05-2021</t>
  </si>
  <si>
    <t>19-05-2021</t>
  </si>
  <si>
    <t>18-05-2021</t>
  </si>
  <si>
    <t>17-05-2021</t>
  </si>
  <si>
    <t>14-05-2021</t>
  </si>
  <si>
    <t>30-04-2021</t>
  </si>
  <si>
    <t>29-04-2021</t>
  </si>
  <si>
    <t>28-04-2021</t>
  </si>
  <si>
    <t>27-04-2021</t>
  </si>
  <si>
    <t>26-04-2021</t>
  </si>
  <si>
    <t>23-04-2021</t>
  </si>
  <si>
    <t>22-04-2021</t>
  </si>
  <si>
    <t>20-04-2021</t>
  </si>
  <si>
    <t>19-04-2021</t>
  </si>
  <si>
    <t>16-04-2021</t>
  </si>
  <si>
    <t>15-04-2021</t>
  </si>
  <si>
    <t>13-04-2021</t>
  </si>
  <si>
    <t>Open</t>
  </si>
  <si>
    <t>High</t>
  </si>
  <si>
    <t>Low</t>
  </si>
  <si>
    <t>Volume(Millions)</t>
  </si>
  <si>
    <t>Change % vs. Date</t>
  </si>
  <si>
    <t>The stock shows fluctuations in daily percentage changes, mostly within ±2%, with occasional spikes.</t>
  </si>
  <si>
    <t>No distinct trend is observed; the movement appears range-bound, indicating indecision in the market or consolidation.</t>
  </si>
  <si>
    <t>Volume vs. Date</t>
  </si>
  <si>
    <t>Trading volumes generally show a declining trend over time.</t>
  </si>
  <si>
    <t>A sharp drop in volume around the middle of the observed period might indicate reduced market participation, followed by a partial recovery.</t>
  </si>
  <si>
    <t>This could suggest waning investor interest or reduced volatility.</t>
  </si>
  <si>
    <t>Change % vs. Volume</t>
  </si>
  <si>
    <t>Positive and negative percentage changes are spread across varying volumes.</t>
  </si>
  <si>
    <t>Larger price changes are more common during higher volume days, indicating that significant movements are likely driven by active trading or external triggers.</t>
  </si>
  <si>
    <t>Negative price changes appear correlated with moderate-to-high volumes, suggesting possible selling pressure during those periods.</t>
  </si>
  <si>
    <t>Price Movement: The stock lacks a clear trend, reflecting a consolidation phase or market indecision.</t>
  </si>
  <si>
    <t>Volume Decline: Reduced trading volume may indicate weakening investor interest or lower liquidity, which could affect future price movements.</t>
  </si>
  <si>
    <t>Correlation: Price changes driven by higher volumes suggest that market participants react strongly to certain triggers, possibly news or market events.</t>
  </si>
  <si>
    <t>Vodaphone Idea(VI) Ltd</t>
  </si>
  <si>
    <t>Peer Company</t>
  </si>
  <si>
    <t xml:space="preserve">Tejas Networks LTD </t>
  </si>
  <si>
    <t>ITC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</si>
</sst>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%"/>
    <numFmt numFmtId="165" formatCode="0.000000%"/>
    <numFmt numFmtId="166" formatCode="mm\-dd\-yyyy"/>
    <numFmt numFmtId="167" formatCode="m\-d\-yyyy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/>
  </fonts>
  <fills count="2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8FD7DC"/>
        <bgColor rgb="FF8FD7D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00FF99"/>
        <bgColor rgb="FF00FF99"/>
      </patternFill>
    </fill>
    <fill>
      <patternFill patternType="solid">
        <fgColor rgb="FF6AA84F"/>
        <bgColor rgb="FF6AA84F"/>
      </patternFill>
    </fill>
    <fill>
      <patternFill patternType="solid">
        <fgColor rgb="FFFFCCCC"/>
        <bgColor rgb="FFFFCCCC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00CCFF"/>
        <bgColor rgb="FF00CCF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1" fillId="3" fontId="2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/>
    </xf>
    <xf borderId="1" fillId="3" fontId="2" numFmtId="0" xfId="0" applyBorder="1" applyFont="1"/>
    <xf borderId="1" fillId="4" fontId="2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5" fontId="1" numFmtId="0" xfId="0" applyBorder="1" applyFont="1"/>
    <xf borderId="1" fillId="4" fontId="2" numFmtId="0" xfId="0" applyAlignment="1" applyBorder="1" applyFont="1">
      <alignment horizontal="left"/>
    </xf>
    <xf borderId="1" fillId="4" fontId="2" numFmtId="0" xfId="0" applyBorder="1" applyFont="1"/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6" fontId="2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left"/>
    </xf>
    <xf borderId="1" fillId="7" fontId="4" numFmtId="0" xfId="0" applyBorder="1" applyFont="1"/>
    <xf borderId="1" fillId="8" fontId="4" numFmtId="0" xfId="0" applyBorder="1" applyFill="1" applyFont="1"/>
    <xf borderId="1" fillId="9" fontId="2" numFmtId="0" xfId="0" applyAlignment="1" applyBorder="1" applyFill="1" applyFont="1">
      <alignment horizontal="center"/>
    </xf>
    <xf borderId="1" fillId="9" fontId="2" numFmtId="10" xfId="0" applyAlignment="1" applyBorder="1" applyFont="1" applyNumberFormat="1">
      <alignment horizontal="center"/>
    </xf>
    <xf borderId="1" fillId="7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2" fillId="0" fontId="4" numFmtId="0" xfId="0" applyBorder="1" applyFont="1"/>
    <xf borderId="2" fillId="8" fontId="4" numFmtId="0" xfId="0" applyBorder="1" applyFont="1"/>
    <xf borderId="2" fillId="10" fontId="4" numFmtId="0" xfId="0" applyBorder="1" applyFill="1" applyFont="1"/>
    <xf borderId="2" fillId="11" fontId="4" numFmtId="0" xfId="0" applyBorder="1" applyFill="1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Font="1"/>
    <xf borderId="1" fillId="8" fontId="2" numFmtId="0" xfId="0" applyAlignment="1" applyBorder="1" applyFont="1">
      <alignment horizontal="left"/>
    </xf>
    <xf borderId="2" fillId="8" fontId="4" numFmtId="10" xfId="0" applyBorder="1" applyFont="1" applyNumberFormat="1"/>
    <xf borderId="2" fillId="0" fontId="4" numFmtId="10" xfId="0" applyBorder="1" applyFont="1" applyNumberFormat="1"/>
    <xf borderId="0" fillId="0" fontId="2" numFmtId="166" xfId="0" applyAlignment="1" applyFont="1" applyNumberFormat="1">
      <alignment horizontal="center"/>
    </xf>
    <xf borderId="1" fillId="8" fontId="2" numFmtId="10" xfId="0" applyAlignment="1" applyBorder="1" applyFont="1" applyNumberFormat="1">
      <alignment horizontal="center"/>
    </xf>
    <xf borderId="0" fillId="0" fontId="4" numFmtId="0" xfId="0" applyFont="1"/>
    <xf borderId="0" fillId="0" fontId="5" numFmtId="0" xfId="0" applyFont="1"/>
    <xf borderId="1" fillId="12" fontId="2" numFmtId="0" xfId="0" applyAlignment="1" applyBorder="1" applyFill="1" applyFont="1">
      <alignment horizontal="left"/>
    </xf>
    <xf borderId="0" fillId="0" fontId="2" numFmtId="0" xfId="0" applyAlignment="1" applyFont="1">
      <alignment horizontal="left"/>
    </xf>
    <xf borderId="0" fillId="0" fontId="2" numFmtId="10" xfId="0" applyAlignment="1" applyFont="1" applyNumberFormat="1">
      <alignment horizontal="center"/>
    </xf>
    <xf borderId="1" fillId="7" fontId="2" numFmtId="0" xfId="0" applyAlignment="1" applyBorder="1" applyFont="1">
      <alignment horizontal="center"/>
    </xf>
    <xf borderId="0" fillId="0" fontId="2" numFmtId="9" xfId="0" applyAlignment="1" applyFont="1" applyNumberFormat="1">
      <alignment horizontal="center"/>
    </xf>
    <xf borderId="1" fillId="13" fontId="4" numFmtId="0" xfId="0" applyBorder="1" applyFill="1" applyFont="1"/>
    <xf borderId="0" fillId="0" fontId="2" numFmtId="11" xfId="0" applyAlignment="1" applyFont="1" applyNumberFormat="1">
      <alignment horizontal="center"/>
    </xf>
    <xf borderId="1" fillId="14" fontId="2" numFmtId="0" xfId="0" applyAlignment="1" applyBorder="1" applyFill="1" applyFont="1">
      <alignment horizontal="left"/>
    </xf>
    <xf borderId="1" fillId="14" fontId="2" numFmtId="10" xfId="0" applyAlignment="1" applyBorder="1" applyFont="1" applyNumberFormat="1">
      <alignment horizontal="center"/>
    </xf>
    <xf borderId="1" fillId="8" fontId="2" numFmtId="0" xfId="0" applyAlignment="1" applyBorder="1" applyFont="1">
      <alignment horizontal="center"/>
    </xf>
    <xf borderId="1" fillId="7" fontId="2" numFmtId="11" xfId="0" applyAlignment="1" applyBorder="1" applyFont="1" applyNumberFormat="1">
      <alignment horizontal="left"/>
    </xf>
    <xf borderId="1" fillId="6" fontId="2" numFmtId="11" xfId="0" applyAlignment="1" applyBorder="1" applyFont="1" applyNumberFormat="1">
      <alignment horizontal="center"/>
    </xf>
    <xf borderId="1" fillId="15" fontId="2" numFmtId="0" xfId="0" applyAlignment="1" applyBorder="1" applyFill="1" applyFont="1">
      <alignment horizontal="center"/>
    </xf>
    <xf borderId="1" fillId="15" fontId="2" numFmtId="11" xfId="0" applyAlignment="1" applyBorder="1" applyFont="1" applyNumberFormat="1">
      <alignment horizontal="center"/>
    </xf>
    <xf borderId="1" fillId="16" fontId="2" numFmtId="0" xfId="0" applyAlignment="1" applyBorder="1" applyFill="1" applyFont="1">
      <alignment horizontal="center"/>
    </xf>
    <xf borderId="1" fillId="16" fontId="2" numFmtId="11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1" fillId="17" fontId="2" numFmtId="0" xfId="0" applyAlignment="1" applyBorder="1" applyFill="1" applyFont="1">
      <alignment horizontal="left"/>
    </xf>
    <xf borderId="1" fillId="4" fontId="2" numFmtId="0" xfId="0" applyAlignment="1" applyBorder="1" applyFont="1">
      <alignment horizontal="left"/>
    </xf>
    <xf borderId="1" fillId="4" fontId="2" numFmtId="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4" fontId="2" numFmtId="10" xfId="0" applyAlignment="1" applyBorder="1" applyFont="1" applyNumberFormat="1">
      <alignment horizontal="center"/>
    </xf>
    <xf borderId="0" fillId="0" fontId="1" numFmtId="0" xfId="0" applyAlignment="1" applyFont="1">
      <alignment horizontal="left" shrinkToFit="0" wrapText="1"/>
    </xf>
    <xf borderId="0" fillId="0" fontId="1" numFmtId="0" xfId="0" applyFont="1"/>
    <xf borderId="1" fillId="4" fontId="4" numFmtId="0" xfId="0" applyAlignment="1" applyBorder="1" applyFont="1">
      <alignment horizontal="left"/>
    </xf>
    <xf borderId="1" fillId="18" fontId="6" numFmtId="0" xfId="0" applyAlignment="1" applyBorder="1" applyFill="1" applyFont="1">
      <alignment horizontal="center"/>
    </xf>
    <xf borderId="1" fillId="18" fontId="7" numFmtId="0" xfId="0" applyAlignment="1" applyBorder="1" applyFont="1">
      <alignment horizontal="center"/>
    </xf>
    <xf borderId="1" fillId="18" fontId="2" numFmtId="0" xfId="0" applyBorder="1" applyFont="1"/>
    <xf borderId="0" fillId="0" fontId="8" numFmtId="0" xfId="0" applyAlignment="1" applyFont="1">
      <alignment horizontal="center"/>
    </xf>
    <xf borderId="0" fillId="0" fontId="8" numFmtId="4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8" numFmtId="10" xfId="0" applyAlignment="1" applyFont="1" applyNumberFormat="1">
      <alignment horizontal="center"/>
    </xf>
    <xf borderId="0" fillId="0" fontId="8" numFmtId="166" xfId="0" applyAlignment="1" applyFont="1" applyNumberFormat="1">
      <alignment horizontal="center"/>
    </xf>
    <xf borderId="0" fillId="0" fontId="10" numFmtId="0" xfId="0" applyFont="1"/>
    <xf borderId="0" fillId="0" fontId="11" numFmtId="0" xfId="0" applyFont="1"/>
    <xf borderId="1" fillId="19" fontId="2" numFmtId="0" xfId="0" applyAlignment="1" applyBorder="1" applyFill="1" applyFont="1">
      <alignment horizontal="center"/>
    </xf>
    <xf borderId="1" fillId="19" fontId="3" numFmtId="0" xfId="0" applyAlignment="1" applyBorder="1" applyFont="1">
      <alignment horizontal="center"/>
    </xf>
    <xf borderId="1" fillId="20" fontId="1" numFmtId="0" xfId="0" applyAlignment="1" applyBorder="1" applyFill="1" applyFont="1">
      <alignment horizontal="center"/>
    </xf>
    <xf borderId="1" fillId="20" fontId="1" numFmtId="0" xfId="0" applyBorder="1" applyFont="1"/>
    <xf borderId="1" fillId="19" fontId="2" numFmtId="0" xfId="0" applyAlignment="1" applyBorder="1" applyFont="1">
      <alignment horizontal="left"/>
    </xf>
    <xf borderId="1" fillId="20" fontId="4" numFmtId="0" xfId="0" applyBorder="1" applyFont="1"/>
    <xf borderId="1" fillId="6" fontId="2" numFmtId="10" xfId="0" applyAlignment="1" applyBorder="1" applyFont="1" applyNumberFormat="1">
      <alignment horizontal="center"/>
    </xf>
    <xf borderId="1" fillId="4" fontId="4" numFmtId="0" xfId="0" applyBorder="1" applyFont="1"/>
    <xf borderId="0" fillId="19" fontId="2" numFmtId="0" xfId="0" applyAlignment="1" applyFont="1">
      <alignment horizontal="left"/>
    </xf>
    <xf borderId="0" fillId="4" fontId="2" numFmtId="0" xfId="0" applyAlignment="1" applyFont="1">
      <alignment horizontal="center"/>
    </xf>
    <xf borderId="1" fillId="4" fontId="2" numFmtId="10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" fillId="4" fontId="2" numFmtId="11" xfId="0" applyAlignment="1" applyBorder="1" applyFont="1" applyNumberFormat="1">
      <alignment horizontal="left"/>
    </xf>
    <xf borderId="1" fillId="4" fontId="2" numFmtId="11" xfId="0" applyAlignment="1" applyBorder="1" applyFont="1" applyNumberFormat="1">
      <alignment horizontal="center"/>
    </xf>
    <xf borderId="1" fillId="4" fontId="2" numFmtId="4" xfId="0" applyAlignment="1" applyBorder="1" applyFont="1" applyNumberFormat="1">
      <alignment horizontal="center"/>
    </xf>
    <xf borderId="1" fillId="5" fontId="2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5" fontId="2" numFmtId="0" xfId="0" applyBorder="1" applyFont="1"/>
    <xf borderId="1" fillId="21" fontId="1" numFmtId="0" xfId="0" applyAlignment="1" applyBorder="1" applyFill="1" applyFont="1">
      <alignment horizontal="center"/>
    </xf>
    <xf borderId="1" fillId="21" fontId="1" numFmtId="0" xfId="0" applyBorder="1" applyFont="1"/>
    <xf borderId="0" fillId="4" fontId="2" numFmtId="0" xfId="0" applyAlignment="1" applyFont="1">
      <alignment horizontal="left"/>
    </xf>
    <xf borderId="0" fillId="4" fontId="2" numFmtId="10" xfId="0" applyAlignment="1" applyFont="1" applyNumberFormat="1">
      <alignment horizontal="center"/>
    </xf>
    <xf borderId="1" fillId="14" fontId="2" numFmtId="0" xfId="0" applyAlignment="1" applyBorder="1" applyFont="1">
      <alignment horizontal="left"/>
    </xf>
    <xf borderId="1" fillId="14" fontId="2" numFmtId="10" xfId="0" applyAlignment="1" applyBorder="1" applyFont="1" applyNumberFormat="1">
      <alignment horizontal="center"/>
    </xf>
    <xf borderId="3" fillId="5" fontId="3" numFmtId="0" xfId="0" applyAlignment="1" applyBorder="1" applyFont="1">
      <alignment horizontal="center"/>
    </xf>
    <xf borderId="4" fillId="0" fontId="12" numFmtId="0" xfId="0" applyBorder="1" applyFont="1"/>
    <xf borderId="5" fillId="0" fontId="12" numFmtId="0" xfId="0" applyBorder="1" applyFont="1"/>
    <xf borderId="1" fillId="21" fontId="2" numFmtId="0" xfId="0" applyAlignment="1" applyBorder="1" applyFont="1">
      <alignment horizontal="left"/>
    </xf>
    <xf borderId="1" fillId="22" fontId="4" numFmtId="0" xfId="0" applyBorder="1" applyFill="1" applyFont="1"/>
    <xf borderId="1" fillId="21" fontId="2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D9D6"/>
          <bgColor rgb="FFFAD9D6"/>
        </patternFill>
      </fill>
      <border/>
    </dxf>
  </dxfs>
  <tableStyles count="6">
    <tableStyle count="3" pivot="0" name="PART I, (A,B,C,D,E,F)-style">
      <tableStyleElement dxfId="1" type="headerRow"/>
      <tableStyleElement dxfId="2" type="firstRowStripe"/>
      <tableStyleElement dxfId="3" type="secondRowStripe"/>
    </tableStyle>
    <tableStyle count="3" pivot="0" name="PART I, (A,B,C,D,E,F)-style 2">
      <tableStyleElement dxfId="1" type="headerRow"/>
      <tableStyleElement dxfId="2" type="firstRowStripe"/>
      <tableStyleElement dxfId="3" type="secondRowStripe"/>
    </tableStyle>
    <tableStyle count="3" pivot="0" name="PART I, (A,B,C,D,E,F)-style 3">
      <tableStyleElement dxfId="4" type="headerRow"/>
      <tableStyleElement dxfId="5" type="firstRowStripe"/>
      <tableStyleElement dxfId="3" type="secondRowStripe"/>
    </tableStyle>
    <tableStyle count="3" pivot="0" name="vi-style">
      <tableStyleElement dxfId="1" type="headerRow"/>
      <tableStyleElement dxfId="2" type="firstRowStripe"/>
      <tableStyleElement dxfId="3" type="secondRowStripe"/>
    </tableStyle>
    <tableStyle count="3" pivot="0" name="Tejas network -style">
      <tableStyleElement dxfId="1" type="headerRow"/>
      <tableStyleElement dxfId="2" type="firstRowStripe"/>
      <tableStyleElement dxfId="3" type="secondRowStripe"/>
    </tableStyle>
    <tableStyle count="3" pivot="0" name="ITC limit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Dividend v/s Financial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Dividend (Rs)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'PART I, (A,B,C,D,E,F)'!$J$86:$J$88</c:f>
            </c:strRef>
          </c:cat>
          <c:val>
            <c:numRef>
              <c:f>'PART I, (A,B,C,D,E,F)'!$L$86:$L$88</c:f>
              <c:numCache/>
            </c:numRef>
          </c:val>
        </c:ser>
        <c:axId val="2018434126"/>
        <c:axId val="364341377"/>
      </c:barChart>
      <c:catAx>
        <c:axId val="2018434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Financial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64341377"/>
      </c:catAx>
      <c:valAx>
        <c:axId val="364341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Dividend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184341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Dividend Yield v/s Financial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Dividend Yield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'PART I, (A,B,C,D,E,F)'!$J$86:$J$88</c:f>
            </c:strRef>
          </c:cat>
          <c:val>
            <c:numRef>
              <c:f>'PART I, (A,B,C,D,E,F)'!$M$86:$M$88</c:f>
              <c:numCache/>
            </c:numRef>
          </c:val>
        </c:ser>
        <c:axId val="195418452"/>
        <c:axId val="445289170"/>
      </c:barChart>
      <c:catAx>
        <c:axId val="195418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Financial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5289170"/>
      </c:catAx>
      <c:valAx>
        <c:axId val="445289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Dividend 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41845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1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88</xdr:row>
      <xdr:rowOff>114300</xdr:rowOff>
    </xdr:from>
    <xdr:ext cx="2828925" cy="1752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1314450</xdr:colOff>
      <xdr:row>88</xdr:row>
      <xdr:rowOff>114300</xdr:rowOff>
    </xdr:from>
    <xdr:ext cx="2971800" cy="1752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962025</xdr:colOff>
      <xdr:row>15</xdr:row>
      <xdr:rowOff>28575</xdr:rowOff>
    </xdr:from>
    <xdr:ext cx="3448050" cy="1343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41</xdr:row>
      <xdr:rowOff>47625</xdr:rowOff>
    </xdr:from>
    <xdr:ext cx="4057650" cy="181927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285750</xdr:colOff>
      <xdr:row>40</xdr:row>
      <xdr:rowOff>180975</xdr:rowOff>
    </xdr:from>
    <xdr:ext cx="2714625" cy="221932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50</xdr:row>
      <xdr:rowOff>123825</xdr:rowOff>
    </xdr:from>
    <xdr:ext cx="4181475" cy="59055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53</xdr:row>
      <xdr:rowOff>161925</xdr:rowOff>
    </xdr:from>
    <xdr:ext cx="6591300" cy="164782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70</xdr:row>
      <xdr:rowOff>142875</xdr:rowOff>
    </xdr:from>
    <xdr:ext cx="4800600" cy="215265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38100</xdr:rowOff>
    </xdr:from>
    <xdr:ext cx="4438650" cy="18192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38100</xdr:rowOff>
    </xdr:from>
    <xdr:ext cx="4438650" cy="18192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38100</xdr:rowOff>
    </xdr:from>
    <xdr:ext cx="4438650" cy="18192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41</xdr:row>
      <xdr:rowOff>38100</xdr:rowOff>
    </xdr:from>
    <xdr:ext cx="4438650" cy="18192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1</xdr:row>
      <xdr:rowOff>123825</xdr:rowOff>
    </xdr:from>
    <xdr:ext cx="3905250" cy="24193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323850</xdr:colOff>
      <xdr:row>1</xdr:row>
      <xdr:rowOff>123825</xdr:rowOff>
    </xdr:from>
    <xdr:ext cx="3905250" cy="241935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133350</xdr:rowOff>
    </xdr:from>
    <xdr:ext cx="3362325" cy="2124075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50</xdr:row>
      <xdr:rowOff>123825</xdr:rowOff>
    </xdr:from>
    <xdr:ext cx="4181475" cy="590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31</xdr:row>
      <xdr:rowOff>57150</xdr:rowOff>
    </xdr:from>
    <xdr:ext cx="6591300" cy="16478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523875</xdr:colOff>
      <xdr:row>17</xdr:row>
      <xdr:rowOff>9525</xdr:rowOff>
    </xdr:from>
    <xdr:ext cx="3448050" cy="1343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49</xdr:row>
      <xdr:rowOff>85725</xdr:rowOff>
    </xdr:from>
    <xdr:ext cx="4057650" cy="18192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762000</xdr:colOff>
      <xdr:row>46</xdr:row>
      <xdr:rowOff>66675</xdr:rowOff>
    </xdr:from>
    <xdr:ext cx="4181475" cy="5905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790575</xdr:colOff>
      <xdr:row>50</xdr:row>
      <xdr:rowOff>142875</xdr:rowOff>
    </xdr:from>
    <xdr:ext cx="6591300" cy="16478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15</xdr:row>
      <xdr:rowOff>57150</xdr:rowOff>
    </xdr:from>
    <xdr:ext cx="3448050" cy="1343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152400</xdr:colOff>
      <xdr:row>56</xdr:row>
      <xdr:rowOff>76200</xdr:rowOff>
    </xdr:from>
    <xdr:ext cx="4057650" cy="18192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9525</xdr:rowOff>
    </xdr:from>
    <xdr:ext cx="4181475" cy="5905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790575</xdr:colOff>
      <xdr:row>51</xdr:row>
      <xdr:rowOff>47625</xdr:rowOff>
    </xdr:from>
    <xdr:ext cx="6591300" cy="16478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N10:Q16" displayName="Table_1" name="Table_1" id="1">
  <tableColumns count="4">
    <tableColumn name="Financial Year" id="1"/>
    <tableColumn name="2021" id="2"/>
    <tableColumn name="2022" id="3"/>
    <tableColumn name="2023" id="4"/>
  </tableColumns>
  <tableStyleInfo name="PART I, (A,B,C,D,E,F)-style" showColumnStripes="0" showFirstColumn="1" showLastColumn="1" showRowStripes="1"/>
</table>
</file>

<file path=xl/tables/table2.xml><?xml version="1.0" encoding="utf-8"?>
<table xmlns="http://schemas.openxmlformats.org/spreadsheetml/2006/main" ref="J25:N41" displayName="Table_2" name="Table_2" id="2">
  <tableColumns count="5">
    <tableColumn name="Year" id="1"/>
    <tableColumn name="2021" id="2"/>
    <tableColumn name="2022" id="3"/>
    <tableColumn name="2023" id="4"/>
    <tableColumn name="2024" id="5"/>
  </tableColumns>
  <tableStyleInfo name="PART I, (A,B,C,D,E,F)-style 2" showColumnStripes="0" showFirstColumn="1" showLastColumn="1" showRowStripes="1"/>
</table>
</file>

<file path=xl/tables/table3.xml><?xml version="1.0" encoding="utf-8"?>
<table xmlns="http://schemas.openxmlformats.org/spreadsheetml/2006/main" ref="J85:M89" displayName="Table_3" name="Table_3" id="3">
  <tableColumns count="4">
    <tableColumn name="Financial Year" id="1"/>
    <tableColumn name="Price of the stock (Rs)" id="2"/>
    <tableColumn name="Dividend (Rs)" id="3"/>
    <tableColumn name="Dividend Yield" id="4"/>
  </tableColumns>
  <tableStyleInfo name="PART I, (A,B,C,D,E,F)-style 3" showColumnStripes="0" showFirstColumn="1" showLastColumn="1" showRowStripes="1"/>
</table>
</file>

<file path=xl/tables/table4.xml><?xml version="1.0" encoding="utf-8"?>
<table xmlns="http://schemas.openxmlformats.org/spreadsheetml/2006/main" ref="N10:Q16" displayName="Table_4" name="Table_4" id="4">
  <tableColumns count="4">
    <tableColumn name="Financial Year" id="1"/>
    <tableColumn name="2021" id="2"/>
    <tableColumn name="2022" id="3"/>
    <tableColumn name="2023" id="4"/>
  </tableColumns>
  <tableStyleInfo name="vi-style" showColumnStripes="0" showFirstColumn="1" showLastColumn="1" showRowStripes="1"/>
</table>
</file>

<file path=xl/tables/table5.xml><?xml version="1.0" encoding="utf-8"?>
<table xmlns="http://schemas.openxmlformats.org/spreadsheetml/2006/main" ref="N10:Q16" displayName="Table_5" name="Table_5" id="5">
  <tableColumns count="4">
    <tableColumn name="Financial Year" id="1"/>
    <tableColumn name="2021" id="2"/>
    <tableColumn name="2022" id="3"/>
    <tableColumn name="2023" id="4"/>
  </tableColumns>
  <tableStyleInfo name="Tejas network -style" showColumnStripes="0" showFirstColumn="1" showLastColumn="1" showRowStripes="1"/>
</table>
</file>

<file path=xl/tables/table6.xml><?xml version="1.0" encoding="utf-8"?>
<table xmlns="http://schemas.openxmlformats.org/spreadsheetml/2006/main" ref="N10:Q16" displayName="Table_6" name="Table_6" id="6">
  <tableColumns count="4">
    <tableColumn name="Financial Year" id="1"/>
    <tableColumn name="2021" id="2"/>
    <tableColumn name="2022" id="3"/>
    <tableColumn name="2023" id="4"/>
  </tableColumns>
  <tableStyleInfo name="ITC limi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5.38"/>
    <col customWidth="1" min="3" max="6" width="12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16.88"/>
    <col customWidth="1" min="3" max="3" width="17.5"/>
    <col customWidth="1" min="4" max="4" width="12.5"/>
    <col customWidth="1" min="5" max="5" width="12.63"/>
    <col customWidth="1" min="6" max="6" width="16.0"/>
    <col customWidth="1" min="10" max="10" width="21.25"/>
    <col customWidth="1" min="11" max="11" width="22.38"/>
    <col customWidth="1" min="12" max="12" width="12.13"/>
    <col customWidth="1" min="13" max="13" width="15.13"/>
    <col customWidth="1" min="14" max="14" width="23.13"/>
    <col customWidth="1" min="19" max="19" width="22.75"/>
  </cols>
  <sheetData>
    <row r="1" ht="26.25" customHeight="1">
      <c r="A1" s="3"/>
      <c r="B1" s="3"/>
      <c r="C1" s="3"/>
      <c r="D1" s="4" t="s">
        <v>14</v>
      </c>
      <c r="E1" s="3"/>
      <c r="F1" s="5"/>
      <c r="G1" s="3"/>
      <c r="H1" s="3"/>
      <c r="I1" s="3"/>
      <c r="J1" s="6" t="s">
        <v>15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7"/>
      <c r="B2" s="7"/>
      <c r="C2" s="7"/>
      <c r="D2" s="7"/>
      <c r="E2" s="7"/>
      <c r="F2" s="7"/>
      <c r="G2" s="7"/>
      <c r="H2" s="7"/>
      <c r="I2" s="8"/>
      <c r="J2" s="9"/>
      <c r="K2" s="6"/>
      <c r="L2" s="6"/>
      <c r="M2" s="6"/>
      <c r="N2" s="6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7" t="s">
        <v>16</v>
      </c>
      <c r="B3" s="7" t="s">
        <v>17</v>
      </c>
      <c r="C3" s="7" t="s">
        <v>18</v>
      </c>
      <c r="D3" s="7" t="s">
        <v>19</v>
      </c>
      <c r="E3" s="7" t="s">
        <v>16</v>
      </c>
      <c r="F3" s="7" t="s">
        <v>17</v>
      </c>
      <c r="G3" s="7" t="s">
        <v>18</v>
      </c>
      <c r="H3" s="7" t="s">
        <v>19</v>
      </c>
      <c r="I3" s="8" t="s">
        <v>20</v>
      </c>
      <c r="J3" s="9"/>
      <c r="K3" s="6"/>
      <c r="L3" s="6"/>
      <c r="M3" s="6"/>
      <c r="N3" s="6"/>
      <c r="O3" s="10"/>
      <c r="P3" s="10"/>
      <c r="Q3" s="10"/>
      <c r="R3" s="10"/>
      <c r="S3" s="10"/>
      <c r="T3" s="10"/>
      <c r="U3" s="10"/>
      <c r="V3" s="10"/>
      <c r="W3" s="10"/>
    </row>
    <row r="4" ht="15.75" customHeight="1">
      <c r="A4" s="11" t="s">
        <v>21</v>
      </c>
      <c r="B4" s="12">
        <v>1228.6</v>
      </c>
      <c r="C4" s="11">
        <v>0.0031</v>
      </c>
      <c r="D4" s="13">
        <v>0.0031</v>
      </c>
      <c r="E4" s="11" t="s">
        <v>21</v>
      </c>
      <c r="F4" s="12">
        <v>22326.9</v>
      </c>
      <c r="G4" s="11">
        <v>0.009187001</v>
      </c>
      <c r="H4" s="13">
        <v>0.0092</v>
      </c>
      <c r="I4" s="14" t="s">
        <v>22</v>
      </c>
    </row>
    <row r="5" ht="15.75" customHeight="1">
      <c r="A5" s="11" t="s">
        <v>23</v>
      </c>
      <c r="B5" s="12">
        <v>1224.8</v>
      </c>
      <c r="C5" s="11">
        <v>0.0096</v>
      </c>
      <c r="D5" s="13">
        <v>0.0096</v>
      </c>
      <c r="E5" s="11" t="s">
        <v>23</v>
      </c>
      <c r="F5" s="12">
        <v>22123.65</v>
      </c>
      <c r="G5" s="11">
        <v>0.005405663</v>
      </c>
      <c r="H5" s="13">
        <v>0.0054</v>
      </c>
      <c r="I5" s="11"/>
      <c r="J5" s="15"/>
      <c r="K5" s="16">
        <f>(B4/B746)^(1/3)</f>
        <v>1.339491273</v>
      </c>
      <c r="L5" s="11"/>
      <c r="M5" s="11"/>
      <c r="N5" s="11"/>
    </row>
    <row r="6" ht="15.75" customHeight="1">
      <c r="A6" s="11" t="s">
        <v>24</v>
      </c>
      <c r="B6" s="12">
        <v>1213.1</v>
      </c>
      <c r="C6" s="11">
        <v>-0.0186</v>
      </c>
      <c r="D6" s="13">
        <v>-0.0186</v>
      </c>
      <c r="E6" s="11" t="s">
        <v>24</v>
      </c>
      <c r="F6" s="12">
        <v>22004.7</v>
      </c>
      <c r="G6" s="11">
        <v>-0.004165771</v>
      </c>
      <c r="H6" s="13">
        <v>-0.0042</v>
      </c>
      <c r="J6" s="17" t="s">
        <v>25</v>
      </c>
      <c r="K6" s="16">
        <f>K5-1</f>
        <v>0.3394912735</v>
      </c>
      <c r="L6" s="11"/>
      <c r="M6" s="11"/>
      <c r="N6" s="18">
        <f>(7.08+7.29+4.64)/3</f>
        <v>6.336666667</v>
      </c>
      <c r="S6" s="19" t="s">
        <v>26</v>
      </c>
      <c r="T6" s="19"/>
      <c r="U6" s="19"/>
      <c r="V6" s="19"/>
      <c r="W6" s="19"/>
      <c r="X6" s="19"/>
      <c r="Y6" s="19"/>
      <c r="Z6" s="19"/>
      <c r="AA6" s="19"/>
      <c r="AB6" s="19"/>
    </row>
    <row r="7" ht="15.75" customHeight="1">
      <c r="A7" s="11" t="s">
        <v>27</v>
      </c>
      <c r="B7" s="12">
        <v>1236.1</v>
      </c>
      <c r="C7" s="11">
        <v>0.0125</v>
      </c>
      <c r="D7" s="13">
        <v>0.0125</v>
      </c>
      <c r="E7" s="11" t="s">
        <v>27</v>
      </c>
      <c r="F7" s="12">
        <v>22096.75</v>
      </c>
      <c r="G7" s="11">
        <v>0.003852453</v>
      </c>
      <c r="H7" s="13">
        <v>0.0039</v>
      </c>
      <c r="J7" s="15"/>
      <c r="K7" s="16">
        <v>33.94912735</v>
      </c>
      <c r="L7" s="15"/>
      <c r="M7" s="20" t="s">
        <v>28</v>
      </c>
      <c r="N7" s="21">
        <v>0.0633</v>
      </c>
      <c r="O7" s="18" t="s">
        <v>29</v>
      </c>
      <c r="P7" s="18"/>
      <c r="Q7" s="18"/>
    </row>
    <row r="8" ht="15.75" customHeight="1">
      <c r="A8" s="11" t="s">
        <v>30</v>
      </c>
      <c r="B8" s="12">
        <v>1220.8</v>
      </c>
      <c r="C8" s="11">
        <v>-0.0089</v>
      </c>
      <c r="D8" s="13">
        <v>-0.0089</v>
      </c>
      <c r="E8" s="11" t="s">
        <v>30</v>
      </c>
      <c r="F8" s="12">
        <v>22011.95</v>
      </c>
      <c r="G8" s="11">
        <v>0.007914703</v>
      </c>
      <c r="H8" s="13">
        <v>0.0079</v>
      </c>
      <c r="J8" s="15"/>
      <c r="K8" s="11"/>
      <c r="L8" s="11"/>
      <c r="M8" s="11"/>
      <c r="N8" s="20">
        <v>0.0633</v>
      </c>
    </row>
    <row r="9" ht="15.75" customHeight="1">
      <c r="A9" s="11" t="s">
        <v>31</v>
      </c>
      <c r="B9" s="12">
        <v>1231.8</v>
      </c>
      <c r="C9" s="11">
        <v>0.0028</v>
      </c>
      <c r="D9" s="13">
        <v>0.0028</v>
      </c>
      <c r="E9" s="11" t="s">
        <v>31</v>
      </c>
      <c r="F9" s="12">
        <v>21839.1</v>
      </c>
      <c r="G9" s="11">
        <v>9.92325E-4</v>
      </c>
      <c r="H9" s="13">
        <v>0.001</v>
      </c>
      <c r="J9" s="22" t="s">
        <v>32</v>
      </c>
      <c r="K9" s="20">
        <f>_xlfn.COVARIANCE.P(C4:C745,G4:G745)/_xlfn.VAR.P(G4:G745)</f>
        <v>0.7853327334</v>
      </c>
      <c r="L9" s="11"/>
      <c r="M9" s="11"/>
      <c r="N9" s="11"/>
    </row>
    <row r="10" ht="15.75" customHeight="1">
      <c r="A10" s="11" t="s">
        <v>33</v>
      </c>
      <c r="B10" s="12">
        <v>1228.35</v>
      </c>
      <c r="C10" s="11">
        <v>0.0025</v>
      </c>
      <c r="D10" s="13">
        <v>0.0025</v>
      </c>
      <c r="E10" s="11" t="s">
        <v>33</v>
      </c>
      <c r="F10" s="12">
        <v>21817.45</v>
      </c>
      <c r="G10" s="11">
        <v>-0.010802196</v>
      </c>
      <c r="H10" s="13">
        <v>-0.0108</v>
      </c>
      <c r="J10" s="22" t="s">
        <v>34</v>
      </c>
      <c r="K10" s="20">
        <f>SLOPE(C4:C745,G4:G745)</f>
        <v>0.7853327334</v>
      </c>
      <c r="L10" s="11"/>
      <c r="M10" s="11"/>
      <c r="N10" s="23" t="s">
        <v>35</v>
      </c>
      <c r="O10" s="24" t="s">
        <v>36</v>
      </c>
      <c r="P10" s="24" t="s">
        <v>37</v>
      </c>
      <c r="Q10" s="24" t="s">
        <v>38</v>
      </c>
      <c r="S10" s="25"/>
      <c r="T10" s="26" t="s">
        <v>39</v>
      </c>
      <c r="U10" s="25" t="s">
        <v>40</v>
      </c>
      <c r="V10" s="25" t="s">
        <v>41</v>
      </c>
      <c r="W10" s="25" t="s">
        <v>42</v>
      </c>
      <c r="X10" s="27" t="s">
        <v>43</v>
      </c>
    </row>
    <row r="11" ht="15.75" customHeight="1">
      <c r="A11" s="11" t="s">
        <v>44</v>
      </c>
      <c r="B11" s="12">
        <v>1225.3</v>
      </c>
      <c r="C11" s="11">
        <v>0.0043</v>
      </c>
      <c r="D11" s="13">
        <v>0.0043</v>
      </c>
      <c r="E11" s="11" t="s">
        <v>44</v>
      </c>
      <c r="F11" s="12">
        <v>22055.7</v>
      </c>
      <c r="G11" s="11">
        <v>0.001468896</v>
      </c>
      <c r="H11" s="13">
        <v>0.0015</v>
      </c>
      <c r="J11" s="22" t="s">
        <v>45</v>
      </c>
      <c r="K11" s="20">
        <f>0.7853</f>
        <v>0.7853</v>
      </c>
      <c r="L11" s="11"/>
      <c r="M11" s="11"/>
      <c r="N11" s="23" t="s">
        <v>46</v>
      </c>
      <c r="O11" s="24">
        <f t="shared" ref="O11:O12" si="1">AVERAGE(C499:C746)</f>
        <v>0.001994758065</v>
      </c>
      <c r="P11" s="24">
        <f>AVERAGE(C250:C498)</f>
        <v>0.00005863453815</v>
      </c>
      <c r="Q11" s="24">
        <f>AVERAGE(C4:C249)</f>
        <v>0.002074796748</v>
      </c>
      <c r="S11" s="28" t="s">
        <v>47</v>
      </c>
      <c r="T11" s="26">
        <v>35.7896</v>
      </c>
      <c r="U11" s="25">
        <v>24.2794</v>
      </c>
      <c r="V11" s="25">
        <v>66.4753</v>
      </c>
      <c r="W11" s="25">
        <v>63.359</v>
      </c>
      <c r="X11" s="27">
        <f t="shared" ref="X11:X14" si="3">(U11+V11+W11)/3</f>
        <v>51.37123333</v>
      </c>
    </row>
    <row r="12" ht="15.75" customHeight="1">
      <c r="A12" s="11" t="s">
        <v>48</v>
      </c>
      <c r="B12" s="12">
        <v>1220.0</v>
      </c>
      <c r="C12" s="11">
        <v>0.0213</v>
      </c>
      <c r="D12" s="13">
        <v>0.0213</v>
      </c>
      <c r="E12" s="11" t="s">
        <v>48</v>
      </c>
      <c r="F12" s="12">
        <v>22023.35</v>
      </c>
      <c r="G12" s="11">
        <v>-0.005567433</v>
      </c>
      <c r="H12" s="13">
        <v>-0.0056</v>
      </c>
      <c r="J12" s="15" t="s">
        <v>49</v>
      </c>
      <c r="K12" s="11">
        <f>K6-N8</f>
        <v>0.2761912735</v>
      </c>
      <c r="N12" s="23" t="s">
        <v>46</v>
      </c>
      <c r="O12" s="29">
        <f t="shared" si="1"/>
        <v>0.001973279352</v>
      </c>
      <c r="P12" s="29">
        <f t="shared" ref="P12:Q12" si="2">P11</f>
        <v>0.00005863453815</v>
      </c>
      <c r="Q12" s="30">
        <f t="shared" si="2"/>
        <v>0.002074796748</v>
      </c>
      <c r="S12" s="28" t="s">
        <v>50</v>
      </c>
      <c r="T12" s="26">
        <v>2.0E-4</v>
      </c>
      <c r="U12" s="25">
        <v>0.00148</v>
      </c>
      <c r="V12" s="25">
        <v>0.00819</v>
      </c>
      <c r="W12" s="25">
        <v>0.00101</v>
      </c>
      <c r="X12" s="27">
        <f t="shared" si="3"/>
        <v>0.00356</v>
      </c>
    </row>
    <row r="13" ht="15.75" customHeight="1">
      <c r="A13" s="11" t="s">
        <v>51</v>
      </c>
      <c r="B13" s="12">
        <v>1194.6</v>
      </c>
      <c r="C13" s="11">
        <v>0.0221</v>
      </c>
      <c r="D13" s="13">
        <v>0.0221</v>
      </c>
      <c r="E13" s="11" t="s">
        <v>51</v>
      </c>
      <c r="F13" s="12">
        <v>22146.65</v>
      </c>
      <c r="G13" s="11">
        <v>0.006771162</v>
      </c>
      <c r="H13" s="13">
        <v>0.0068</v>
      </c>
      <c r="J13" s="15" t="s">
        <v>52</v>
      </c>
      <c r="K13" s="11">
        <f>K12*K9</f>
        <v>0.2169020477</v>
      </c>
      <c r="N13" s="23" t="s">
        <v>53</v>
      </c>
      <c r="O13" s="29">
        <f>AVERAGE(O12:Q12)</f>
        <v>0.001368903546</v>
      </c>
      <c r="P13" s="31"/>
      <c r="Q13" s="31"/>
      <c r="S13" s="28" t="s">
        <v>54</v>
      </c>
      <c r="T13" s="26">
        <f>4.6*(10^(-5))</f>
        <v>0.000046</v>
      </c>
      <c r="U13" s="25">
        <f>1.21*(10^(-4))</f>
        <v>0.000121</v>
      </c>
      <c r="V13" s="25">
        <f>1.07*(10^(-4))</f>
        <v>0.000107</v>
      </c>
      <c r="W13" s="25">
        <f>5.62*(10^(-5))</f>
        <v>0.0000562</v>
      </c>
      <c r="X13" s="27">
        <f t="shared" si="3"/>
        <v>0.00009473333333</v>
      </c>
    </row>
    <row r="14" ht="15.75" customHeight="1">
      <c r="A14" s="11" t="s">
        <v>55</v>
      </c>
      <c r="B14" s="12">
        <v>1168.75</v>
      </c>
      <c r="C14" s="11">
        <v>-0.0295</v>
      </c>
      <c r="D14" s="13">
        <v>-0.0295</v>
      </c>
      <c r="E14" s="11" t="s">
        <v>55</v>
      </c>
      <c r="F14" s="12">
        <v>21997.7</v>
      </c>
      <c r="G14" s="11">
        <v>-0.015132725</v>
      </c>
      <c r="H14" s="13">
        <v>-0.0151</v>
      </c>
      <c r="J14" s="32" t="s">
        <v>56</v>
      </c>
      <c r="K14" s="11">
        <f>K13+N8</f>
        <v>0.2802020477</v>
      </c>
      <c r="N14" s="23" t="s">
        <v>57</v>
      </c>
      <c r="O14" s="31">
        <f>B4/B249-1</f>
        <v>0.6154099007</v>
      </c>
      <c r="P14" s="31">
        <f>B250/B499-1</f>
        <v>-0.007881316643</v>
      </c>
      <c r="Q14" s="31">
        <f>B500/B746-1</f>
        <v>0.4661580595</v>
      </c>
      <c r="S14" s="28" t="s">
        <v>58</v>
      </c>
      <c r="T14" s="33">
        <v>0.1666</v>
      </c>
      <c r="U14" s="34">
        <v>0.088</v>
      </c>
      <c r="V14" s="34">
        <v>0.3348</v>
      </c>
      <c r="W14" s="34">
        <v>0.1582</v>
      </c>
      <c r="X14" s="27">
        <f t="shared" si="3"/>
        <v>0.1936666667</v>
      </c>
    </row>
    <row r="15" ht="15.75" customHeight="1">
      <c r="A15" s="35">
        <v>45629.0</v>
      </c>
      <c r="B15" s="12">
        <v>1204.25</v>
      </c>
      <c r="C15" s="11">
        <v>0.0064</v>
      </c>
      <c r="D15" s="13">
        <v>0.0064</v>
      </c>
      <c r="E15" s="35">
        <v>45629.0</v>
      </c>
      <c r="F15" s="12">
        <v>22335.7</v>
      </c>
      <c r="G15" s="11">
        <v>1.36571E-4</v>
      </c>
      <c r="H15" s="13">
        <v>1.0E-4</v>
      </c>
      <c r="J15" s="32" t="s">
        <v>59</v>
      </c>
      <c r="K15" s="36">
        <v>0.2818</v>
      </c>
      <c r="N15" s="23" t="s">
        <v>60</v>
      </c>
      <c r="O15" s="29">
        <f t="shared" ref="O15:Q15" si="4">O14</f>
        <v>0.6154099007</v>
      </c>
      <c r="P15" s="29">
        <f t="shared" si="4"/>
        <v>-0.007881316643</v>
      </c>
      <c r="Q15" s="29">
        <f t="shared" si="4"/>
        <v>0.4661580595</v>
      </c>
    </row>
    <row r="16" ht="15.75" customHeight="1">
      <c r="A16" s="35">
        <v>45599.0</v>
      </c>
      <c r="B16" s="12">
        <v>1196.6</v>
      </c>
      <c r="C16" s="11">
        <v>-0.0026</v>
      </c>
      <c r="D16" s="13">
        <v>-0.0026</v>
      </c>
      <c r="E16" s="35">
        <v>45599.0</v>
      </c>
      <c r="F16" s="12">
        <v>22332.65</v>
      </c>
      <c r="G16" s="11">
        <v>-0.007153162</v>
      </c>
      <c r="H16" s="13">
        <v>-0.0072</v>
      </c>
      <c r="J16" s="15"/>
      <c r="K16" s="11"/>
      <c r="L16" s="11"/>
      <c r="M16" s="11"/>
      <c r="N16" s="23" t="s">
        <v>61</v>
      </c>
      <c r="O16" s="29">
        <f>AVERAGE(O15:Q15)</f>
        <v>0.3578955479</v>
      </c>
      <c r="P16" s="31"/>
      <c r="Q16" s="31"/>
    </row>
    <row r="17" ht="15.75" customHeight="1">
      <c r="A17" s="35">
        <v>45476.0</v>
      </c>
      <c r="B17" s="12">
        <v>1199.7</v>
      </c>
      <c r="C17" s="11">
        <v>0.005</v>
      </c>
      <c r="D17" s="13">
        <v>0.005</v>
      </c>
      <c r="E17" s="35">
        <v>45476.0</v>
      </c>
      <c r="F17" s="12">
        <v>22493.55</v>
      </c>
      <c r="G17" s="11">
        <v>8.67667E-4</v>
      </c>
      <c r="H17" s="13">
        <v>9.0E-4</v>
      </c>
      <c r="J17" s="15"/>
      <c r="K17" s="11"/>
      <c r="L17" s="11"/>
      <c r="M17" s="11"/>
      <c r="N17" s="11"/>
      <c r="O17" s="37"/>
      <c r="P17" s="37"/>
      <c r="Q17" s="37"/>
    </row>
    <row r="18" ht="15.75" customHeight="1">
      <c r="A18" s="35">
        <v>45446.0</v>
      </c>
      <c r="B18" s="12">
        <v>1193.7</v>
      </c>
      <c r="C18" s="11">
        <v>0.0212</v>
      </c>
      <c r="D18" s="13">
        <v>0.0212</v>
      </c>
      <c r="E18" s="35">
        <v>45446.0</v>
      </c>
      <c r="F18" s="12">
        <v>22474.05</v>
      </c>
      <c r="G18" s="11">
        <v>0.005266972</v>
      </c>
      <c r="H18" s="13">
        <v>0.0053</v>
      </c>
      <c r="J18" s="15"/>
      <c r="K18" s="11"/>
      <c r="L18" s="11"/>
      <c r="M18" s="11"/>
      <c r="N18" s="11"/>
    </row>
    <row r="19" ht="15.75" customHeight="1">
      <c r="A19" s="35">
        <v>45415.0</v>
      </c>
      <c r="B19" s="12">
        <v>1168.9</v>
      </c>
      <c r="C19" s="11">
        <v>0.0312</v>
      </c>
      <c r="D19" s="13">
        <v>0.0312</v>
      </c>
      <c r="E19" s="35">
        <v>45415.0</v>
      </c>
      <c r="F19" s="12">
        <v>22356.3</v>
      </c>
      <c r="G19" s="11">
        <v>-0.002200343</v>
      </c>
      <c r="H19" s="13">
        <v>-0.0022</v>
      </c>
      <c r="J19" s="15"/>
      <c r="K19" s="11"/>
      <c r="L19" s="11"/>
      <c r="M19" s="11"/>
      <c r="N19" s="11"/>
    </row>
    <row r="20" ht="15.75" customHeight="1">
      <c r="A20" s="35">
        <v>45385.0</v>
      </c>
      <c r="B20" s="12">
        <v>1133.5</v>
      </c>
      <c r="C20" s="11">
        <v>4.0E-4</v>
      </c>
      <c r="D20" s="13">
        <v>4.0E-4</v>
      </c>
      <c r="E20" s="35">
        <v>45385.0</v>
      </c>
      <c r="F20" s="12">
        <v>22405.6</v>
      </c>
      <c r="G20" s="11">
        <v>0.001215458</v>
      </c>
      <c r="H20" s="13">
        <v>0.0012</v>
      </c>
      <c r="J20" s="15"/>
      <c r="K20" s="11"/>
      <c r="L20" s="11"/>
      <c r="M20" s="11"/>
      <c r="N20" s="11"/>
    </row>
    <row r="21" ht="15.75" customHeight="1">
      <c r="A21" s="35">
        <v>45325.0</v>
      </c>
      <c r="B21" s="12">
        <v>1133.0</v>
      </c>
      <c r="C21" s="11">
        <v>0.0038</v>
      </c>
      <c r="D21" s="13">
        <v>0.0038</v>
      </c>
      <c r="E21" s="35">
        <v>45325.0</v>
      </c>
      <c r="F21" s="12">
        <v>22378.4</v>
      </c>
      <c r="G21" s="11">
        <v>0.001774943</v>
      </c>
      <c r="H21" s="13">
        <v>0.0018</v>
      </c>
      <c r="J21" s="15"/>
      <c r="K21" s="11"/>
      <c r="L21" s="11"/>
      <c r="M21" s="11"/>
      <c r="N21" s="11"/>
    </row>
    <row r="22" ht="15.75" customHeight="1">
      <c r="A22" s="35">
        <v>45294.0</v>
      </c>
      <c r="B22" s="12">
        <v>1128.7</v>
      </c>
      <c r="C22" s="11">
        <v>0.0048</v>
      </c>
      <c r="D22" s="13">
        <v>0.0048</v>
      </c>
      <c r="E22" s="35">
        <v>45294.0</v>
      </c>
      <c r="F22" s="12">
        <v>22338.75</v>
      </c>
      <c r="G22" s="11">
        <v>0.016192205</v>
      </c>
      <c r="H22" s="13">
        <v>0.0162</v>
      </c>
      <c r="J22" s="15"/>
      <c r="K22" s="11"/>
      <c r="L22" s="11"/>
      <c r="M22" s="11"/>
      <c r="N22" s="11"/>
    </row>
    <row r="23" ht="15.75" customHeight="1">
      <c r="A23" s="11" t="s">
        <v>62</v>
      </c>
      <c r="B23" s="12">
        <v>1123.35</v>
      </c>
      <c r="C23" s="11">
        <v>-0.0048</v>
      </c>
      <c r="D23" s="13">
        <v>-0.0048</v>
      </c>
      <c r="E23" s="11" t="s">
        <v>62</v>
      </c>
      <c r="F23" s="12">
        <v>21982.8</v>
      </c>
      <c r="G23" s="11">
        <v>0.001441838</v>
      </c>
      <c r="H23" s="13">
        <v>0.0014</v>
      </c>
      <c r="J23" s="15"/>
      <c r="K23" s="11"/>
      <c r="L23" s="11"/>
      <c r="M23" s="11"/>
      <c r="N23" s="11"/>
    </row>
    <row r="24" ht="15.75" customHeight="1">
      <c r="A24" s="11" t="s">
        <v>63</v>
      </c>
      <c r="B24" s="12">
        <v>1128.75</v>
      </c>
      <c r="C24" s="11">
        <v>0.0011</v>
      </c>
      <c r="D24" s="13">
        <v>0.0011</v>
      </c>
      <c r="E24" s="11" t="s">
        <v>63</v>
      </c>
      <c r="F24" s="12">
        <v>21951.15</v>
      </c>
      <c r="G24" s="11">
        <v>-0.011135963</v>
      </c>
      <c r="H24" s="13">
        <v>-0.0111</v>
      </c>
      <c r="I24" s="38" t="s">
        <v>64</v>
      </c>
      <c r="J24" s="39" t="s">
        <v>65</v>
      </c>
      <c r="K24" s="11"/>
      <c r="L24" s="11"/>
      <c r="M24" s="11"/>
      <c r="N24" s="11"/>
    </row>
    <row r="25" ht="15.75" customHeight="1">
      <c r="A25" s="11" t="s">
        <v>66</v>
      </c>
      <c r="B25" s="12">
        <v>1127.5</v>
      </c>
      <c r="C25" s="11">
        <v>0.0157</v>
      </c>
      <c r="D25" s="13">
        <v>0.0157</v>
      </c>
      <c r="E25" s="11" t="s">
        <v>66</v>
      </c>
      <c r="F25" s="12">
        <v>22198.35</v>
      </c>
      <c r="G25" s="11">
        <v>0.003449047</v>
      </c>
      <c r="H25" s="13">
        <v>0.0034</v>
      </c>
      <c r="J25" s="40" t="s">
        <v>67</v>
      </c>
      <c r="K25" s="23" t="s">
        <v>36</v>
      </c>
      <c r="L25" s="23" t="s">
        <v>37</v>
      </c>
      <c r="M25" s="23" t="s">
        <v>38</v>
      </c>
      <c r="N25" s="23" t="s">
        <v>68</v>
      </c>
    </row>
    <row r="26" ht="15.75" customHeight="1">
      <c r="A26" s="11" t="s">
        <v>69</v>
      </c>
      <c r="B26" s="12">
        <v>1110.05</v>
      </c>
      <c r="C26" s="11">
        <v>-0.0139</v>
      </c>
      <c r="D26" s="13">
        <v>-0.0139</v>
      </c>
      <c r="E26" s="11" t="s">
        <v>69</v>
      </c>
      <c r="F26" s="12">
        <v>22122.05</v>
      </c>
      <c r="G26" s="11">
        <v>-0.004080999</v>
      </c>
      <c r="H26" s="13">
        <v>-0.0041</v>
      </c>
      <c r="J26" s="40" t="s">
        <v>70</v>
      </c>
      <c r="K26" s="23">
        <v>944077.0</v>
      </c>
      <c r="L26" s="23">
        <v>1034081.0</v>
      </c>
      <c r="M26" s="23">
        <v>1406410.0</v>
      </c>
      <c r="N26" s="23">
        <v>1259822.0</v>
      </c>
    </row>
    <row r="27" ht="15.75" customHeight="1">
      <c r="A27" s="11" t="s">
        <v>71</v>
      </c>
      <c r="B27" s="12">
        <v>1125.75</v>
      </c>
      <c r="C27" s="11">
        <v>-0.0086</v>
      </c>
      <c r="D27" s="13">
        <v>-0.0086</v>
      </c>
      <c r="E27" s="11" t="s">
        <v>71</v>
      </c>
      <c r="F27" s="12">
        <v>22212.7</v>
      </c>
      <c r="G27" s="11">
        <v>-2.13796E-4</v>
      </c>
      <c r="H27" s="13">
        <v>-2.0E-4</v>
      </c>
      <c r="J27" s="40" t="s">
        <v>72</v>
      </c>
      <c r="K27" s="23" t="s">
        <v>73</v>
      </c>
      <c r="L27" s="23" t="s">
        <v>74</v>
      </c>
      <c r="M27" s="23" t="s">
        <v>75</v>
      </c>
      <c r="N27" s="23" t="s">
        <v>76</v>
      </c>
    </row>
    <row r="28" ht="15.75" customHeight="1">
      <c r="A28" s="11" t="s">
        <v>77</v>
      </c>
      <c r="B28" s="12">
        <v>1135.55</v>
      </c>
      <c r="C28" s="11">
        <v>-0.0038</v>
      </c>
      <c r="D28" s="13">
        <v>-0.0038</v>
      </c>
      <c r="E28" s="11" t="s">
        <v>77</v>
      </c>
      <c r="F28" s="12">
        <v>22217.45</v>
      </c>
      <c r="G28" s="11">
        <v>0.007363393</v>
      </c>
      <c r="H28" s="13">
        <v>0.0074</v>
      </c>
      <c r="J28" s="40" t="s">
        <v>78</v>
      </c>
      <c r="K28" s="41">
        <v>0.1256</v>
      </c>
      <c r="L28" s="41">
        <v>0.1405</v>
      </c>
      <c r="M28" s="41">
        <v>0.094</v>
      </c>
      <c r="N28" s="41">
        <v>0.1143</v>
      </c>
    </row>
    <row r="29" ht="15.75" customHeight="1">
      <c r="A29" s="11" t="s">
        <v>79</v>
      </c>
      <c r="B29" s="12">
        <v>1139.9</v>
      </c>
      <c r="C29" s="11">
        <v>-0.0035</v>
      </c>
      <c r="D29" s="13">
        <v>-0.0035</v>
      </c>
      <c r="E29" s="11" t="s">
        <v>79</v>
      </c>
      <c r="F29" s="12">
        <v>22055.05</v>
      </c>
      <c r="G29" s="11">
        <v>-0.00639277</v>
      </c>
      <c r="H29" s="13">
        <v>-0.0064</v>
      </c>
      <c r="J29" s="40" t="s">
        <v>80</v>
      </c>
      <c r="K29" s="42">
        <v>-184562.0</v>
      </c>
      <c r="L29" s="42">
        <v>-42257.0</v>
      </c>
      <c r="M29" s="42">
        <v>12693.0</v>
      </c>
      <c r="N29" s="23">
        <v>71161.0</v>
      </c>
      <c r="P29" s="18" t="s">
        <v>81</v>
      </c>
      <c r="Q29" s="18"/>
      <c r="R29" s="18"/>
      <c r="S29" s="18"/>
    </row>
    <row r="30" ht="15.75" customHeight="1">
      <c r="A30" s="11" t="s">
        <v>82</v>
      </c>
      <c r="B30" s="12">
        <v>1143.95</v>
      </c>
      <c r="C30" s="11">
        <v>0.0015</v>
      </c>
      <c r="D30" s="13">
        <v>0.0015</v>
      </c>
      <c r="E30" s="11" t="s">
        <v>82</v>
      </c>
      <c r="F30" s="12">
        <v>22196.95</v>
      </c>
      <c r="G30" s="11">
        <v>0.003376691</v>
      </c>
      <c r="H30" s="13">
        <v>0.0034</v>
      </c>
      <c r="J30" s="40" t="s">
        <v>83</v>
      </c>
      <c r="K30" s="23">
        <v>-1312.0</v>
      </c>
      <c r="L30" s="23">
        <v>0.0</v>
      </c>
      <c r="M30" s="23">
        <v>0.0</v>
      </c>
      <c r="N30" s="23">
        <v>21279.0</v>
      </c>
      <c r="P30" s="18"/>
      <c r="Q30" s="18"/>
      <c r="R30" s="18"/>
      <c r="S30" s="18"/>
    </row>
    <row r="31" ht="15.75" customHeight="1">
      <c r="A31" s="11" t="s">
        <v>84</v>
      </c>
      <c r="B31" s="12">
        <v>1142.2</v>
      </c>
      <c r="C31" s="11">
        <v>0.0198</v>
      </c>
      <c r="D31" s="13">
        <v>0.0198</v>
      </c>
      <c r="E31" s="11" t="s">
        <v>84</v>
      </c>
      <c r="F31" s="12">
        <v>22122.25</v>
      </c>
      <c r="G31" s="11">
        <v>0.003699973</v>
      </c>
      <c r="H31" s="13">
        <v>0.0037</v>
      </c>
      <c r="J31" s="40" t="s">
        <v>85</v>
      </c>
      <c r="K31" s="43">
        <v>0.3</v>
      </c>
      <c r="L31" s="43">
        <v>0.3</v>
      </c>
      <c r="M31" s="43">
        <v>0.3</v>
      </c>
      <c r="N31" s="43">
        <f>N30/N29</f>
        <v>0.299026152</v>
      </c>
    </row>
    <row r="32" ht="15.75" customHeight="1">
      <c r="A32" s="11" t="s">
        <v>86</v>
      </c>
      <c r="B32" s="12">
        <v>1120.0</v>
      </c>
      <c r="C32" s="11">
        <v>-6.0E-4</v>
      </c>
      <c r="D32" s="13">
        <v>-6.0E-4</v>
      </c>
      <c r="E32" s="11" t="s">
        <v>86</v>
      </c>
      <c r="F32" s="12">
        <v>22040.7</v>
      </c>
      <c r="G32" s="11">
        <v>0.005930879</v>
      </c>
      <c r="H32" s="13">
        <v>0.0059</v>
      </c>
      <c r="J32" s="40" t="s">
        <v>87</v>
      </c>
      <c r="K32" s="41">
        <v>0.088</v>
      </c>
      <c r="L32" s="41">
        <v>0.0984</v>
      </c>
      <c r="M32" s="41">
        <v>0.0658</v>
      </c>
      <c r="N32" s="41">
        <v>0.0802</v>
      </c>
    </row>
    <row r="33" ht="15.75" customHeight="1">
      <c r="A33" s="11" t="s">
        <v>88</v>
      </c>
      <c r="B33" s="12">
        <v>1120.7</v>
      </c>
      <c r="C33" s="11">
        <v>0.0043</v>
      </c>
      <c r="D33" s="13">
        <v>0.0043</v>
      </c>
      <c r="E33" s="11" t="s">
        <v>88</v>
      </c>
      <c r="F33" s="12">
        <v>21910.75</v>
      </c>
      <c r="G33" s="11">
        <v>0.003237172</v>
      </c>
      <c r="H33" s="13">
        <v>0.0032</v>
      </c>
      <c r="J33" s="40" t="s">
        <v>89</v>
      </c>
      <c r="K33" s="23">
        <v>773601.0</v>
      </c>
      <c r="L33" s="23">
        <v>789298.0</v>
      </c>
      <c r="M33" s="23">
        <v>789934.0</v>
      </c>
      <c r="N33" s="23">
        <v>1008619.0</v>
      </c>
      <c r="P33" s="44" t="s">
        <v>90</v>
      </c>
      <c r="Q33" s="44"/>
      <c r="R33" s="44"/>
      <c r="S33" s="44"/>
      <c r="T33" s="44"/>
      <c r="U33" s="44"/>
      <c r="V33" s="44"/>
      <c r="W33" s="44"/>
    </row>
    <row r="34" ht="15.75" customHeight="1">
      <c r="A34" s="11" t="s">
        <v>91</v>
      </c>
      <c r="B34" s="12">
        <v>1115.85</v>
      </c>
      <c r="C34" s="11">
        <v>-0.0018</v>
      </c>
      <c r="D34" s="13">
        <v>-0.0018</v>
      </c>
      <c r="E34" s="11" t="s">
        <v>91</v>
      </c>
      <c r="F34" s="12">
        <v>21840.05</v>
      </c>
      <c r="G34" s="11">
        <v>0.004451956</v>
      </c>
      <c r="H34" s="13">
        <v>0.0045</v>
      </c>
      <c r="J34" s="40" t="s">
        <v>92</v>
      </c>
      <c r="K34" s="23">
        <f t="shared" ref="K34:N34" si="5">K26/(K26+K33)</f>
        <v>0.5496239691</v>
      </c>
      <c r="L34" s="23">
        <f t="shared" si="5"/>
        <v>0.567123456</v>
      </c>
      <c r="M34" s="23">
        <f t="shared" si="5"/>
        <v>0.6403414037</v>
      </c>
      <c r="N34" s="23">
        <f t="shared" si="5"/>
        <v>0.5553690839</v>
      </c>
      <c r="P34" s="44" t="s">
        <v>93</v>
      </c>
      <c r="Q34" s="44"/>
      <c r="R34" s="44"/>
      <c r="S34" s="44"/>
      <c r="T34" s="44"/>
      <c r="U34" s="44"/>
      <c r="V34" s="44"/>
      <c r="W34" s="44"/>
    </row>
    <row r="35" ht="15.75" customHeight="1">
      <c r="A35" s="11" t="s">
        <v>94</v>
      </c>
      <c r="B35" s="12">
        <v>1117.85</v>
      </c>
      <c r="C35" s="11">
        <v>-8.0E-4</v>
      </c>
      <c r="D35" s="13">
        <v>-8.0E-4</v>
      </c>
      <c r="E35" s="11" t="s">
        <v>94</v>
      </c>
      <c r="F35" s="12">
        <v>21743.25</v>
      </c>
      <c r="G35" s="11">
        <v>0.005884516</v>
      </c>
      <c r="H35" s="13">
        <v>0.0059</v>
      </c>
      <c r="J35" s="40" t="s">
        <v>95</v>
      </c>
      <c r="K35" s="23">
        <v>54.96239691</v>
      </c>
      <c r="L35" s="23">
        <v>11.58366679</v>
      </c>
      <c r="M35" s="23">
        <v>58.23573961</v>
      </c>
      <c r="N35" s="23">
        <v>55.53690839</v>
      </c>
      <c r="P35" s="44" t="s">
        <v>96</v>
      </c>
      <c r="Q35" s="44"/>
      <c r="R35" s="44"/>
      <c r="S35" s="44"/>
      <c r="T35" s="44"/>
      <c r="U35" s="44"/>
      <c r="V35" s="44"/>
      <c r="W35" s="44"/>
    </row>
    <row r="36" ht="15.75" customHeight="1">
      <c r="A36" s="35">
        <v>45628.0</v>
      </c>
      <c r="B36" s="12">
        <v>1118.7</v>
      </c>
      <c r="C36" s="11">
        <v>-0.0014</v>
      </c>
      <c r="D36" s="13">
        <v>-0.0014</v>
      </c>
      <c r="E36" s="35">
        <v>45628.0</v>
      </c>
      <c r="F36" s="12">
        <v>21616.05</v>
      </c>
      <c r="G36" s="11">
        <v>-0.007641455</v>
      </c>
      <c r="H36" s="13">
        <v>-0.0076</v>
      </c>
      <c r="J36" s="40" t="s">
        <v>97</v>
      </c>
      <c r="K36" s="23">
        <f t="shared" ref="K36:N36" si="6">1-K34</f>
        <v>0.4503760309</v>
      </c>
      <c r="L36" s="23">
        <f t="shared" si="6"/>
        <v>0.432876544</v>
      </c>
      <c r="M36" s="23">
        <f t="shared" si="6"/>
        <v>0.3596585963</v>
      </c>
      <c r="N36" s="23">
        <f t="shared" si="6"/>
        <v>0.4446309161</v>
      </c>
    </row>
    <row r="37" ht="15.75" customHeight="1">
      <c r="A37" s="35">
        <v>45537.0</v>
      </c>
      <c r="B37" s="12">
        <v>1120.25</v>
      </c>
      <c r="C37" s="11">
        <v>-0.0192</v>
      </c>
      <c r="D37" s="13">
        <v>-0.0192</v>
      </c>
      <c r="E37" s="35">
        <v>45537.0</v>
      </c>
      <c r="F37" s="12">
        <v>21782.5</v>
      </c>
      <c r="G37" s="11">
        <v>0.002972196</v>
      </c>
      <c r="H37" s="13">
        <v>0.003</v>
      </c>
      <c r="J37" s="40" t="s">
        <v>98</v>
      </c>
      <c r="K37" s="23">
        <f t="shared" ref="K37:N37" si="7">K36*100</f>
        <v>45.03760309</v>
      </c>
      <c r="L37" s="23">
        <f t="shared" si="7"/>
        <v>43.2876544</v>
      </c>
      <c r="M37" s="23">
        <f t="shared" si="7"/>
        <v>35.96585963</v>
      </c>
      <c r="N37" s="23">
        <f t="shared" si="7"/>
        <v>44.46309161</v>
      </c>
    </row>
    <row r="38" ht="15.75" customHeight="1">
      <c r="A38" s="35">
        <v>45506.0</v>
      </c>
      <c r="B38" s="12">
        <v>1142.15</v>
      </c>
      <c r="C38" s="11">
        <v>0.0069</v>
      </c>
      <c r="D38" s="13">
        <v>0.0069</v>
      </c>
      <c r="E38" s="35">
        <v>45506.0</v>
      </c>
      <c r="F38" s="12">
        <v>21717.95</v>
      </c>
      <c r="G38" s="11">
        <v>-0.009691981</v>
      </c>
      <c r="H38" s="13">
        <v>-0.0097</v>
      </c>
      <c r="J38" s="40" t="s">
        <v>99</v>
      </c>
      <c r="K38" s="23">
        <f>(K34*K32)+(K36*K15)</f>
        <v>0.1752828748</v>
      </c>
      <c r="L38" s="23">
        <f>(L34*L32)+(L36*K15)</f>
        <v>0.1777895582</v>
      </c>
      <c r="M38" s="23">
        <f>(M34*M32)+(M36*K15)</f>
        <v>0.1434862568</v>
      </c>
      <c r="N38" s="23">
        <f>(N34*N32)+(N36*K15)</f>
        <v>0.1698375927</v>
      </c>
    </row>
    <row r="39" ht="15.75" customHeight="1">
      <c r="A39" s="35">
        <v>45475.0</v>
      </c>
      <c r="B39" s="12">
        <v>1134.3</v>
      </c>
      <c r="C39" s="11">
        <v>2.0E-4</v>
      </c>
      <c r="D39" s="13">
        <v>2.0E-4</v>
      </c>
      <c r="E39" s="35">
        <v>45475.0</v>
      </c>
      <c r="F39" s="12">
        <v>21930.5</v>
      </c>
      <c r="G39" s="45">
        <v>5.0161E-5</v>
      </c>
      <c r="H39" s="13">
        <v>1.0E-4</v>
      </c>
      <c r="J39" s="40" t="s">
        <v>99</v>
      </c>
      <c r="K39" s="41">
        <f t="shared" ref="K39:N39" si="8">K38</f>
        <v>0.1752828748</v>
      </c>
      <c r="L39" s="41">
        <f t="shared" si="8"/>
        <v>0.1777895582</v>
      </c>
      <c r="M39" s="41">
        <f t="shared" si="8"/>
        <v>0.1434862568</v>
      </c>
      <c r="N39" s="41">
        <f t="shared" si="8"/>
        <v>0.1698375927</v>
      </c>
    </row>
    <row r="40" ht="15.75" customHeight="1">
      <c r="A40" s="35">
        <v>45445.0</v>
      </c>
      <c r="B40" s="12">
        <v>1134.05</v>
      </c>
      <c r="C40" s="11">
        <v>0.0184</v>
      </c>
      <c r="D40" s="13">
        <v>0.0184</v>
      </c>
      <c r="E40" s="35">
        <v>45445.0</v>
      </c>
      <c r="F40" s="12">
        <v>21929.4</v>
      </c>
      <c r="G40" s="11">
        <v>0.007243348</v>
      </c>
      <c r="H40" s="13">
        <v>0.0072</v>
      </c>
      <c r="I40" s="11"/>
      <c r="J40" s="40" t="s">
        <v>100</v>
      </c>
      <c r="K40" s="23">
        <f t="shared" ref="K40:K41" si="9">AVERAGE(K38:N38)</f>
        <v>0.1665990706</v>
      </c>
      <c r="L40" s="23"/>
      <c r="M40" s="23"/>
      <c r="N40" s="23"/>
    </row>
    <row r="41" ht="15.75" customHeight="1">
      <c r="A41" s="35">
        <v>45414.0</v>
      </c>
      <c r="B41" s="12">
        <v>1113.55</v>
      </c>
      <c r="C41" s="11">
        <v>-0.0324</v>
      </c>
      <c r="D41" s="13">
        <v>-0.0324</v>
      </c>
      <c r="E41" s="35">
        <v>45414.0</v>
      </c>
      <c r="F41" s="12">
        <v>21771.7</v>
      </c>
      <c r="G41" s="11">
        <v>-0.003756784</v>
      </c>
      <c r="H41" s="13">
        <v>-0.0038</v>
      </c>
      <c r="J41" s="46" t="s">
        <v>100</v>
      </c>
      <c r="K41" s="47">
        <f t="shared" si="9"/>
        <v>0.1665990706</v>
      </c>
      <c r="L41" s="23"/>
      <c r="M41" s="23"/>
      <c r="N41" s="23"/>
    </row>
    <row r="42" ht="15.75" customHeight="1">
      <c r="A42" s="35">
        <v>45324.0</v>
      </c>
      <c r="B42" s="12">
        <v>1150.8</v>
      </c>
      <c r="C42" s="11">
        <v>-3.0E-4</v>
      </c>
      <c r="D42" s="13">
        <v>-3.0E-4</v>
      </c>
      <c r="E42" s="35">
        <v>45324.0</v>
      </c>
      <c r="F42" s="12">
        <v>21853.8</v>
      </c>
      <c r="G42" s="11">
        <v>0.007205916</v>
      </c>
      <c r="H42" s="13">
        <v>0.0072</v>
      </c>
    </row>
    <row r="43" ht="15.75" customHeight="1">
      <c r="A43" s="35">
        <v>45293.0</v>
      </c>
      <c r="B43" s="12">
        <v>1151.2</v>
      </c>
      <c r="C43" s="11">
        <v>-0.0167</v>
      </c>
      <c r="D43" s="13">
        <v>-0.0167</v>
      </c>
      <c r="E43" s="35">
        <v>45293.0</v>
      </c>
      <c r="F43" s="12">
        <v>21697.45</v>
      </c>
      <c r="G43" s="11">
        <v>-0.001300303</v>
      </c>
      <c r="H43" s="13">
        <v>-0.0013</v>
      </c>
    </row>
    <row r="44" ht="15.75" customHeight="1">
      <c r="A44" s="11" t="s">
        <v>101</v>
      </c>
      <c r="B44" s="12">
        <v>1170.7</v>
      </c>
      <c r="C44" s="11">
        <v>0.0104</v>
      </c>
      <c r="D44" s="13">
        <v>0.0104</v>
      </c>
      <c r="E44" s="11" t="s">
        <v>101</v>
      </c>
      <c r="F44" s="12">
        <v>21725.7</v>
      </c>
      <c r="G44" s="11">
        <v>0.009460043</v>
      </c>
      <c r="H44" s="13">
        <v>0.0095</v>
      </c>
    </row>
    <row r="45" ht="15.75" customHeight="1">
      <c r="A45" s="11" t="s">
        <v>102</v>
      </c>
      <c r="B45" s="12">
        <v>1158.65</v>
      </c>
      <c r="C45" s="11">
        <v>-0.003</v>
      </c>
      <c r="D45" s="13">
        <v>-0.003</v>
      </c>
      <c r="E45" s="11" t="s">
        <v>102</v>
      </c>
      <c r="F45" s="12">
        <v>21522.1</v>
      </c>
      <c r="G45" s="11">
        <v>-0.009913698</v>
      </c>
      <c r="H45" s="13">
        <v>-0.0099</v>
      </c>
    </row>
    <row r="46" ht="15.75" customHeight="1">
      <c r="A46" s="11" t="s">
        <v>103</v>
      </c>
      <c r="B46" s="12">
        <v>1162.15</v>
      </c>
      <c r="C46" s="11">
        <v>0.0014</v>
      </c>
      <c r="D46" s="13">
        <v>0.0014</v>
      </c>
      <c r="E46" s="11" t="s">
        <v>103</v>
      </c>
      <c r="F46" s="12">
        <v>21737.6</v>
      </c>
      <c r="G46" s="11">
        <v>0.018030591</v>
      </c>
      <c r="H46" s="13">
        <v>0.018</v>
      </c>
    </row>
    <row r="47" ht="15.75" customHeight="1">
      <c r="A47" s="11" t="s">
        <v>104</v>
      </c>
      <c r="B47" s="12">
        <v>1160.55</v>
      </c>
      <c r="C47" s="11">
        <v>-0.0247</v>
      </c>
      <c r="D47" s="13">
        <v>-0.0247</v>
      </c>
      <c r="E47" s="11" t="s">
        <v>104</v>
      </c>
      <c r="F47" s="12">
        <v>21352.6</v>
      </c>
      <c r="G47" s="11">
        <v>-0.004724072</v>
      </c>
      <c r="H47" s="13">
        <v>-0.0047</v>
      </c>
    </row>
    <row r="48" ht="15.75" customHeight="1">
      <c r="A48" s="11" t="s">
        <v>105</v>
      </c>
      <c r="B48" s="12">
        <v>1189.95</v>
      </c>
      <c r="C48" s="11">
        <v>0.0276</v>
      </c>
      <c r="D48" s="13">
        <v>0.0276</v>
      </c>
      <c r="E48" s="11" t="s">
        <v>105</v>
      </c>
      <c r="F48" s="12">
        <v>21453.95</v>
      </c>
      <c r="G48" s="11">
        <v>0.010130045</v>
      </c>
      <c r="H48" s="13">
        <v>0.0101</v>
      </c>
    </row>
    <row r="49" ht="15.75" customHeight="1">
      <c r="A49" s="11" t="s">
        <v>106</v>
      </c>
      <c r="B49" s="12">
        <v>1158.0</v>
      </c>
      <c r="C49" s="11">
        <v>0.0305</v>
      </c>
      <c r="D49" s="13">
        <v>0.0305</v>
      </c>
      <c r="E49" s="11" t="s">
        <v>106</v>
      </c>
      <c r="F49" s="12">
        <v>21238.8</v>
      </c>
      <c r="G49" s="11">
        <v>-0.01543682</v>
      </c>
      <c r="H49" s="13">
        <v>-0.0154</v>
      </c>
    </row>
    <row r="50" ht="15.75" customHeight="1">
      <c r="A50" s="11" t="s">
        <v>107</v>
      </c>
      <c r="B50" s="12">
        <v>1123.75</v>
      </c>
      <c r="C50" s="11">
        <v>-0.0011</v>
      </c>
      <c r="D50" s="13">
        <v>-0.0011</v>
      </c>
      <c r="E50" s="11" t="s">
        <v>107</v>
      </c>
      <c r="F50" s="12">
        <v>21571.8</v>
      </c>
      <c r="G50" s="11">
        <v>-0.002340166</v>
      </c>
      <c r="H50" s="13">
        <v>-0.0023</v>
      </c>
    </row>
    <row r="51" ht="15.75" customHeight="1">
      <c r="A51" s="11" t="s">
        <v>108</v>
      </c>
      <c r="B51" s="12">
        <v>1125.0</v>
      </c>
      <c r="C51" s="11">
        <v>0.0349</v>
      </c>
      <c r="D51" s="13">
        <v>0.0349</v>
      </c>
      <c r="E51" s="11" t="s">
        <v>108</v>
      </c>
      <c r="F51" s="12">
        <v>21622.4</v>
      </c>
      <c r="G51" s="11">
        <v>0.007461939</v>
      </c>
      <c r="H51" s="13">
        <v>0.0075</v>
      </c>
    </row>
    <row r="52" ht="15.75" customHeight="1">
      <c r="A52" s="11" t="s">
        <v>109</v>
      </c>
      <c r="B52" s="12">
        <v>1087.05</v>
      </c>
      <c r="C52" s="11">
        <v>0.0017</v>
      </c>
      <c r="D52" s="13">
        <v>0.0017</v>
      </c>
      <c r="E52" s="11" t="s">
        <v>109</v>
      </c>
      <c r="F52" s="12">
        <v>21462.25</v>
      </c>
      <c r="G52" s="11">
        <v>-0.005085308</v>
      </c>
      <c r="H52" s="13">
        <v>-0.0051</v>
      </c>
    </row>
    <row r="53" ht="15.75" customHeight="1">
      <c r="A53" s="11" t="s">
        <v>110</v>
      </c>
      <c r="B53" s="12">
        <v>1085.25</v>
      </c>
      <c r="C53" s="11">
        <v>-0.0097</v>
      </c>
      <c r="D53" s="13">
        <v>-0.0097</v>
      </c>
      <c r="E53" s="11" t="s">
        <v>110</v>
      </c>
      <c r="F53" s="12">
        <v>21571.95</v>
      </c>
      <c r="G53" s="11">
        <v>-0.020894323</v>
      </c>
      <c r="H53" s="13">
        <v>-0.0209</v>
      </c>
    </row>
    <row r="54" ht="15.75" customHeight="1">
      <c r="A54" s="11" t="s">
        <v>111</v>
      </c>
      <c r="B54" s="12">
        <v>1095.9</v>
      </c>
      <c r="C54" s="11">
        <v>-0.0059</v>
      </c>
      <c r="D54" s="13">
        <v>-0.0059</v>
      </c>
      <c r="E54" s="11" t="s">
        <v>111</v>
      </c>
      <c r="F54" s="12">
        <v>22032.3</v>
      </c>
      <c r="G54" s="11">
        <v>-0.002948304</v>
      </c>
      <c r="H54" s="13">
        <v>-0.0029</v>
      </c>
    </row>
    <row r="55" ht="15.75" customHeight="1">
      <c r="A55" s="11" t="s">
        <v>112</v>
      </c>
      <c r="B55" s="12">
        <v>1102.4</v>
      </c>
      <c r="C55" s="11">
        <v>0.0242</v>
      </c>
      <c r="D55" s="13">
        <v>0.0242</v>
      </c>
      <c r="E55" s="11" t="s">
        <v>112</v>
      </c>
      <c r="F55" s="12">
        <v>22097.45</v>
      </c>
      <c r="G55" s="11">
        <v>0.009267146</v>
      </c>
      <c r="H55" s="13">
        <v>0.0093</v>
      </c>
    </row>
    <row r="56" ht="15.75" customHeight="1">
      <c r="A56" s="35">
        <v>45627.0</v>
      </c>
      <c r="B56" s="12">
        <v>1076.35</v>
      </c>
      <c r="C56" s="11">
        <v>0.0127</v>
      </c>
      <c r="D56" s="13">
        <v>0.0127</v>
      </c>
      <c r="E56" s="35">
        <v>45627.0</v>
      </c>
      <c r="F56" s="12">
        <v>21894.55</v>
      </c>
      <c r="G56" s="11">
        <v>0.01142642</v>
      </c>
      <c r="H56" s="13">
        <v>0.0114</v>
      </c>
    </row>
    <row r="57" ht="15.75" customHeight="1">
      <c r="A57" s="35">
        <v>45597.0</v>
      </c>
      <c r="B57" s="12">
        <v>1062.85</v>
      </c>
      <c r="C57" s="11">
        <v>1.0E-4</v>
      </c>
      <c r="D57" s="13">
        <v>1.0E-4</v>
      </c>
      <c r="E57" s="35">
        <v>45597.0</v>
      </c>
      <c r="F57" s="12">
        <v>21647.2</v>
      </c>
      <c r="G57" s="11">
        <v>0.001318303</v>
      </c>
      <c r="H57" s="13">
        <v>0.0013</v>
      </c>
      <c r="J57" s="15"/>
      <c r="K57" s="11"/>
      <c r="L57" s="11"/>
      <c r="M57" s="11"/>
      <c r="N57" s="11"/>
    </row>
    <row r="58" ht="15.75" customHeight="1">
      <c r="A58" s="35">
        <v>45566.0</v>
      </c>
      <c r="B58" s="12">
        <v>1062.7</v>
      </c>
      <c r="C58" s="11">
        <v>-0.0017</v>
      </c>
      <c r="D58" s="13">
        <v>-0.0017</v>
      </c>
      <c r="E58" s="35">
        <v>45566.0</v>
      </c>
      <c r="F58" s="12">
        <v>21618.7</v>
      </c>
      <c r="G58" s="11">
        <v>0.003427733</v>
      </c>
      <c r="H58" s="13">
        <v>0.0034</v>
      </c>
      <c r="J58" s="15"/>
      <c r="K58" s="11"/>
      <c r="L58" s="11"/>
      <c r="M58" s="11"/>
      <c r="N58" s="11"/>
    </row>
    <row r="59" ht="15.75" customHeight="1">
      <c r="A59" s="35">
        <v>45536.0</v>
      </c>
      <c r="B59" s="12">
        <v>1064.5</v>
      </c>
      <c r="C59" s="11">
        <v>0.0147</v>
      </c>
      <c r="D59" s="13">
        <v>0.0147</v>
      </c>
      <c r="E59" s="35">
        <v>45536.0</v>
      </c>
      <c r="F59" s="12">
        <v>21544.85</v>
      </c>
      <c r="G59" s="11">
        <v>0.0014805</v>
      </c>
      <c r="H59" s="13">
        <v>0.0015</v>
      </c>
      <c r="J59" s="15"/>
      <c r="K59" s="11"/>
      <c r="L59" s="11"/>
      <c r="M59" s="11"/>
      <c r="N59" s="11"/>
    </row>
    <row r="60" ht="15.75" customHeight="1">
      <c r="A60" s="35">
        <v>45505.0</v>
      </c>
      <c r="B60" s="12">
        <v>1049.05</v>
      </c>
      <c r="C60" s="11">
        <v>0.0023</v>
      </c>
      <c r="D60" s="13">
        <v>0.0023</v>
      </c>
      <c r="E60" s="35">
        <v>45505.0</v>
      </c>
      <c r="F60" s="12">
        <v>21513.0</v>
      </c>
      <c r="G60" s="11">
        <v>-0.009110673</v>
      </c>
      <c r="H60" s="13">
        <v>-0.0091</v>
      </c>
      <c r="J60" s="15"/>
      <c r="K60" s="11"/>
      <c r="L60" s="11"/>
      <c r="M60" s="11"/>
      <c r="N60" s="11"/>
    </row>
    <row r="61" ht="15.75" customHeight="1">
      <c r="A61" s="35">
        <v>45413.0</v>
      </c>
      <c r="B61" s="12">
        <v>1046.6</v>
      </c>
      <c r="C61" s="11">
        <v>-0.0012</v>
      </c>
      <c r="D61" s="13">
        <v>-0.0012</v>
      </c>
      <c r="E61" s="35">
        <v>45413.0</v>
      </c>
      <c r="F61" s="12">
        <v>21710.8</v>
      </c>
      <c r="G61" s="11">
        <v>0.002410128</v>
      </c>
      <c r="H61" s="13">
        <v>0.0024</v>
      </c>
      <c r="J61" s="15"/>
      <c r="K61" s="11"/>
      <c r="L61" s="11"/>
      <c r="M61" s="11"/>
      <c r="N61" s="11"/>
    </row>
    <row r="62" ht="15.75" customHeight="1">
      <c r="A62" s="35">
        <v>45383.0</v>
      </c>
      <c r="B62" s="12">
        <v>1047.9</v>
      </c>
      <c r="C62" s="11">
        <v>0.0123</v>
      </c>
      <c r="D62" s="13">
        <v>0.0123</v>
      </c>
      <c r="E62" s="35">
        <v>45383.0</v>
      </c>
      <c r="F62" s="12">
        <v>21658.6</v>
      </c>
      <c r="G62" s="11">
        <v>0.00656447</v>
      </c>
      <c r="H62" s="13">
        <v>0.0066</v>
      </c>
      <c r="J62" s="15"/>
      <c r="K62" s="11"/>
      <c r="L62" s="11"/>
      <c r="M62" s="11"/>
      <c r="N62" s="11"/>
    </row>
    <row r="63" ht="15.75" customHeight="1">
      <c r="A63" s="35">
        <v>45352.0</v>
      </c>
      <c r="B63" s="12">
        <v>1035.2</v>
      </c>
      <c r="C63" s="11">
        <v>0.0132</v>
      </c>
      <c r="D63" s="13">
        <v>0.0132</v>
      </c>
      <c r="E63" s="35">
        <v>45352.0</v>
      </c>
      <c r="F63" s="12">
        <v>21517.35</v>
      </c>
      <c r="G63" s="11">
        <v>-0.006851813</v>
      </c>
      <c r="H63" s="13">
        <v>-0.0069</v>
      </c>
      <c r="J63" s="15"/>
      <c r="K63" s="11"/>
      <c r="L63" s="11"/>
      <c r="M63" s="11"/>
      <c r="N63" s="11"/>
    </row>
    <row r="64" ht="15.75" customHeight="1">
      <c r="A64" s="35">
        <v>45323.0</v>
      </c>
      <c r="B64" s="12">
        <v>1021.7</v>
      </c>
      <c r="C64" s="11">
        <v>0.0085</v>
      </c>
      <c r="D64" s="13">
        <v>0.0085</v>
      </c>
      <c r="E64" s="35">
        <v>45323.0</v>
      </c>
      <c r="F64" s="12">
        <v>21665.8</v>
      </c>
      <c r="G64" s="11">
        <v>-0.003500154</v>
      </c>
      <c r="H64" s="13">
        <v>-0.0035</v>
      </c>
      <c r="I64" s="11" t="s">
        <v>113</v>
      </c>
      <c r="J64" s="32"/>
      <c r="K64" s="48"/>
      <c r="L64" s="48"/>
      <c r="M64" s="48" t="s">
        <v>114</v>
      </c>
      <c r="N64" s="48"/>
      <c r="O64" s="19"/>
      <c r="P64" s="19"/>
      <c r="Q64" s="19" t="s">
        <v>115</v>
      </c>
      <c r="R64" s="19"/>
    </row>
    <row r="65" ht="15.75" customHeight="1">
      <c r="A65" s="35">
        <v>45292.0</v>
      </c>
      <c r="B65" s="12">
        <v>1013.05</v>
      </c>
      <c r="C65" s="11">
        <v>-0.0186</v>
      </c>
      <c r="D65" s="13">
        <v>-0.0186</v>
      </c>
      <c r="E65" s="35">
        <v>45292.0</v>
      </c>
      <c r="F65" s="12">
        <v>21741.9</v>
      </c>
      <c r="G65" s="11">
        <v>4.83172E-4</v>
      </c>
      <c r="H65" s="13">
        <v>5.0E-4</v>
      </c>
      <c r="I65" s="11"/>
      <c r="J65" s="17" t="s">
        <v>116</v>
      </c>
      <c r="K65" s="16" t="s">
        <v>117</v>
      </c>
      <c r="L65" s="6"/>
      <c r="M65" s="19"/>
      <c r="N65" s="48" t="s">
        <v>118</v>
      </c>
      <c r="O65" s="19"/>
    </row>
    <row r="66" ht="15.75" customHeight="1">
      <c r="A66" s="11" t="s">
        <v>119</v>
      </c>
      <c r="B66" s="12">
        <v>1032.2</v>
      </c>
      <c r="C66" s="11">
        <v>-0.0043</v>
      </c>
      <c r="D66" s="13">
        <v>-0.0043</v>
      </c>
      <c r="E66" s="11" t="s">
        <v>119</v>
      </c>
      <c r="F66" s="12">
        <v>21731.4</v>
      </c>
      <c r="G66" s="11">
        <v>-0.002171847</v>
      </c>
      <c r="H66" s="13">
        <v>-0.0022</v>
      </c>
      <c r="I66" s="11"/>
      <c r="J66" s="49">
        <f>_xlfn.VAR.S(C4:C745)</f>
        <v>0.0002000680509</v>
      </c>
      <c r="K66" s="50">
        <f>_xlfn.VAR.P(G3:G745)</f>
        <v>0.00007456432323</v>
      </c>
      <c r="L66" s="11"/>
      <c r="N66" s="11"/>
    </row>
    <row r="67" ht="15.75" customHeight="1">
      <c r="A67" s="11" t="s">
        <v>120</v>
      </c>
      <c r="B67" s="12">
        <v>1036.7</v>
      </c>
      <c r="C67" s="11">
        <v>0.0152</v>
      </c>
      <c r="D67" s="13">
        <v>0.0152</v>
      </c>
      <c r="E67" s="11" t="s">
        <v>120</v>
      </c>
      <c r="F67" s="12">
        <v>21778.7</v>
      </c>
      <c r="G67" s="11">
        <v>0.005723917</v>
      </c>
      <c r="H67" s="13">
        <v>0.0057</v>
      </c>
      <c r="I67" s="11"/>
      <c r="J67" s="15"/>
      <c r="K67" s="11"/>
      <c r="L67" s="11"/>
      <c r="M67" s="11"/>
      <c r="N67" s="11"/>
    </row>
    <row r="68" ht="15.75" customHeight="1">
      <c r="A68" s="11" t="s">
        <v>121</v>
      </c>
      <c r="B68" s="12">
        <v>1021.2</v>
      </c>
      <c r="C68" s="11">
        <v>0.0214</v>
      </c>
      <c r="D68" s="13">
        <v>0.0214</v>
      </c>
      <c r="E68" s="11" t="s">
        <v>121</v>
      </c>
      <c r="F68" s="12">
        <v>21654.75</v>
      </c>
      <c r="G68" s="11">
        <v>0.009952732</v>
      </c>
      <c r="H68" s="13">
        <v>0.01</v>
      </c>
      <c r="I68" s="11" t="s">
        <v>122</v>
      </c>
      <c r="J68" s="51" t="s">
        <v>123</v>
      </c>
      <c r="K68" s="52">
        <f>J66-K69</f>
        <v>0.0001540806908</v>
      </c>
      <c r="L68" s="11"/>
      <c r="M68" s="19" t="s">
        <v>124</v>
      </c>
      <c r="N68" s="19"/>
      <c r="O68" s="19"/>
      <c r="P68" s="19"/>
      <c r="Q68" s="19"/>
      <c r="R68" s="19"/>
      <c r="S68" s="19"/>
    </row>
    <row r="69" ht="15.75" customHeight="1">
      <c r="A69" s="11" t="s">
        <v>125</v>
      </c>
      <c r="B69" s="11">
        <v>999.85</v>
      </c>
      <c r="C69" s="11">
        <v>0.0104</v>
      </c>
      <c r="D69" s="13">
        <v>0.0104</v>
      </c>
      <c r="E69" s="11" t="s">
        <v>125</v>
      </c>
      <c r="F69" s="12">
        <v>21441.35</v>
      </c>
      <c r="G69" s="11">
        <v>0.004306913</v>
      </c>
      <c r="H69" s="13">
        <v>0.0043</v>
      </c>
      <c r="J69" s="53" t="s">
        <v>54</v>
      </c>
      <c r="K69" s="54">
        <f>K66*K9^2</f>
        <v>0.0000459873601</v>
      </c>
      <c r="M69" s="19" t="s">
        <v>126</v>
      </c>
      <c r="N69" s="19"/>
      <c r="O69" s="19"/>
      <c r="P69" s="19"/>
      <c r="Q69" s="19"/>
      <c r="R69" s="19"/>
      <c r="S69" s="19"/>
    </row>
    <row r="70" ht="15.75" customHeight="1">
      <c r="A70" s="11" t="s">
        <v>127</v>
      </c>
      <c r="B70" s="11">
        <v>989.55</v>
      </c>
      <c r="C70" s="11">
        <v>0.0119</v>
      </c>
      <c r="D70" s="13">
        <v>0.0119</v>
      </c>
      <c r="E70" s="11" t="s">
        <v>127</v>
      </c>
      <c r="F70" s="12">
        <v>21349.4</v>
      </c>
      <c r="G70" s="11">
        <v>0.004438945</v>
      </c>
      <c r="H70" s="13">
        <v>0.0044</v>
      </c>
      <c r="K70" s="11"/>
      <c r="M70" s="19" t="s">
        <v>128</v>
      </c>
      <c r="N70" s="19"/>
      <c r="O70" s="19"/>
      <c r="P70" s="19"/>
      <c r="Q70" s="19"/>
      <c r="R70" s="19"/>
      <c r="S70" s="19"/>
    </row>
    <row r="71" ht="15.75" customHeight="1">
      <c r="A71" s="11" t="s">
        <v>129</v>
      </c>
      <c r="B71" s="11">
        <v>977.9</v>
      </c>
      <c r="C71" s="11">
        <v>0.0065</v>
      </c>
      <c r="D71" s="13">
        <v>0.0065</v>
      </c>
      <c r="E71" s="11" t="s">
        <v>129</v>
      </c>
      <c r="F71" s="12">
        <v>21255.05</v>
      </c>
      <c r="G71" s="11">
        <v>0.004959776</v>
      </c>
      <c r="H71" s="13">
        <v>0.005</v>
      </c>
    </row>
    <row r="72" ht="15.75" customHeight="1">
      <c r="A72" s="11" t="s">
        <v>130</v>
      </c>
      <c r="B72" s="11">
        <v>971.55</v>
      </c>
      <c r="C72" s="11">
        <v>-0.0171</v>
      </c>
      <c r="D72" s="13">
        <v>-0.0171</v>
      </c>
      <c r="E72" s="11" t="s">
        <v>130</v>
      </c>
      <c r="F72" s="12">
        <v>21150.15</v>
      </c>
      <c r="G72" s="11">
        <v>-0.014121502</v>
      </c>
      <c r="H72" s="13">
        <v>-0.0141</v>
      </c>
      <c r="I72" s="11" t="s">
        <v>131</v>
      </c>
      <c r="J72" s="15"/>
      <c r="K72" s="11"/>
      <c r="L72" s="11"/>
    </row>
    <row r="73" ht="15.75" customHeight="1">
      <c r="A73" s="11" t="s">
        <v>132</v>
      </c>
      <c r="B73" s="11">
        <v>988.45</v>
      </c>
      <c r="C73" s="11">
        <v>-0.0018</v>
      </c>
      <c r="D73" s="13">
        <v>-0.0018</v>
      </c>
      <c r="E73" s="11" t="s">
        <v>132</v>
      </c>
      <c r="F73" s="12">
        <v>21453.1</v>
      </c>
      <c r="G73" s="11">
        <v>0.001608411</v>
      </c>
      <c r="H73" s="13">
        <v>0.0016</v>
      </c>
      <c r="J73" s="15"/>
      <c r="K73" s="11"/>
      <c r="L73" s="11"/>
      <c r="M73" s="11"/>
      <c r="N73" s="11"/>
    </row>
    <row r="74" ht="15.75" customHeight="1">
      <c r="A74" s="11" t="s">
        <v>133</v>
      </c>
      <c r="B74" s="11">
        <v>990.25</v>
      </c>
      <c r="C74" s="11">
        <v>-0.0023</v>
      </c>
      <c r="D74" s="13">
        <v>-0.0023</v>
      </c>
      <c r="E74" s="11" t="s">
        <v>133</v>
      </c>
      <c r="F74" s="12">
        <v>21418.65</v>
      </c>
      <c r="G74" s="11">
        <v>-0.001771013</v>
      </c>
      <c r="H74" s="13">
        <v>-0.0018</v>
      </c>
      <c r="J74" s="15"/>
      <c r="K74" s="11"/>
      <c r="L74" s="11"/>
      <c r="M74" s="11"/>
      <c r="N74" s="11"/>
    </row>
    <row r="75" ht="15.75" customHeight="1">
      <c r="A75" s="11" t="s">
        <v>134</v>
      </c>
      <c r="B75" s="11">
        <v>992.55</v>
      </c>
      <c r="C75" s="11">
        <v>-0.0126</v>
      </c>
      <c r="D75" s="13">
        <v>-0.0126</v>
      </c>
      <c r="E75" s="11" t="s">
        <v>134</v>
      </c>
      <c r="F75" s="12">
        <v>21456.65</v>
      </c>
      <c r="G75" s="11">
        <v>0.012932723</v>
      </c>
      <c r="H75" s="13">
        <v>0.0129</v>
      </c>
      <c r="J75" s="15"/>
      <c r="K75" s="11"/>
      <c r="L75" s="11"/>
      <c r="M75" s="11"/>
      <c r="N75" s="11"/>
    </row>
    <row r="76" ht="15.75" customHeight="1">
      <c r="A76" s="11" t="s">
        <v>135</v>
      </c>
      <c r="B76" s="12">
        <v>1005.2</v>
      </c>
      <c r="C76" s="11">
        <v>0.0053</v>
      </c>
      <c r="D76" s="13">
        <v>0.0053</v>
      </c>
      <c r="E76" s="11" t="s">
        <v>135</v>
      </c>
      <c r="F76" s="12">
        <v>21182.7</v>
      </c>
      <c r="G76" s="11">
        <v>0.012250106</v>
      </c>
      <c r="H76" s="13">
        <v>0.0123</v>
      </c>
      <c r="J76" s="15"/>
      <c r="K76" s="11"/>
      <c r="L76" s="11"/>
      <c r="M76" s="11"/>
      <c r="N76" s="11"/>
    </row>
    <row r="77" ht="15.75" customHeight="1">
      <c r="A77" s="11" t="s">
        <v>136</v>
      </c>
      <c r="B77" s="11">
        <v>999.9</v>
      </c>
      <c r="C77" s="11">
        <v>0.0047</v>
      </c>
      <c r="D77" s="13">
        <v>0.0047</v>
      </c>
      <c r="E77" s="11" t="s">
        <v>136</v>
      </c>
      <c r="F77" s="12">
        <v>20926.35</v>
      </c>
      <c r="G77" s="11">
        <v>9.54253E-4</v>
      </c>
      <c r="H77" s="13">
        <v>0.001</v>
      </c>
      <c r="J77" s="15"/>
      <c r="K77" s="11"/>
      <c r="L77" s="11"/>
      <c r="M77" s="11"/>
      <c r="N77" s="11"/>
    </row>
    <row r="78" ht="15.75" customHeight="1">
      <c r="A78" s="55">
        <v>45272.0</v>
      </c>
      <c r="B78" s="11">
        <v>995.25</v>
      </c>
      <c r="C78" s="11">
        <v>-0.0056</v>
      </c>
      <c r="D78" s="13">
        <v>-0.0056</v>
      </c>
      <c r="E78" s="55">
        <v>45272.0</v>
      </c>
      <c r="F78" s="12">
        <v>20906.4</v>
      </c>
      <c r="G78" s="11">
        <v>-0.004319644</v>
      </c>
      <c r="H78" s="13">
        <v>-0.0043</v>
      </c>
      <c r="J78" s="15"/>
      <c r="K78" s="11"/>
      <c r="L78" s="11"/>
      <c r="M78" s="11"/>
      <c r="N78" s="11"/>
    </row>
    <row r="79" ht="15.75" customHeight="1">
      <c r="A79" s="55">
        <v>45242.0</v>
      </c>
      <c r="B79" s="12">
        <v>1000.85</v>
      </c>
      <c r="C79" s="11">
        <v>6.0E-4</v>
      </c>
      <c r="D79" s="13">
        <v>6.0E-4</v>
      </c>
      <c r="E79" s="55">
        <v>45242.0</v>
      </c>
      <c r="F79" s="12">
        <v>20997.1</v>
      </c>
      <c r="G79" s="11">
        <v>0.001320972</v>
      </c>
      <c r="H79" s="13">
        <v>0.0013</v>
      </c>
      <c r="J79" s="15"/>
      <c r="K79" s="11"/>
      <c r="L79" s="11"/>
      <c r="M79" s="11"/>
      <c r="N79" s="11"/>
    </row>
    <row r="80" ht="15.75" customHeight="1">
      <c r="A80" s="35">
        <v>45150.0</v>
      </c>
      <c r="B80" s="12">
        <v>1000.25</v>
      </c>
      <c r="C80" s="11">
        <v>3.0E-4</v>
      </c>
      <c r="D80" s="13">
        <v>3.0E-4</v>
      </c>
      <c r="E80" s="35">
        <v>45150.0</v>
      </c>
      <c r="F80" s="12">
        <v>20969.4</v>
      </c>
      <c r="G80" s="11">
        <v>0.003265371</v>
      </c>
      <c r="H80" s="13">
        <v>0.0033</v>
      </c>
      <c r="J80" s="15"/>
      <c r="K80" s="11"/>
      <c r="L80" s="11"/>
      <c r="M80" s="11"/>
      <c r="N80" s="11"/>
    </row>
    <row r="81" ht="15.75" customHeight="1">
      <c r="A81" s="35">
        <v>45119.0</v>
      </c>
      <c r="B81" s="12">
        <v>1000.0</v>
      </c>
      <c r="C81" s="11">
        <v>-0.0239</v>
      </c>
      <c r="D81" s="13">
        <v>-0.0239</v>
      </c>
      <c r="E81" s="35">
        <v>45119.0</v>
      </c>
      <c r="F81" s="12">
        <v>20901.15</v>
      </c>
      <c r="G81" s="11">
        <v>-0.001745655</v>
      </c>
      <c r="H81" s="13">
        <v>-0.0017</v>
      </c>
      <c r="J81" s="15"/>
      <c r="K81" s="11"/>
      <c r="L81" s="11"/>
      <c r="M81" s="11"/>
      <c r="N81" s="11"/>
    </row>
    <row r="82" ht="15.75" customHeight="1">
      <c r="A82" s="35">
        <v>45089.0</v>
      </c>
      <c r="B82" s="12">
        <v>1024.45</v>
      </c>
      <c r="C82" s="11">
        <v>-0.0064</v>
      </c>
      <c r="D82" s="13">
        <v>-0.0064</v>
      </c>
      <c r="E82" s="35">
        <v>45089.0</v>
      </c>
      <c r="F82" s="12">
        <v>20937.7</v>
      </c>
      <c r="G82" s="11">
        <v>0.003960662</v>
      </c>
      <c r="H82" s="13">
        <v>0.004</v>
      </c>
      <c r="J82" s="15"/>
      <c r="K82" s="11"/>
      <c r="L82" s="11"/>
      <c r="M82" s="11"/>
      <c r="N82" s="11"/>
    </row>
    <row r="83" ht="15.75" customHeight="1">
      <c r="A83" s="35">
        <v>45058.0</v>
      </c>
      <c r="B83" s="12">
        <v>1031.1</v>
      </c>
      <c r="C83" s="11">
        <v>-0.0017</v>
      </c>
      <c r="D83" s="13">
        <v>-0.0017</v>
      </c>
      <c r="E83" s="35">
        <v>45058.0</v>
      </c>
      <c r="F83" s="12">
        <v>20855.1</v>
      </c>
      <c r="G83" s="11">
        <v>0.008135623</v>
      </c>
      <c r="H83" s="13">
        <v>0.0081</v>
      </c>
      <c r="I83" s="11"/>
      <c r="J83" s="15"/>
      <c r="K83" s="11"/>
      <c r="L83" s="11"/>
      <c r="M83" s="11"/>
      <c r="N83" s="11"/>
    </row>
    <row r="84" ht="15.75" customHeight="1">
      <c r="A84" s="35">
        <v>45028.0</v>
      </c>
      <c r="B84" s="12">
        <v>1032.9</v>
      </c>
      <c r="C84" s="11">
        <v>0.0179</v>
      </c>
      <c r="D84" s="13">
        <v>0.0179</v>
      </c>
      <c r="E84" s="35">
        <v>45028.0</v>
      </c>
      <c r="F84" s="12">
        <v>20686.8</v>
      </c>
      <c r="G84" s="11">
        <v>0.02066815</v>
      </c>
      <c r="H84" s="13">
        <v>0.0207</v>
      </c>
      <c r="J84" s="56" t="s">
        <v>137</v>
      </c>
      <c r="K84" s="11"/>
      <c r="L84" s="11"/>
      <c r="M84" s="11"/>
      <c r="N84" s="11"/>
    </row>
    <row r="85" ht="15.75" customHeight="1">
      <c r="A85" s="35">
        <v>44938.0</v>
      </c>
      <c r="B85" s="12">
        <v>1014.7</v>
      </c>
      <c r="C85" s="11">
        <v>0.0</v>
      </c>
      <c r="D85" s="13">
        <v>0.0</v>
      </c>
      <c r="E85" s="35">
        <v>44938.0</v>
      </c>
      <c r="F85" s="12">
        <v>20267.9</v>
      </c>
      <c r="G85" s="11">
        <v>0.006692942</v>
      </c>
      <c r="H85" s="13">
        <v>0.0067</v>
      </c>
      <c r="J85" s="40" t="s">
        <v>35</v>
      </c>
      <c r="K85" s="23" t="s">
        <v>138</v>
      </c>
      <c r="L85" s="23" t="s">
        <v>139</v>
      </c>
      <c r="M85" s="23" t="s">
        <v>137</v>
      </c>
      <c r="N85" s="11"/>
    </row>
    <row r="86" ht="15.75" customHeight="1">
      <c r="A86" s="11" t="s">
        <v>140</v>
      </c>
      <c r="B86" s="12">
        <v>1014.7</v>
      </c>
      <c r="C86" s="11">
        <v>0.0194</v>
      </c>
      <c r="D86" s="13">
        <v>0.0194</v>
      </c>
      <c r="E86" s="11" t="s">
        <v>140</v>
      </c>
      <c r="F86" s="12">
        <v>20133.15</v>
      </c>
      <c r="G86" s="11">
        <v>0.001818716</v>
      </c>
      <c r="H86" s="13">
        <v>0.0018</v>
      </c>
      <c r="J86" s="40">
        <v>2021.0</v>
      </c>
      <c r="K86" s="23">
        <v>511.2</v>
      </c>
      <c r="L86" s="23">
        <v>0.0</v>
      </c>
      <c r="M86" s="41">
        <v>0.0</v>
      </c>
      <c r="N86" s="11"/>
    </row>
    <row r="87" ht="15.75" customHeight="1">
      <c r="A87" s="11" t="s">
        <v>141</v>
      </c>
      <c r="B87" s="11">
        <v>995.4</v>
      </c>
      <c r="C87" s="11">
        <v>0.0107</v>
      </c>
      <c r="D87" s="13">
        <v>0.0107</v>
      </c>
      <c r="E87" s="11" t="s">
        <v>141</v>
      </c>
      <c r="F87" s="12">
        <v>20096.6</v>
      </c>
      <c r="G87" s="11">
        <v>0.010402369</v>
      </c>
      <c r="H87" s="13">
        <v>0.0104</v>
      </c>
      <c r="J87" s="40">
        <v>2022.0</v>
      </c>
      <c r="K87" s="23">
        <v>694.45</v>
      </c>
      <c r="L87" s="23">
        <v>3.0</v>
      </c>
      <c r="M87" s="41">
        <v>0.00432</v>
      </c>
      <c r="N87" s="11"/>
    </row>
    <row r="88" ht="15.75" customHeight="1">
      <c r="A88" s="11" t="s">
        <v>142</v>
      </c>
      <c r="B88" s="11">
        <v>984.9</v>
      </c>
      <c r="C88" s="11">
        <v>0.0121</v>
      </c>
      <c r="D88" s="13">
        <v>0.0121</v>
      </c>
      <c r="E88" s="11" t="s">
        <v>142</v>
      </c>
      <c r="F88" s="12">
        <v>19889.7</v>
      </c>
      <c r="G88" s="11">
        <v>0.004799264</v>
      </c>
      <c r="H88" s="13">
        <v>0.0048</v>
      </c>
      <c r="J88" s="40">
        <v>2023.0</v>
      </c>
      <c r="K88" s="23">
        <v>870.55</v>
      </c>
      <c r="L88" s="23">
        <v>4.0</v>
      </c>
      <c r="M88" s="41">
        <v>0.00459</v>
      </c>
      <c r="N88" s="11"/>
    </row>
    <row r="89" ht="15.75" customHeight="1">
      <c r="A89" s="11" t="s">
        <v>143</v>
      </c>
      <c r="B89" s="11">
        <v>973.15</v>
      </c>
      <c r="C89" s="11">
        <v>-0.0036</v>
      </c>
      <c r="D89" s="13">
        <v>-0.0036</v>
      </c>
      <c r="E89" s="11" t="s">
        <v>143</v>
      </c>
      <c r="F89" s="12">
        <v>19794.7</v>
      </c>
      <c r="G89" s="11">
        <v>-3.6865E-4</v>
      </c>
      <c r="H89" s="13">
        <v>-4.0E-4</v>
      </c>
      <c r="J89" s="57"/>
      <c r="K89" s="58"/>
      <c r="L89" s="59"/>
      <c r="M89" s="60"/>
      <c r="N89" s="11"/>
    </row>
    <row r="90" ht="15.75" customHeight="1">
      <c r="A90" s="11" t="s">
        <v>144</v>
      </c>
      <c r="B90" s="11">
        <v>976.65</v>
      </c>
      <c r="C90" s="11">
        <v>0.0071</v>
      </c>
      <c r="D90" s="13">
        <v>0.0071</v>
      </c>
      <c r="E90" s="11" t="s">
        <v>144</v>
      </c>
      <c r="F90" s="12">
        <v>19802.0</v>
      </c>
      <c r="G90" s="11">
        <v>-4.97177E-4</v>
      </c>
      <c r="H90" s="13">
        <v>-5.0E-4</v>
      </c>
      <c r="J90" s="15"/>
      <c r="K90" s="11"/>
      <c r="L90" s="11"/>
      <c r="M90" s="11"/>
      <c r="N90" s="11"/>
    </row>
    <row r="91" ht="15.75" customHeight="1">
      <c r="A91" s="11" t="s">
        <v>145</v>
      </c>
      <c r="B91" s="11">
        <v>969.75</v>
      </c>
      <c r="C91" s="11">
        <v>-0.0011</v>
      </c>
      <c r="D91" s="13">
        <v>-0.0011</v>
      </c>
      <c r="E91" s="11" t="s">
        <v>145</v>
      </c>
      <c r="F91" s="12">
        <v>19811.85</v>
      </c>
      <c r="G91" s="11">
        <v>0.001438074</v>
      </c>
      <c r="H91" s="13">
        <v>0.0014</v>
      </c>
      <c r="J91" s="15"/>
      <c r="K91" s="11"/>
      <c r="L91" s="11"/>
      <c r="M91" s="11"/>
      <c r="N91" s="11"/>
    </row>
    <row r="92" ht="15.75" customHeight="1">
      <c r="A92" s="11" t="s">
        <v>146</v>
      </c>
      <c r="B92" s="11">
        <v>970.85</v>
      </c>
      <c r="C92" s="11">
        <v>0.0098</v>
      </c>
      <c r="D92" s="13">
        <v>0.0098</v>
      </c>
      <c r="E92" s="11" t="s">
        <v>146</v>
      </c>
      <c r="F92" s="12">
        <v>19783.4</v>
      </c>
      <c r="G92" s="11">
        <v>0.004539454</v>
      </c>
      <c r="H92" s="13">
        <v>0.0045</v>
      </c>
      <c r="J92" s="15"/>
      <c r="K92" s="11"/>
      <c r="L92" s="11"/>
      <c r="M92" s="11"/>
      <c r="N92" s="11"/>
    </row>
    <row r="93" ht="15.75" customHeight="1">
      <c r="A93" s="11" t="s">
        <v>147</v>
      </c>
      <c r="B93" s="11">
        <v>961.4</v>
      </c>
      <c r="C93" s="11">
        <v>0.0149</v>
      </c>
      <c r="D93" s="13">
        <v>0.0149</v>
      </c>
      <c r="E93" s="11" t="s">
        <v>147</v>
      </c>
      <c r="F93" s="12">
        <v>19694.0</v>
      </c>
      <c r="G93" s="11">
        <v>-0.001915689</v>
      </c>
      <c r="H93" s="13">
        <v>-0.0019</v>
      </c>
      <c r="J93" s="15"/>
      <c r="K93" s="11"/>
      <c r="L93" s="11"/>
      <c r="M93" s="11"/>
      <c r="N93" s="11"/>
    </row>
    <row r="94" ht="15.75" customHeight="1">
      <c r="A94" s="11" t="s">
        <v>148</v>
      </c>
      <c r="B94" s="11">
        <v>947.3</v>
      </c>
      <c r="C94" s="11">
        <v>-0.0024</v>
      </c>
      <c r="D94" s="13">
        <v>-0.0024</v>
      </c>
      <c r="E94" s="11" t="s">
        <v>148</v>
      </c>
      <c r="F94" s="12">
        <v>19731.8</v>
      </c>
      <c r="G94" s="11">
        <v>-0.001689839</v>
      </c>
      <c r="H94" s="13">
        <v>-0.0017</v>
      </c>
      <c r="J94" s="15"/>
      <c r="K94" s="11"/>
      <c r="L94" s="11"/>
      <c r="M94" s="11"/>
      <c r="N94" s="11"/>
    </row>
    <row r="95" ht="15.75" customHeight="1">
      <c r="A95" s="11" t="s">
        <v>149</v>
      </c>
      <c r="B95" s="11">
        <v>949.55</v>
      </c>
      <c r="C95" s="11">
        <v>-5.0E-4</v>
      </c>
      <c r="D95" s="13">
        <v>-5.0E-4</v>
      </c>
      <c r="E95" s="11" t="s">
        <v>149</v>
      </c>
      <c r="F95" s="12">
        <v>19765.2</v>
      </c>
      <c r="G95" s="11">
        <v>0.004561522</v>
      </c>
      <c r="H95" s="13">
        <v>0.0046</v>
      </c>
      <c r="J95" s="15"/>
      <c r="K95" s="11"/>
      <c r="L95" s="11"/>
      <c r="M95" s="11"/>
      <c r="N95" s="11"/>
    </row>
    <row r="96" ht="15.75" customHeight="1">
      <c r="A96" s="11" t="s">
        <v>150</v>
      </c>
      <c r="B96" s="11">
        <v>950.0</v>
      </c>
      <c r="C96" s="11">
        <v>0.016</v>
      </c>
      <c r="D96" s="13">
        <v>0.016</v>
      </c>
      <c r="E96" s="11" t="s">
        <v>150</v>
      </c>
      <c r="F96" s="12">
        <v>19675.45</v>
      </c>
      <c r="G96" s="11">
        <v>0.011926834</v>
      </c>
      <c r="H96" s="13">
        <v>0.0119</v>
      </c>
      <c r="J96" s="15"/>
      <c r="K96" s="11"/>
      <c r="L96" s="11"/>
      <c r="M96" s="11"/>
      <c r="N96" s="11"/>
    </row>
    <row r="97" ht="15.75" customHeight="1">
      <c r="A97" s="11" t="s">
        <v>151</v>
      </c>
      <c r="B97" s="11">
        <v>935.0</v>
      </c>
      <c r="C97" s="11">
        <v>-0.0032</v>
      </c>
      <c r="D97" s="13">
        <v>-0.0032</v>
      </c>
      <c r="E97" s="11" t="s">
        <v>151</v>
      </c>
      <c r="F97" s="12">
        <v>19443.55</v>
      </c>
      <c r="G97" s="11">
        <v>-0.004199626</v>
      </c>
      <c r="H97" s="13">
        <v>-0.0042</v>
      </c>
      <c r="J97" s="15"/>
      <c r="K97" s="11"/>
      <c r="L97" s="11"/>
      <c r="M97" s="11"/>
      <c r="N97" s="11"/>
    </row>
    <row r="98" ht="15.75" customHeight="1">
      <c r="A98" s="55">
        <v>45271.0</v>
      </c>
      <c r="B98" s="11">
        <v>938.0</v>
      </c>
      <c r="C98" s="11">
        <v>0.0027</v>
      </c>
      <c r="D98" s="13">
        <v>0.0027</v>
      </c>
      <c r="E98" s="55">
        <v>45271.0</v>
      </c>
      <c r="F98" s="12">
        <v>19525.55</v>
      </c>
      <c r="G98" s="11">
        <v>0.005158208</v>
      </c>
      <c r="H98" s="13">
        <v>0.0052</v>
      </c>
      <c r="J98" s="15"/>
      <c r="K98" s="11"/>
      <c r="L98" s="11"/>
      <c r="M98" s="11"/>
      <c r="N98" s="11"/>
    </row>
    <row r="99" ht="15.75" customHeight="1">
      <c r="A99" s="55">
        <v>45210.0</v>
      </c>
      <c r="B99" s="11">
        <v>935.5</v>
      </c>
      <c r="C99" s="11">
        <v>0.0034</v>
      </c>
      <c r="D99" s="13">
        <v>0.0034</v>
      </c>
      <c r="E99" s="55">
        <v>45210.0</v>
      </c>
      <c r="F99" s="12">
        <v>19425.35</v>
      </c>
      <c r="G99" s="11">
        <v>0.001549344</v>
      </c>
      <c r="H99" s="13">
        <v>0.0015</v>
      </c>
      <c r="J99" s="2" t="s">
        <v>152</v>
      </c>
      <c r="K99" s="11"/>
      <c r="L99" s="11"/>
      <c r="M99" s="11"/>
      <c r="N99" s="11"/>
    </row>
    <row r="100" ht="15.75" customHeight="1">
      <c r="A100" s="35">
        <v>45180.0</v>
      </c>
      <c r="B100" s="11">
        <v>932.35</v>
      </c>
      <c r="C100" s="11">
        <v>-0.0047</v>
      </c>
      <c r="D100" s="13">
        <v>-0.0047</v>
      </c>
      <c r="E100" s="35">
        <v>45180.0</v>
      </c>
      <c r="F100" s="12">
        <v>19395.3</v>
      </c>
      <c r="G100" s="11">
        <v>-0.002478978</v>
      </c>
      <c r="H100" s="13">
        <v>-0.0025</v>
      </c>
      <c r="J100" s="15"/>
      <c r="K100" s="11"/>
      <c r="L100" s="11"/>
      <c r="M100" s="11"/>
      <c r="N100" s="11"/>
    </row>
    <row r="101" ht="15.75" customHeight="1">
      <c r="A101" s="35">
        <v>45149.0</v>
      </c>
      <c r="B101" s="11">
        <v>936.75</v>
      </c>
      <c r="C101" s="11">
        <v>-4.0E-4</v>
      </c>
      <c r="D101" s="13">
        <v>-4.0E-4</v>
      </c>
      <c r="E101" s="35">
        <v>45149.0</v>
      </c>
      <c r="F101" s="12">
        <v>19443.5</v>
      </c>
      <c r="G101" s="11">
        <v>0.001896252</v>
      </c>
      <c r="H101" s="13">
        <v>0.0019</v>
      </c>
      <c r="J101" s="61" t="s">
        <v>153</v>
      </c>
      <c r="K101" s="11"/>
      <c r="L101" s="11"/>
      <c r="M101" s="11"/>
      <c r="N101" s="11"/>
    </row>
    <row r="102" ht="15.75" customHeight="1">
      <c r="A102" s="35">
        <v>45118.0</v>
      </c>
      <c r="B102" s="11">
        <v>937.15</v>
      </c>
      <c r="C102" s="11">
        <v>-0.0022</v>
      </c>
      <c r="D102" s="13">
        <v>-0.0022</v>
      </c>
      <c r="E102" s="35">
        <v>45118.0</v>
      </c>
      <c r="F102" s="12">
        <v>19406.7</v>
      </c>
      <c r="G102" s="11">
        <v>-2.60152E-4</v>
      </c>
      <c r="H102" s="13">
        <v>-3.0E-4</v>
      </c>
      <c r="J102" s="62" t="s">
        <v>154</v>
      </c>
      <c r="K102" s="62"/>
      <c r="L102" s="62"/>
      <c r="M102" s="62"/>
      <c r="N102" s="62"/>
      <c r="O102" s="62"/>
      <c r="P102" s="62"/>
    </row>
    <row r="103" ht="15.75" customHeight="1">
      <c r="A103" s="35">
        <v>45088.0</v>
      </c>
      <c r="B103" s="11">
        <v>939.2</v>
      </c>
      <c r="C103" s="11">
        <v>0.0091</v>
      </c>
      <c r="D103" s="13">
        <v>0.0091</v>
      </c>
      <c r="E103" s="35">
        <v>45088.0</v>
      </c>
      <c r="F103" s="12">
        <v>19411.75</v>
      </c>
      <c r="G103" s="11">
        <v>0.009419883</v>
      </c>
      <c r="H103" s="13">
        <v>0.0094</v>
      </c>
      <c r="J103" s="2" t="s">
        <v>155</v>
      </c>
      <c r="K103" s="38" t="s">
        <v>156</v>
      </c>
    </row>
    <row r="104" ht="15.75" customHeight="1">
      <c r="A104" s="35">
        <v>44996.0</v>
      </c>
      <c r="B104" s="11">
        <v>930.75</v>
      </c>
      <c r="C104" s="11">
        <v>0.0075</v>
      </c>
      <c r="D104" s="13">
        <v>0.0075</v>
      </c>
      <c r="E104" s="35">
        <v>44996.0</v>
      </c>
      <c r="F104" s="12">
        <v>19230.6</v>
      </c>
      <c r="G104" s="11">
        <v>0.005088001</v>
      </c>
      <c r="H104" s="13">
        <v>0.0051</v>
      </c>
    </row>
    <row r="105" ht="15.75" customHeight="1">
      <c r="A105" s="35">
        <v>44968.0</v>
      </c>
      <c r="B105" s="11">
        <v>923.85</v>
      </c>
      <c r="C105" s="11">
        <v>0.0114</v>
      </c>
      <c r="D105" s="13">
        <v>0.0114</v>
      </c>
      <c r="E105" s="35">
        <v>44968.0</v>
      </c>
      <c r="F105" s="12">
        <v>19133.25</v>
      </c>
      <c r="G105" s="11">
        <v>0.007588544</v>
      </c>
      <c r="H105" s="13">
        <v>0.0076</v>
      </c>
      <c r="I105" s="11"/>
      <c r="J105" s="2" t="s">
        <v>157</v>
      </c>
      <c r="K105" s="11"/>
      <c r="L105" s="11"/>
      <c r="M105" s="11"/>
      <c r="N105" s="11"/>
    </row>
    <row r="106" ht="15.75" customHeight="1">
      <c r="A106" s="35">
        <v>44937.0</v>
      </c>
      <c r="B106" s="11">
        <v>913.45</v>
      </c>
      <c r="C106" s="11">
        <v>-0.001</v>
      </c>
      <c r="D106" s="13">
        <v>-0.001</v>
      </c>
      <c r="E106" s="35">
        <v>44937.0</v>
      </c>
      <c r="F106" s="12">
        <v>18989.15</v>
      </c>
      <c r="G106" s="11">
        <v>-0.004740665</v>
      </c>
      <c r="H106" s="13">
        <v>-0.0047</v>
      </c>
      <c r="J106" s="2" t="s">
        <v>158</v>
      </c>
    </row>
    <row r="107" ht="15.75" customHeight="1">
      <c r="A107" s="11" t="s">
        <v>159</v>
      </c>
      <c r="B107" s="11">
        <v>914.4</v>
      </c>
      <c r="C107" s="11">
        <v>-0.0128</v>
      </c>
      <c r="D107" s="13">
        <v>-0.0128</v>
      </c>
      <c r="E107" s="11" t="s">
        <v>159</v>
      </c>
      <c r="F107" s="12">
        <v>19079.6</v>
      </c>
      <c r="G107" s="11">
        <v>-0.003202566</v>
      </c>
      <c r="H107" s="13">
        <v>-0.0032</v>
      </c>
      <c r="J107" s="2"/>
    </row>
    <row r="108" ht="15.75" customHeight="1">
      <c r="A108" s="11" t="s">
        <v>160</v>
      </c>
      <c r="B108" s="11">
        <v>926.25</v>
      </c>
      <c r="C108" s="11">
        <v>0.0127</v>
      </c>
      <c r="D108" s="13">
        <v>0.0127</v>
      </c>
      <c r="E108" s="11" t="s">
        <v>160</v>
      </c>
      <c r="F108" s="12">
        <v>19140.9</v>
      </c>
      <c r="G108" s="11">
        <v>0.00491672</v>
      </c>
      <c r="H108" s="13">
        <v>0.0049</v>
      </c>
      <c r="J108" s="2"/>
    </row>
    <row r="109" ht="15.75" customHeight="1">
      <c r="A109" s="11" t="s">
        <v>161</v>
      </c>
      <c r="B109" s="11">
        <v>914.6</v>
      </c>
      <c r="C109" s="11">
        <v>0.01</v>
      </c>
      <c r="D109" s="13">
        <v>0.01</v>
      </c>
      <c r="E109" s="11" t="s">
        <v>161</v>
      </c>
      <c r="F109" s="12">
        <v>19047.25</v>
      </c>
      <c r="G109" s="11">
        <v>0.0100757</v>
      </c>
      <c r="H109" s="13">
        <v>0.0101</v>
      </c>
      <c r="J109" s="62"/>
      <c r="K109" s="14"/>
      <c r="L109" s="14"/>
      <c r="M109" s="14"/>
      <c r="N109" s="14"/>
    </row>
    <row r="110" ht="15.75" customHeight="1">
      <c r="A110" s="11" t="s">
        <v>162</v>
      </c>
      <c r="B110" s="11">
        <v>905.5</v>
      </c>
      <c r="C110" s="11">
        <v>-0.0185</v>
      </c>
      <c r="D110" s="13">
        <v>-0.0185</v>
      </c>
      <c r="E110" s="11" t="s">
        <v>162</v>
      </c>
      <c r="F110" s="12">
        <v>18857.25</v>
      </c>
      <c r="G110" s="11">
        <v>-0.013853045</v>
      </c>
      <c r="H110" s="13">
        <v>-0.0139</v>
      </c>
      <c r="J110" s="62"/>
      <c r="K110" s="14"/>
      <c r="L110" s="14"/>
      <c r="M110" s="14"/>
      <c r="N110" s="14"/>
    </row>
    <row r="111" ht="15.75" customHeight="1">
      <c r="A111" s="11" t="s">
        <v>163</v>
      </c>
      <c r="B111" s="11">
        <v>922.6</v>
      </c>
      <c r="C111" s="11">
        <v>-0.0178</v>
      </c>
      <c r="D111" s="13">
        <v>-0.0178</v>
      </c>
      <c r="E111" s="11" t="s">
        <v>163</v>
      </c>
      <c r="F111" s="12">
        <v>19122.15</v>
      </c>
      <c r="G111" s="11">
        <v>-0.008277257</v>
      </c>
      <c r="H111" s="13">
        <v>-0.0083</v>
      </c>
      <c r="J111" s="63"/>
    </row>
    <row r="112" ht="15.75" customHeight="1">
      <c r="A112" s="11" t="s">
        <v>164</v>
      </c>
      <c r="B112" s="11">
        <v>939.3</v>
      </c>
      <c r="C112" s="11">
        <v>-0.0062</v>
      </c>
      <c r="D112" s="13">
        <v>-0.0062</v>
      </c>
      <c r="E112" s="11" t="s">
        <v>164</v>
      </c>
      <c r="F112" s="12">
        <v>19281.75</v>
      </c>
      <c r="G112" s="11">
        <v>-0.013350288</v>
      </c>
      <c r="H112" s="13">
        <v>-0.0134</v>
      </c>
      <c r="J112" s="2"/>
    </row>
    <row r="113" ht="15.75" customHeight="1">
      <c r="A113" s="11" t="s">
        <v>165</v>
      </c>
      <c r="B113" s="11">
        <v>945.2</v>
      </c>
      <c r="C113" s="11">
        <v>0.0024</v>
      </c>
      <c r="D113" s="13">
        <v>0.0024</v>
      </c>
      <c r="E113" s="11" t="s">
        <v>165</v>
      </c>
      <c r="F113" s="12">
        <v>19542.65</v>
      </c>
      <c r="G113" s="11">
        <v>-0.004180956</v>
      </c>
      <c r="H113" s="13">
        <v>-0.0042</v>
      </c>
      <c r="I113" s="11" t="s">
        <v>166</v>
      </c>
      <c r="J113" s="2" t="s">
        <v>167</v>
      </c>
      <c r="K113" s="11"/>
      <c r="L113" s="11"/>
      <c r="M113" s="11"/>
      <c r="N113" s="11"/>
    </row>
    <row r="114" ht="15.75" customHeight="1">
      <c r="A114" s="11" t="s">
        <v>168</v>
      </c>
      <c r="B114" s="11">
        <v>942.95</v>
      </c>
      <c r="C114" s="11">
        <v>-0.0104</v>
      </c>
      <c r="D114" s="13">
        <v>-0.0104</v>
      </c>
      <c r="E114" s="11" t="s">
        <v>168</v>
      </c>
      <c r="F114" s="12">
        <v>19624.7</v>
      </c>
      <c r="G114" s="11">
        <v>-0.00235879</v>
      </c>
      <c r="H114" s="13">
        <v>-0.0024</v>
      </c>
      <c r="J114" s="2" t="s">
        <v>169</v>
      </c>
    </row>
    <row r="115" ht="15.75" customHeight="1">
      <c r="A115" s="11" t="s">
        <v>170</v>
      </c>
      <c r="B115" s="11">
        <v>952.85</v>
      </c>
      <c r="C115" s="11">
        <v>-8.0E-4</v>
      </c>
      <c r="D115" s="13">
        <v>-8.0E-4</v>
      </c>
      <c r="E115" s="11" t="s">
        <v>170</v>
      </c>
      <c r="F115" s="12">
        <v>19671.1</v>
      </c>
      <c r="G115" s="11">
        <v>-0.007086793</v>
      </c>
      <c r="H115" s="13">
        <v>-0.0071</v>
      </c>
      <c r="J115" s="2" t="s">
        <v>171</v>
      </c>
    </row>
    <row r="116" ht="15.75" customHeight="1">
      <c r="A116" s="11" t="s">
        <v>172</v>
      </c>
      <c r="B116" s="11">
        <v>953.65</v>
      </c>
      <c r="C116" s="11">
        <v>0.0075</v>
      </c>
      <c r="D116" s="13">
        <v>0.0075</v>
      </c>
      <c r="E116" s="11" t="s">
        <v>172</v>
      </c>
      <c r="F116" s="12">
        <v>19811.5</v>
      </c>
      <c r="G116" s="11">
        <v>0.004041709</v>
      </c>
      <c r="H116" s="13">
        <v>0.004</v>
      </c>
      <c r="J116" s="2" t="s">
        <v>173</v>
      </c>
    </row>
    <row r="117" ht="15.75" customHeight="1">
      <c r="A117" s="11" t="s">
        <v>174</v>
      </c>
      <c r="B117" s="11">
        <v>946.55</v>
      </c>
      <c r="C117" s="11">
        <v>-0.008</v>
      </c>
      <c r="D117" s="13">
        <v>-0.008</v>
      </c>
      <c r="E117" s="11" t="s">
        <v>174</v>
      </c>
      <c r="F117" s="12">
        <v>19731.75</v>
      </c>
      <c r="G117" s="11">
        <v>-9.77163E-4</v>
      </c>
      <c r="H117" s="13">
        <v>-0.001</v>
      </c>
      <c r="J117" s="62" t="s">
        <v>175</v>
      </c>
      <c r="K117" s="14"/>
      <c r="L117" s="14"/>
      <c r="M117" s="14"/>
      <c r="N117" s="14"/>
    </row>
    <row r="118" ht="15.75" customHeight="1">
      <c r="A118" s="11" t="s">
        <v>176</v>
      </c>
      <c r="B118" s="11">
        <v>954.2</v>
      </c>
      <c r="C118" s="11">
        <v>0.0041</v>
      </c>
      <c r="D118" s="13">
        <v>0.0041</v>
      </c>
      <c r="E118" s="11" t="s">
        <v>176</v>
      </c>
      <c r="F118" s="12">
        <v>19751.05</v>
      </c>
      <c r="G118" s="11">
        <v>-0.002169849</v>
      </c>
      <c r="H118" s="13">
        <v>-0.0022</v>
      </c>
      <c r="J118" s="62" t="s">
        <v>177</v>
      </c>
      <c r="K118" s="14"/>
      <c r="L118" s="14"/>
      <c r="M118" s="14"/>
      <c r="N118" s="14"/>
    </row>
    <row r="119" ht="15.75" customHeight="1">
      <c r="A119" s="55">
        <v>45270.0</v>
      </c>
      <c r="B119" s="11">
        <v>950.35</v>
      </c>
      <c r="C119" s="11">
        <v>-0.0055</v>
      </c>
      <c r="D119" s="13">
        <v>-0.0055</v>
      </c>
      <c r="E119" s="55">
        <v>45270.0</v>
      </c>
      <c r="F119" s="12">
        <v>19794.0</v>
      </c>
      <c r="G119" s="11">
        <v>-8.75761E-4</v>
      </c>
      <c r="H119" s="13">
        <v>-9.0E-4</v>
      </c>
      <c r="J119" s="63" t="s">
        <v>178</v>
      </c>
    </row>
    <row r="120" ht="15.75" customHeight="1">
      <c r="A120" s="55">
        <v>45240.0</v>
      </c>
      <c r="B120" s="11">
        <v>955.6</v>
      </c>
      <c r="C120" s="11">
        <v>0.0076</v>
      </c>
      <c r="D120" s="13">
        <v>0.0076</v>
      </c>
      <c r="E120" s="55">
        <v>45240.0</v>
      </c>
      <c r="F120" s="12">
        <v>19811.35</v>
      </c>
      <c r="G120" s="11">
        <v>0.006170692</v>
      </c>
      <c r="H120" s="13">
        <v>0.0062</v>
      </c>
      <c r="J120" s="15"/>
      <c r="K120" s="11"/>
      <c r="L120" s="11"/>
      <c r="M120" s="11"/>
      <c r="N120" s="11"/>
    </row>
    <row r="121" ht="15.75" customHeight="1">
      <c r="A121" s="55">
        <v>45209.0</v>
      </c>
      <c r="B121" s="11">
        <v>948.35</v>
      </c>
      <c r="C121" s="11">
        <v>0.0257</v>
      </c>
      <c r="D121" s="13">
        <v>0.0257</v>
      </c>
      <c r="E121" s="55">
        <v>45209.0</v>
      </c>
      <c r="F121" s="12">
        <v>19689.85</v>
      </c>
      <c r="G121" s="11">
        <v>0.009096803</v>
      </c>
      <c r="H121" s="13">
        <v>0.0091</v>
      </c>
      <c r="J121" s="15"/>
      <c r="K121" s="11"/>
      <c r="L121" s="11"/>
      <c r="M121" s="11"/>
      <c r="N121" s="11"/>
    </row>
    <row r="122" ht="15.75" customHeight="1">
      <c r="A122" s="35">
        <v>45179.0</v>
      </c>
      <c r="B122" s="11">
        <v>924.55</v>
      </c>
      <c r="C122" s="11">
        <v>-0.0016</v>
      </c>
      <c r="D122" s="13">
        <v>-0.0016</v>
      </c>
      <c r="E122" s="35">
        <v>45179.0</v>
      </c>
      <c r="F122" s="12">
        <v>19512.35</v>
      </c>
      <c r="G122" s="11">
        <v>-0.007181927</v>
      </c>
      <c r="H122" s="13">
        <v>-0.0072</v>
      </c>
      <c r="J122" s="15"/>
      <c r="K122" s="11"/>
      <c r="L122" s="11"/>
      <c r="M122" s="11"/>
      <c r="N122" s="11"/>
    </row>
    <row r="123" ht="15.75" customHeight="1">
      <c r="A123" s="35">
        <v>45087.0</v>
      </c>
      <c r="B123" s="11">
        <v>926.05</v>
      </c>
      <c r="C123" s="11">
        <v>-0.003</v>
      </c>
      <c r="D123" s="13">
        <v>-0.003</v>
      </c>
      <c r="E123" s="35">
        <v>45087.0</v>
      </c>
      <c r="F123" s="12">
        <v>19653.5</v>
      </c>
      <c r="G123" s="11">
        <v>0.005512707</v>
      </c>
      <c r="H123" s="13">
        <v>0.0055</v>
      </c>
      <c r="J123" s="15"/>
      <c r="K123" s="11"/>
      <c r="L123" s="11"/>
      <c r="M123" s="11"/>
      <c r="N123" s="11"/>
    </row>
    <row r="124" ht="15.75" customHeight="1">
      <c r="A124" s="35">
        <v>45056.0</v>
      </c>
      <c r="B124" s="11">
        <v>928.85</v>
      </c>
      <c r="C124" s="11">
        <v>0.005</v>
      </c>
      <c r="D124" s="13">
        <v>0.005</v>
      </c>
      <c r="E124" s="35">
        <v>45056.0</v>
      </c>
      <c r="F124" s="12">
        <v>19545.75</v>
      </c>
      <c r="G124" s="11">
        <v>0.005641564</v>
      </c>
      <c r="H124" s="13">
        <v>0.0056</v>
      </c>
      <c r="J124" s="15"/>
      <c r="K124" s="11"/>
      <c r="L124" s="11"/>
      <c r="M124" s="11"/>
      <c r="N124" s="11"/>
    </row>
    <row r="125" ht="15.75" customHeight="1">
      <c r="A125" s="35">
        <v>45026.0</v>
      </c>
      <c r="B125" s="11">
        <v>924.25</v>
      </c>
      <c r="C125" s="11">
        <v>-0.0011</v>
      </c>
      <c r="D125" s="13">
        <v>-0.0011</v>
      </c>
      <c r="E125" s="35">
        <v>45026.0</v>
      </c>
      <c r="F125" s="12">
        <v>19436.1</v>
      </c>
      <c r="G125" s="11">
        <v>-0.004744287</v>
      </c>
      <c r="H125" s="13">
        <v>-0.0047</v>
      </c>
      <c r="J125" s="15"/>
      <c r="K125" s="11"/>
      <c r="L125" s="11"/>
      <c r="M125" s="11"/>
      <c r="N125" s="11"/>
    </row>
    <row r="126" ht="15.75" customHeight="1">
      <c r="A126" s="35">
        <v>44995.0</v>
      </c>
      <c r="B126" s="11">
        <v>925.3</v>
      </c>
      <c r="C126" s="11">
        <v>-0.0012</v>
      </c>
      <c r="D126" s="13">
        <v>-0.0012</v>
      </c>
      <c r="E126" s="35">
        <v>44995.0</v>
      </c>
      <c r="F126" s="12">
        <v>19528.75</v>
      </c>
      <c r="G126" s="11">
        <v>-0.005578385</v>
      </c>
      <c r="H126" s="13">
        <v>-0.0056</v>
      </c>
      <c r="J126" s="15"/>
      <c r="K126" s="11"/>
      <c r="L126" s="11"/>
      <c r="M126" s="11"/>
      <c r="N126" s="11"/>
    </row>
    <row r="127" ht="15.75" customHeight="1">
      <c r="A127" s="11" t="s">
        <v>179</v>
      </c>
      <c r="B127" s="11">
        <v>926.4</v>
      </c>
      <c r="C127" s="11">
        <v>8.0E-4</v>
      </c>
      <c r="D127" s="13">
        <v>8.0E-4</v>
      </c>
      <c r="E127" s="11" t="s">
        <v>179</v>
      </c>
      <c r="F127" s="12">
        <v>19638.3</v>
      </c>
      <c r="G127" s="11">
        <v>0.005877517</v>
      </c>
      <c r="H127" s="13">
        <v>0.0059</v>
      </c>
      <c r="J127" s="15"/>
      <c r="K127" s="11"/>
      <c r="L127" s="11"/>
      <c r="M127" s="11"/>
      <c r="N127" s="11"/>
    </row>
    <row r="128" ht="15.75" customHeight="1">
      <c r="A128" s="11" t="s">
        <v>180</v>
      </c>
      <c r="B128" s="11">
        <v>925.65</v>
      </c>
      <c r="C128" s="11">
        <v>0.0059</v>
      </c>
      <c r="D128" s="13">
        <v>0.0059</v>
      </c>
      <c r="E128" s="11" t="s">
        <v>180</v>
      </c>
      <c r="F128" s="12">
        <v>19523.55</v>
      </c>
      <c r="G128" s="11">
        <v>-0.009783709</v>
      </c>
      <c r="H128" s="13">
        <v>-0.0098</v>
      </c>
      <c r="J128" s="15"/>
      <c r="K128" s="11"/>
      <c r="L128" s="11"/>
      <c r="M128" s="11"/>
      <c r="N128" s="11"/>
    </row>
    <row r="129" ht="15.75" customHeight="1">
      <c r="A129" s="11" t="s">
        <v>181</v>
      </c>
      <c r="B129" s="11">
        <v>920.25</v>
      </c>
      <c r="C129" s="11">
        <v>0.0083</v>
      </c>
      <c r="D129" s="13">
        <v>0.0083</v>
      </c>
      <c r="E129" s="11" t="s">
        <v>181</v>
      </c>
      <c r="F129" s="12">
        <v>19716.45</v>
      </c>
      <c r="G129" s="11">
        <v>0.002631619</v>
      </c>
      <c r="H129" s="13">
        <v>0.0026</v>
      </c>
      <c r="J129" s="15"/>
      <c r="K129" s="11"/>
      <c r="L129" s="11"/>
      <c r="M129" s="11"/>
      <c r="N129" s="11"/>
    </row>
    <row r="130" ht="15.75" customHeight="1">
      <c r="A130" s="11" t="s">
        <v>182</v>
      </c>
      <c r="B130" s="11">
        <v>912.7</v>
      </c>
      <c r="C130" s="11">
        <v>0.0025</v>
      </c>
      <c r="D130" s="13">
        <v>0.0025</v>
      </c>
      <c r="E130" s="11" t="s">
        <v>182</v>
      </c>
      <c r="F130" s="12">
        <v>19664.7</v>
      </c>
      <c r="G130" s="11">
        <v>-5.00647E-4</v>
      </c>
      <c r="H130" s="13">
        <v>-5.0E-4</v>
      </c>
      <c r="J130" s="15"/>
      <c r="K130" s="11"/>
      <c r="L130" s="11"/>
      <c r="M130" s="11"/>
      <c r="N130" s="11"/>
    </row>
    <row r="131" ht="15.75" customHeight="1">
      <c r="A131" s="11" t="s">
        <v>183</v>
      </c>
      <c r="B131" s="11">
        <v>910.4</v>
      </c>
      <c r="C131" s="11">
        <v>-0.0011</v>
      </c>
      <c r="D131" s="13">
        <v>-0.0011</v>
      </c>
      <c r="E131" s="11" t="s">
        <v>183</v>
      </c>
      <c r="F131" s="12">
        <v>19674.55</v>
      </c>
      <c r="G131" s="45">
        <v>1.52484E-5</v>
      </c>
      <c r="H131" s="13">
        <v>0.0</v>
      </c>
      <c r="J131" s="15"/>
      <c r="K131" s="11"/>
      <c r="L131" s="11"/>
      <c r="M131" s="11"/>
      <c r="N131" s="11"/>
    </row>
    <row r="132" ht="15.75" customHeight="1">
      <c r="A132" s="11" t="s">
        <v>184</v>
      </c>
      <c r="B132" s="11">
        <v>911.4</v>
      </c>
      <c r="C132" s="11">
        <v>-0.0071</v>
      </c>
      <c r="D132" s="13">
        <v>-0.0071</v>
      </c>
      <c r="E132" s="11" t="s">
        <v>184</v>
      </c>
      <c r="F132" s="12">
        <v>19674.25</v>
      </c>
      <c r="G132" s="11">
        <v>-0.003449437</v>
      </c>
      <c r="H132" s="13">
        <v>-0.0034</v>
      </c>
      <c r="J132" s="15"/>
      <c r="K132" s="11"/>
      <c r="L132" s="11"/>
      <c r="M132" s="11"/>
      <c r="N132" s="11"/>
    </row>
    <row r="133" ht="15.75" customHeight="1">
      <c r="A133" s="11" t="s">
        <v>185</v>
      </c>
      <c r="B133" s="11">
        <v>917.95</v>
      </c>
      <c r="C133" s="11">
        <v>0.008</v>
      </c>
      <c r="D133" s="13">
        <v>0.008</v>
      </c>
      <c r="E133" s="11" t="s">
        <v>185</v>
      </c>
      <c r="F133" s="12">
        <v>19742.35</v>
      </c>
      <c r="G133" s="11">
        <v>-0.0079919</v>
      </c>
      <c r="H133" s="13">
        <v>-0.008</v>
      </c>
      <c r="J133" s="15"/>
      <c r="K133" s="11"/>
      <c r="L133" s="11"/>
      <c r="M133" s="11"/>
      <c r="N133" s="11"/>
    </row>
    <row r="134" ht="15.75" customHeight="1">
      <c r="A134" s="11" t="s">
        <v>186</v>
      </c>
      <c r="B134" s="11">
        <v>910.7</v>
      </c>
      <c r="C134" s="11">
        <v>-0.0103</v>
      </c>
      <c r="D134" s="13">
        <v>-0.0103</v>
      </c>
      <c r="E134" s="11" t="s">
        <v>186</v>
      </c>
      <c r="F134" s="12">
        <v>19901.4</v>
      </c>
      <c r="G134" s="11">
        <v>-0.011518231</v>
      </c>
      <c r="H134" s="13">
        <v>-0.0115</v>
      </c>
      <c r="J134" s="15"/>
      <c r="K134" s="11"/>
      <c r="L134" s="11"/>
      <c r="M134" s="11"/>
      <c r="N134" s="11"/>
    </row>
    <row r="135" ht="15.75" customHeight="1">
      <c r="A135" s="11" t="s">
        <v>187</v>
      </c>
      <c r="B135" s="11">
        <v>920.2</v>
      </c>
      <c r="C135" s="11">
        <v>-0.017</v>
      </c>
      <c r="D135" s="13">
        <v>-0.017</v>
      </c>
      <c r="E135" s="11" t="s">
        <v>187</v>
      </c>
      <c r="F135" s="12">
        <v>20133.3</v>
      </c>
      <c r="G135" s="11">
        <v>-0.002924375</v>
      </c>
      <c r="H135" s="13">
        <v>-0.0029</v>
      </c>
      <c r="J135" s="15"/>
      <c r="K135" s="11"/>
      <c r="L135" s="11"/>
      <c r="M135" s="11"/>
      <c r="N135" s="11"/>
    </row>
    <row r="136" ht="15.75" customHeight="1">
      <c r="A136" s="11" t="s">
        <v>188</v>
      </c>
      <c r="B136" s="11">
        <v>936.15</v>
      </c>
      <c r="C136" s="11">
        <v>0.0232</v>
      </c>
      <c r="D136" s="13">
        <v>0.0232</v>
      </c>
      <c r="E136" s="11" t="s">
        <v>188</v>
      </c>
      <c r="F136" s="12">
        <v>20192.35</v>
      </c>
      <c r="G136" s="11">
        <v>0.004439614</v>
      </c>
      <c r="H136" s="13">
        <v>0.0044</v>
      </c>
      <c r="J136" s="15"/>
      <c r="K136" s="11"/>
      <c r="L136" s="11"/>
      <c r="M136" s="11"/>
      <c r="N136" s="11"/>
    </row>
    <row r="137" ht="15.75" customHeight="1">
      <c r="A137" s="11" t="s">
        <v>189</v>
      </c>
      <c r="B137" s="11">
        <v>914.95</v>
      </c>
      <c r="C137" s="11">
        <v>-2.0E-4</v>
      </c>
      <c r="D137" s="13">
        <v>-2.0E-4</v>
      </c>
      <c r="E137" s="11" t="s">
        <v>189</v>
      </c>
      <c r="F137" s="12">
        <v>20103.1</v>
      </c>
      <c r="G137" s="11">
        <v>0.001649228</v>
      </c>
      <c r="H137" s="13">
        <v>0.0016</v>
      </c>
      <c r="N137" s="11"/>
    </row>
    <row r="138" ht="15.75" customHeight="1">
      <c r="A138" s="11" t="s">
        <v>190</v>
      </c>
      <c r="B138" s="11">
        <v>915.15</v>
      </c>
      <c r="C138" s="11">
        <v>0.0278</v>
      </c>
      <c r="D138" s="13">
        <v>0.0278</v>
      </c>
      <c r="E138" s="11" t="s">
        <v>190</v>
      </c>
      <c r="F138" s="12">
        <v>20070.0</v>
      </c>
      <c r="G138" s="11">
        <v>0.003841306</v>
      </c>
      <c r="H138" s="13">
        <v>0.0038</v>
      </c>
      <c r="N138" s="11"/>
    </row>
    <row r="139" ht="15.75" customHeight="1">
      <c r="A139" s="35">
        <v>45269.0</v>
      </c>
      <c r="B139" s="11">
        <v>890.4</v>
      </c>
      <c r="C139" s="11">
        <v>-4.0E-4</v>
      </c>
      <c r="D139" s="13">
        <v>-4.0E-4</v>
      </c>
      <c r="E139" s="35">
        <v>45269.0</v>
      </c>
      <c r="F139" s="12">
        <v>19993.2</v>
      </c>
      <c r="G139" s="11">
        <v>-1.57529E-4</v>
      </c>
      <c r="H139" s="13">
        <v>-2.0E-4</v>
      </c>
      <c r="N139" s="11"/>
    </row>
    <row r="140" ht="15.75" customHeight="1">
      <c r="A140" s="35">
        <v>45239.0</v>
      </c>
      <c r="B140" s="11">
        <v>890.8</v>
      </c>
      <c r="C140" s="11">
        <v>0.0056</v>
      </c>
      <c r="D140" s="13">
        <v>0.0056</v>
      </c>
      <c r="E140" s="35">
        <v>45239.0</v>
      </c>
      <c r="F140" s="12">
        <v>19996.35</v>
      </c>
      <c r="G140" s="11">
        <v>0.008900123</v>
      </c>
      <c r="H140" s="13">
        <v>0.0089</v>
      </c>
      <c r="N140" s="11"/>
    </row>
    <row r="141" ht="15.75" customHeight="1">
      <c r="A141" s="35">
        <v>45147.0</v>
      </c>
      <c r="B141" s="11">
        <v>885.85</v>
      </c>
      <c r="C141" s="11">
        <v>0.0121</v>
      </c>
      <c r="D141" s="13">
        <v>0.0121</v>
      </c>
      <c r="E141" s="35">
        <v>45147.0</v>
      </c>
      <c r="F141" s="12">
        <v>19819.95</v>
      </c>
      <c r="G141" s="11">
        <v>0.00470927</v>
      </c>
      <c r="H141" s="13">
        <v>0.0047</v>
      </c>
      <c r="N141" s="11"/>
    </row>
    <row r="142" ht="15.75" customHeight="1">
      <c r="A142" s="35">
        <v>45116.0</v>
      </c>
      <c r="B142" s="11">
        <v>875.3</v>
      </c>
      <c r="C142" s="11">
        <v>-0.0057</v>
      </c>
      <c r="D142" s="13">
        <v>-0.0057</v>
      </c>
      <c r="E142" s="35">
        <v>45116.0</v>
      </c>
      <c r="F142" s="12">
        <v>19727.05</v>
      </c>
      <c r="G142" s="11">
        <v>0.005915033</v>
      </c>
      <c r="H142" s="13">
        <v>0.0059</v>
      </c>
      <c r="N142" s="11"/>
    </row>
    <row r="143" ht="15.75" customHeight="1">
      <c r="A143" s="35">
        <v>45086.0</v>
      </c>
      <c r="B143" s="11">
        <v>880.3</v>
      </c>
      <c r="C143" s="11">
        <v>0.0166</v>
      </c>
      <c r="D143" s="13">
        <v>0.0166</v>
      </c>
      <c r="E143" s="35">
        <v>45086.0</v>
      </c>
      <c r="F143" s="12">
        <v>19611.05</v>
      </c>
      <c r="G143" s="11">
        <v>0.001846753</v>
      </c>
      <c r="H143" s="13">
        <v>0.0018</v>
      </c>
      <c r="J143" s="15"/>
      <c r="K143" s="11"/>
      <c r="L143" s="11"/>
      <c r="M143" s="11"/>
      <c r="N143" s="11"/>
    </row>
    <row r="144" ht="15.75" customHeight="1">
      <c r="A144" s="35">
        <v>45055.0</v>
      </c>
      <c r="B144" s="11">
        <v>865.9</v>
      </c>
      <c r="C144" s="11">
        <v>7.0E-4</v>
      </c>
      <c r="D144" s="13">
        <v>7.0E-4</v>
      </c>
      <c r="E144" s="35">
        <v>45055.0</v>
      </c>
      <c r="F144" s="12">
        <v>19574.9</v>
      </c>
      <c r="G144" s="11">
        <v>0.002360616</v>
      </c>
      <c r="H144" s="13">
        <v>0.0024</v>
      </c>
      <c r="J144" s="15"/>
      <c r="K144" s="11"/>
      <c r="L144" s="11"/>
      <c r="M144" s="11"/>
      <c r="N144" s="11"/>
    </row>
    <row r="145" ht="15.75" customHeight="1">
      <c r="A145" s="35">
        <v>45025.0</v>
      </c>
      <c r="B145" s="11">
        <v>865.3</v>
      </c>
      <c r="C145" s="11">
        <v>-8.0E-4</v>
      </c>
      <c r="D145" s="13">
        <v>-8.0E-4</v>
      </c>
      <c r="E145" s="35">
        <v>45025.0</v>
      </c>
      <c r="F145" s="12">
        <v>19528.8</v>
      </c>
      <c r="G145" s="11">
        <v>0.004810834</v>
      </c>
      <c r="H145" s="13">
        <v>0.0048</v>
      </c>
      <c r="J145" s="15"/>
      <c r="K145" s="11"/>
      <c r="L145" s="11"/>
      <c r="M145" s="11"/>
      <c r="N145" s="11"/>
    </row>
    <row r="146" ht="15.75" customHeight="1">
      <c r="A146" s="35">
        <v>44935.0</v>
      </c>
      <c r="B146" s="11">
        <v>865.95</v>
      </c>
      <c r="C146" s="11">
        <v>0.0112</v>
      </c>
      <c r="D146" s="13">
        <v>0.0112</v>
      </c>
      <c r="E146" s="35">
        <v>44935.0</v>
      </c>
      <c r="F146" s="12">
        <v>19435.3</v>
      </c>
      <c r="G146" s="11">
        <v>0.009426711</v>
      </c>
      <c r="H146" s="13">
        <v>0.0094</v>
      </c>
      <c r="J146" s="15"/>
      <c r="K146" s="11"/>
      <c r="L146" s="11"/>
      <c r="M146" s="11"/>
      <c r="N146" s="11"/>
    </row>
    <row r="147" ht="15.75" customHeight="1">
      <c r="A147" s="11" t="s">
        <v>191</v>
      </c>
      <c r="B147" s="11">
        <v>856.4</v>
      </c>
      <c r="C147" s="11">
        <v>-0.0016</v>
      </c>
      <c r="D147" s="13">
        <v>-0.0016</v>
      </c>
      <c r="E147" s="11" t="s">
        <v>191</v>
      </c>
      <c r="F147" s="12">
        <v>19253.8</v>
      </c>
      <c r="G147" s="11">
        <v>-0.004840431</v>
      </c>
      <c r="H147" s="13">
        <v>-0.0048</v>
      </c>
      <c r="J147" s="15"/>
      <c r="K147" s="11"/>
      <c r="L147" s="11"/>
      <c r="M147" s="11"/>
      <c r="N147" s="11"/>
    </row>
    <row r="148" ht="15.75" customHeight="1">
      <c r="A148" s="11" t="s">
        <v>192</v>
      </c>
      <c r="B148" s="11">
        <v>857.75</v>
      </c>
      <c r="C148" s="11">
        <v>0.003</v>
      </c>
      <c r="D148" s="13">
        <v>0.003</v>
      </c>
      <c r="E148" s="11" t="s">
        <v>192</v>
      </c>
      <c r="F148" s="12">
        <v>19347.45</v>
      </c>
      <c r="G148" s="11">
        <v>2.48156E-4</v>
      </c>
      <c r="H148" s="13">
        <v>2.0E-4</v>
      </c>
      <c r="J148" s="15"/>
      <c r="K148" s="11"/>
      <c r="L148" s="11"/>
      <c r="M148" s="11"/>
      <c r="N148" s="11"/>
    </row>
    <row r="149" ht="15.75" customHeight="1">
      <c r="A149" s="11" t="s">
        <v>193</v>
      </c>
      <c r="B149" s="11">
        <v>855.2</v>
      </c>
      <c r="C149" s="11">
        <v>-0.0174</v>
      </c>
      <c r="D149" s="13">
        <v>-0.0174</v>
      </c>
      <c r="E149" s="11" t="s">
        <v>193</v>
      </c>
      <c r="F149" s="12">
        <v>19342.65</v>
      </c>
      <c r="G149" s="11">
        <v>0.001895779</v>
      </c>
      <c r="H149" s="13">
        <v>0.0019</v>
      </c>
      <c r="J149" s="15"/>
      <c r="K149" s="11"/>
      <c r="L149" s="11"/>
      <c r="M149" s="11"/>
      <c r="N149" s="11"/>
    </row>
    <row r="150" ht="15.75" customHeight="1">
      <c r="A150" s="11" t="s">
        <v>194</v>
      </c>
      <c r="B150" s="11">
        <v>870.35</v>
      </c>
      <c r="C150" s="11">
        <v>-0.0036</v>
      </c>
      <c r="D150" s="13">
        <v>-0.0036</v>
      </c>
      <c r="E150" s="11" t="s">
        <v>194</v>
      </c>
      <c r="F150" s="12">
        <v>19306.05</v>
      </c>
      <c r="G150" s="11">
        <v>0.002089194</v>
      </c>
      <c r="H150" s="13">
        <v>0.0021</v>
      </c>
      <c r="J150" s="15"/>
      <c r="K150" s="11"/>
      <c r="L150" s="11"/>
      <c r="M150" s="11"/>
      <c r="N150" s="11"/>
    </row>
    <row r="151" ht="15.75" customHeight="1">
      <c r="A151" s="11" t="s">
        <v>195</v>
      </c>
      <c r="B151" s="11">
        <v>873.5</v>
      </c>
      <c r="C151" s="11">
        <v>0.0047</v>
      </c>
      <c r="D151" s="13">
        <v>0.0047</v>
      </c>
      <c r="E151" s="11" t="s">
        <v>195</v>
      </c>
      <c r="F151" s="12">
        <v>19265.8</v>
      </c>
      <c r="G151" s="11">
        <v>-0.006236234</v>
      </c>
      <c r="H151" s="13">
        <v>-0.0062</v>
      </c>
      <c r="J151" s="15"/>
      <c r="K151" s="11"/>
      <c r="L151" s="11"/>
      <c r="M151" s="11"/>
      <c r="N151" s="11"/>
    </row>
    <row r="152" ht="15.75" customHeight="1">
      <c r="A152" s="11" t="s">
        <v>196</v>
      </c>
      <c r="B152" s="11">
        <v>869.45</v>
      </c>
      <c r="C152" s="11">
        <v>0.0015</v>
      </c>
      <c r="D152" s="13">
        <v>0.0015</v>
      </c>
      <c r="E152" s="11" t="s">
        <v>196</v>
      </c>
      <c r="F152" s="12">
        <v>19386.7</v>
      </c>
      <c r="G152" s="11">
        <v>-0.002946925</v>
      </c>
      <c r="H152" s="13">
        <v>-0.0029</v>
      </c>
      <c r="J152" s="15"/>
      <c r="K152" s="11"/>
      <c r="L152" s="11"/>
      <c r="M152" s="11"/>
      <c r="N152" s="11"/>
    </row>
    <row r="153" ht="15.75" customHeight="1">
      <c r="A153" s="11" t="s">
        <v>197</v>
      </c>
      <c r="B153" s="11">
        <v>868.15</v>
      </c>
      <c r="C153" s="11">
        <v>-0.0108</v>
      </c>
      <c r="D153" s="13">
        <v>-0.0108</v>
      </c>
      <c r="E153" s="11" t="s">
        <v>197</v>
      </c>
      <c r="F153" s="12">
        <v>19444.0</v>
      </c>
      <c r="G153" s="11">
        <v>0.00245148</v>
      </c>
      <c r="H153" s="13">
        <v>0.0025</v>
      </c>
      <c r="J153" s="15"/>
      <c r="K153" s="11"/>
      <c r="L153" s="11"/>
      <c r="M153" s="11"/>
      <c r="N153" s="11"/>
    </row>
    <row r="154" ht="15.75" customHeight="1">
      <c r="A154" s="11" t="s">
        <v>198</v>
      </c>
      <c r="B154" s="11">
        <v>877.65</v>
      </c>
      <c r="C154" s="11">
        <v>0.0065</v>
      </c>
      <c r="D154" s="13">
        <v>0.0065</v>
      </c>
      <c r="E154" s="11" t="s">
        <v>198</v>
      </c>
      <c r="F154" s="12">
        <v>19396.45</v>
      </c>
      <c r="G154" s="11">
        <v>1.46956E-4</v>
      </c>
      <c r="H154" s="13">
        <v>1.0E-4</v>
      </c>
      <c r="J154" s="15"/>
      <c r="K154" s="11"/>
      <c r="L154" s="11"/>
      <c r="M154" s="11"/>
      <c r="N154" s="11"/>
    </row>
    <row r="155" ht="15.75" customHeight="1">
      <c r="A155" s="11" t="s">
        <v>199</v>
      </c>
      <c r="B155" s="11">
        <v>871.95</v>
      </c>
      <c r="C155" s="11">
        <v>0.0183</v>
      </c>
      <c r="D155" s="13">
        <v>0.0183</v>
      </c>
      <c r="E155" s="11" t="s">
        <v>199</v>
      </c>
      <c r="F155" s="12">
        <v>19393.6</v>
      </c>
      <c r="G155" s="11">
        <v>0.004321561</v>
      </c>
      <c r="H155" s="13">
        <v>0.0043</v>
      </c>
      <c r="J155" s="15"/>
      <c r="K155" s="11"/>
      <c r="L155" s="11"/>
      <c r="M155" s="11"/>
      <c r="N155" s="11"/>
    </row>
    <row r="156" ht="15.75" customHeight="1">
      <c r="A156" s="11" t="s">
        <v>200</v>
      </c>
      <c r="B156" s="11">
        <v>856.25</v>
      </c>
      <c r="C156" s="11">
        <v>-5.0E-4</v>
      </c>
      <c r="D156" s="13">
        <v>-5.0E-4</v>
      </c>
      <c r="E156" s="11" t="s">
        <v>200</v>
      </c>
      <c r="F156" s="12">
        <v>19310.15</v>
      </c>
      <c r="G156" s="11">
        <v>-0.002845303</v>
      </c>
      <c r="H156" s="13">
        <v>-0.0028</v>
      </c>
      <c r="J156" s="15"/>
      <c r="K156" s="11"/>
      <c r="L156" s="11"/>
      <c r="M156" s="11"/>
      <c r="N156" s="11"/>
    </row>
    <row r="157" ht="15.75" customHeight="1">
      <c r="A157" s="11" t="s">
        <v>201</v>
      </c>
      <c r="B157" s="11">
        <v>856.7</v>
      </c>
      <c r="C157" s="11">
        <v>-3.0E-4</v>
      </c>
      <c r="D157" s="13">
        <v>-3.0E-4</v>
      </c>
      <c r="E157" s="11" t="s">
        <v>201</v>
      </c>
      <c r="F157" s="12">
        <v>19365.25</v>
      </c>
      <c r="G157" s="11">
        <v>-0.005124583</v>
      </c>
      <c r="H157" s="13">
        <v>-0.0051</v>
      </c>
      <c r="J157" s="15"/>
      <c r="K157" s="11"/>
      <c r="L157" s="11"/>
      <c r="M157" s="11"/>
      <c r="N157" s="11"/>
    </row>
    <row r="158" ht="15.75" customHeight="1">
      <c r="A158" s="11" t="s">
        <v>202</v>
      </c>
      <c r="B158" s="11">
        <v>856.95</v>
      </c>
      <c r="C158" s="11">
        <v>-0.0116</v>
      </c>
      <c r="D158" s="13">
        <v>-0.0116</v>
      </c>
      <c r="E158" s="11" t="s">
        <v>202</v>
      </c>
      <c r="F158" s="12">
        <v>19465.0</v>
      </c>
      <c r="G158" s="11">
        <v>0.001566797</v>
      </c>
      <c r="H158" s="13">
        <v>0.0016</v>
      </c>
      <c r="J158" s="15"/>
      <c r="K158" s="11"/>
      <c r="L158" s="11"/>
      <c r="M158" s="11"/>
      <c r="N158" s="11"/>
    </row>
    <row r="159" ht="15.75" customHeight="1">
      <c r="A159" s="11" t="s">
        <v>203</v>
      </c>
      <c r="B159" s="11">
        <v>867.05</v>
      </c>
      <c r="C159" s="11">
        <v>-0.004</v>
      </c>
      <c r="D159" s="13">
        <v>-0.004</v>
      </c>
      <c r="E159" s="11" t="s">
        <v>203</v>
      </c>
      <c r="F159" s="12">
        <v>19434.55</v>
      </c>
      <c r="G159" s="11">
        <v>3.21696E-4</v>
      </c>
      <c r="H159" s="13">
        <v>3.0E-4</v>
      </c>
      <c r="J159" s="15"/>
      <c r="K159" s="11"/>
      <c r="L159" s="11"/>
      <c r="M159" s="11"/>
      <c r="N159" s="11"/>
    </row>
    <row r="160" ht="15.75" customHeight="1">
      <c r="A160" s="35">
        <v>45238.0</v>
      </c>
      <c r="B160" s="11">
        <v>870.55</v>
      </c>
      <c r="C160" s="11">
        <v>-0.0049</v>
      </c>
      <c r="D160" s="13">
        <v>-0.0049</v>
      </c>
      <c r="E160" s="35">
        <v>45238.0</v>
      </c>
      <c r="F160" s="12">
        <v>19428.3</v>
      </c>
      <c r="G160" s="11">
        <v>-0.005874196</v>
      </c>
      <c r="H160" s="13">
        <v>-0.0059</v>
      </c>
      <c r="J160" s="15"/>
      <c r="K160" s="11"/>
      <c r="L160" s="11"/>
      <c r="M160" s="11"/>
      <c r="N160" s="11"/>
    </row>
    <row r="161" ht="15.75" customHeight="1">
      <c r="A161" s="35">
        <v>45207.0</v>
      </c>
      <c r="B161" s="11">
        <v>874.8</v>
      </c>
      <c r="C161" s="11">
        <v>-0.0101</v>
      </c>
      <c r="D161" s="13">
        <v>-0.0101</v>
      </c>
      <c r="E161" s="35">
        <v>45207.0</v>
      </c>
      <c r="F161" s="12">
        <v>19543.1</v>
      </c>
      <c r="G161" s="11">
        <v>-0.004556209</v>
      </c>
      <c r="H161" s="13">
        <v>-0.0046</v>
      </c>
      <c r="J161" s="15"/>
      <c r="K161" s="11"/>
      <c r="L161" s="11"/>
      <c r="M161" s="11"/>
      <c r="N161" s="11"/>
    </row>
    <row r="162" ht="15.75" customHeight="1">
      <c r="A162" s="35">
        <v>45177.0</v>
      </c>
      <c r="B162" s="11">
        <v>883.7</v>
      </c>
      <c r="C162" s="11">
        <v>-0.0019</v>
      </c>
      <c r="D162" s="13">
        <v>-0.0019</v>
      </c>
      <c r="E162" s="35">
        <v>45177.0</v>
      </c>
      <c r="F162" s="12">
        <v>19632.55</v>
      </c>
      <c r="G162" s="11">
        <v>0.003152648</v>
      </c>
      <c r="H162" s="13">
        <v>0.0032</v>
      </c>
      <c r="J162" s="15"/>
      <c r="K162" s="11"/>
      <c r="L162" s="11"/>
      <c r="M162" s="11"/>
      <c r="N162" s="11"/>
    </row>
    <row r="163" ht="15.75" customHeight="1">
      <c r="A163" s="35">
        <v>45146.0</v>
      </c>
      <c r="B163" s="11">
        <v>885.4</v>
      </c>
      <c r="C163" s="11">
        <v>-0.0067</v>
      </c>
      <c r="D163" s="13">
        <v>-0.0067</v>
      </c>
      <c r="E163" s="35">
        <v>45146.0</v>
      </c>
      <c r="F163" s="12">
        <v>19570.85</v>
      </c>
      <c r="G163" s="11">
        <v>-0.001349676</v>
      </c>
      <c r="H163" s="13">
        <v>-0.0013</v>
      </c>
      <c r="J163" s="15"/>
      <c r="K163" s="11"/>
      <c r="L163" s="11"/>
      <c r="M163" s="11"/>
      <c r="N163" s="11"/>
    </row>
    <row r="164" ht="15.75" customHeight="1">
      <c r="A164" s="35">
        <v>45115.0</v>
      </c>
      <c r="B164" s="11">
        <v>891.4</v>
      </c>
      <c r="C164" s="11">
        <v>0.002</v>
      </c>
      <c r="D164" s="13">
        <v>0.002</v>
      </c>
      <c r="E164" s="35">
        <v>45115.0</v>
      </c>
      <c r="F164" s="12">
        <v>19597.3</v>
      </c>
      <c r="G164" s="11">
        <v>0.004114362</v>
      </c>
      <c r="H164" s="13">
        <v>0.0041</v>
      </c>
      <c r="J164" s="15"/>
      <c r="K164" s="11"/>
      <c r="L164" s="11"/>
      <c r="M164" s="11"/>
      <c r="N164" s="11"/>
    </row>
    <row r="165" ht="15.75" customHeight="1">
      <c r="A165" s="35">
        <v>45024.0</v>
      </c>
      <c r="B165" s="11">
        <v>889.65</v>
      </c>
      <c r="C165" s="11">
        <v>0.0206</v>
      </c>
      <c r="D165" s="13">
        <v>0.0206</v>
      </c>
      <c r="E165" s="35">
        <v>45024.0</v>
      </c>
      <c r="F165" s="12">
        <v>19517.0</v>
      </c>
      <c r="G165" s="11">
        <v>0.00698341</v>
      </c>
      <c r="H165" s="13">
        <v>0.007</v>
      </c>
      <c r="J165" s="15"/>
      <c r="K165" s="11"/>
      <c r="L165" s="11"/>
      <c r="M165" s="11"/>
      <c r="N165" s="11"/>
    </row>
    <row r="166" ht="15.75" customHeight="1">
      <c r="A166" s="35">
        <v>44993.0</v>
      </c>
      <c r="B166" s="11">
        <v>871.7</v>
      </c>
      <c r="C166" s="11">
        <v>-0.0073</v>
      </c>
      <c r="D166" s="13">
        <v>-0.0073</v>
      </c>
      <c r="E166" s="35">
        <v>44993.0</v>
      </c>
      <c r="F166" s="12">
        <v>19381.65</v>
      </c>
      <c r="G166" s="11">
        <v>-0.007420666</v>
      </c>
      <c r="H166" s="13">
        <v>-0.0074</v>
      </c>
      <c r="J166" s="15"/>
      <c r="K166" s="11"/>
      <c r="L166" s="11"/>
      <c r="M166" s="11"/>
      <c r="N166" s="11"/>
    </row>
    <row r="167" ht="15.75" customHeight="1">
      <c r="A167" s="35">
        <v>44965.0</v>
      </c>
      <c r="B167" s="11">
        <v>878.1</v>
      </c>
      <c r="C167" s="11">
        <v>-0.0152</v>
      </c>
      <c r="D167" s="13">
        <v>-0.0152</v>
      </c>
      <c r="E167" s="35">
        <v>44965.0</v>
      </c>
      <c r="F167" s="12">
        <v>19526.55</v>
      </c>
      <c r="G167" s="11">
        <v>-0.01048975</v>
      </c>
      <c r="H167" s="13">
        <v>-0.0105</v>
      </c>
      <c r="J167" s="15"/>
      <c r="K167" s="11"/>
      <c r="L167" s="11"/>
      <c r="M167" s="11"/>
      <c r="N167" s="11"/>
    </row>
    <row r="168" ht="15.75" customHeight="1">
      <c r="A168" s="35">
        <v>44934.0</v>
      </c>
      <c r="B168" s="11">
        <v>891.65</v>
      </c>
      <c r="C168" s="11">
        <v>0.002</v>
      </c>
      <c r="D168" s="13">
        <v>0.002</v>
      </c>
      <c r="E168" s="35">
        <v>44934.0</v>
      </c>
      <c r="F168" s="12">
        <v>19733.55</v>
      </c>
      <c r="G168" s="11">
        <v>-0.001025119</v>
      </c>
      <c r="H168" s="13">
        <v>-0.001</v>
      </c>
      <c r="J168" s="15"/>
      <c r="K168" s="11"/>
      <c r="L168" s="11"/>
      <c r="M168" s="11"/>
      <c r="N168" s="11"/>
    </row>
    <row r="169" ht="15.75" customHeight="1">
      <c r="A169" s="11" t="s">
        <v>204</v>
      </c>
      <c r="B169" s="11">
        <v>889.9</v>
      </c>
      <c r="C169" s="11">
        <v>-0.0058</v>
      </c>
      <c r="D169" s="13">
        <v>-0.0058</v>
      </c>
      <c r="E169" s="11" t="s">
        <v>204</v>
      </c>
      <c r="F169" s="12">
        <v>19753.8</v>
      </c>
      <c r="G169" s="11">
        <v>0.005484563</v>
      </c>
      <c r="H169" s="13">
        <v>0.0055</v>
      </c>
      <c r="J169" s="15"/>
      <c r="K169" s="11"/>
      <c r="L169" s="11"/>
      <c r="M169" s="11"/>
      <c r="N169" s="11"/>
    </row>
    <row r="170" ht="15.75" customHeight="1">
      <c r="A170" s="11" t="s">
        <v>205</v>
      </c>
      <c r="B170" s="11">
        <v>895.1</v>
      </c>
      <c r="C170" s="11">
        <v>-1.0E-4</v>
      </c>
      <c r="D170" s="13">
        <v>-1.0E-4</v>
      </c>
      <c r="E170" s="11" t="s">
        <v>205</v>
      </c>
      <c r="F170" s="12">
        <v>19646.05</v>
      </c>
      <c r="G170" s="11">
        <v>-7.0448E-4</v>
      </c>
      <c r="H170" s="13">
        <v>-7.0E-4</v>
      </c>
      <c r="J170" s="15"/>
      <c r="K170" s="11"/>
      <c r="L170" s="11"/>
      <c r="M170" s="11"/>
      <c r="N170" s="11"/>
    </row>
    <row r="171" ht="15.75" customHeight="1">
      <c r="A171" s="11" t="s">
        <v>206</v>
      </c>
      <c r="B171" s="11">
        <v>895.15</v>
      </c>
      <c r="C171" s="11">
        <v>0.0065</v>
      </c>
      <c r="D171" s="13">
        <v>0.0065</v>
      </c>
      <c r="E171" s="11" t="s">
        <v>206</v>
      </c>
      <c r="F171" s="12">
        <v>19659.9</v>
      </c>
      <c r="G171" s="11">
        <v>-0.005986359</v>
      </c>
      <c r="H171" s="13">
        <v>-0.006</v>
      </c>
      <c r="J171" s="15"/>
      <c r="K171" s="11"/>
      <c r="L171" s="11"/>
      <c r="M171" s="11"/>
      <c r="N171" s="11"/>
    </row>
    <row r="172" ht="15.75" customHeight="1">
      <c r="A172" s="11" t="s">
        <v>207</v>
      </c>
      <c r="B172" s="11">
        <v>889.4</v>
      </c>
      <c r="C172" s="11">
        <v>0.0065</v>
      </c>
      <c r="D172" s="13">
        <v>0.0065</v>
      </c>
      <c r="E172" s="11" t="s">
        <v>207</v>
      </c>
      <c r="F172" s="12">
        <v>19778.3</v>
      </c>
      <c r="G172" s="11">
        <v>0.00496428</v>
      </c>
      <c r="H172" s="13">
        <v>0.005</v>
      </c>
      <c r="J172" s="15"/>
      <c r="K172" s="11"/>
      <c r="L172" s="11"/>
      <c r="M172" s="11"/>
      <c r="N172" s="11"/>
    </row>
    <row r="173" ht="15.75" customHeight="1">
      <c r="A173" s="11" t="s">
        <v>208</v>
      </c>
      <c r="B173" s="11">
        <v>883.65</v>
      </c>
      <c r="C173" s="11">
        <v>-0.0051</v>
      </c>
      <c r="D173" s="13">
        <v>-0.0051</v>
      </c>
      <c r="E173" s="11" t="s">
        <v>208</v>
      </c>
      <c r="F173" s="12">
        <v>19680.6</v>
      </c>
      <c r="G173" s="11">
        <v>4.1937E-4</v>
      </c>
      <c r="H173" s="13">
        <v>4.0E-4</v>
      </c>
      <c r="J173" s="15"/>
      <c r="K173" s="11"/>
      <c r="L173" s="11"/>
      <c r="M173" s="11"/>
      <c r="N173" s="11"/>
    </row>
    <row r="174" ht="15.75" customHeight="1">
      <c r="A174" s="11" t="s">
        <v>209</v>
      </c>
      <c r="B174" s="11">
        <v>888.15</v>
      </c>
      <c r="C174" s="11">
        <v>0.0024</v>
      </c>
      <c r="D174" s="13">
        <v>0.0024</v>
      </c>
      <c r="E174" s="11" t="s">
        <v>209</v>
      </c>
      <c r="F174" s="12">
        <v>19672.35</v>
      </c>
      <c r="G174" s="11">
        <v>-0.003679413</v>
      </c>
      <c r="H174" s="13">
        <v>-0.0037</v>
      </c>
      <c r="J174" s="15"/>
      <c r="K174" s="11"/>
      <c r="L174" s="11"/>
      <c r="M174" s="11"/>
      <c r="N174" s="11"/>
    </row>
    <row r="175" ht="15.75" customHeight="1">
      <c r="A175" s="11" t="s">
        <v>210</v>
      </c>
      <c r="B175" s="11">
        <v>886.0</v>
      </c>
      <c r="C175" s="11">
        <v>0.0013</v>
      </c>
      <c r="D175" s="13">
        <v>0.0013</v>
      </c>
      <c r="E175" s="11" t="s">
        <v>210</v>
      </c>
      <c r="F175" s="12">
        <v>19745.0</v>
      </c>
      <c r="G175" s="11">
        <v>-0.011719718</v>
      </c>
      <c r="H175" s="13">
        <v>-0.0117</v>
      </c>
      <c r="J175" s="15"/>
      <c r="K175" s="11"/>
      <c r="L175" s="11"/>
      <c r="M175" s="11"/>
      <c r="N175" s="11"/>
    </row>
    <row r="176" ht="15.75" customHeight="1">
      <c r="A176" s="11" t="s">
        <v>211</v>
      </c>
      <c r="B176" s="11">
        <v>884.85</v>
      </c>
      <c r="C176" s="11">
        <v>0.0162</v>
      </c>
      <c r="D176" s="13">
        <v>0.0162</v>
      </c>
      <c r="E176" s="11" t="s">
        <v>211</v>
      </c>
      <c r="F176" s="12">
        <v>19979.15</v>
      </c>
      <c r="G176" s="11">
        <v>0.007361413</v>
      </c>
      <c r="H176" s="13">
        <v>0.0074</v>
      </c>
      <c r="J176" s="15"/>
      <c r="K176" s="11"/>
      <c r="L176" s="11"/>
      <c r="M176" s="11"/>
      <c r="N176" s="11"/>
    </row>
    <row r="177" ht="15.75" customHeight="1">
      <c r="A177" s="11" t="s">
        <v>212</v>
      </c>
      <c r="B177" s="11">
        <v>870.75</v>
      </c>
      <c r="C177" s="11">
        <v>-0.0054</v>
      </c>
      <c r="D177" s="13">
        <v>-0.0054</v>
      </c>
      <c r="E177" s="11" t="s">
        <v>212</v>
      </c>
      <c r="F177" s="12">
        <v>19833.15</v>
      </c>
      <c r="G177" s="11">
        <v>0.004248263</v>
      </c>
      <c r="H177" s="13">
        <v>0.0042</v>
      </c>
      <c r="J177" s="15"/>
      <c r="K177" s="11"/>
      <c r="L177" s="11"/>
      <c r="M177" s="11"/>
      <c r="N177" s="11"/>
    </row>
    <row r="178" ht="15.75" customHeight="1">
      <c r="A178" s="11" t="s">
        <v>213</v>
      </c>
      <c r="B178" s="11">
        <v>875.45</v>
      </c>
      <c r="C178" s="11">
        <v>-0.003</v>
      </c>
      <c r="D178" s="13">
        <v>-0.003</v>
      </c>
      <c r="E178" s="11" t="s">
        <v>213</v>
      </c>
      <c r="F178" s="12">
        <v>19749.25</v>
      </c>
      <c r="G178" s="11">
        <v>0.001917667</v>
      </c>
      <c r="H178" s="13">
        <v>0.0019</v>
      </c>
      <c r="J178" s="15"/>
      <c r="K178" s="11"/>
      <c r="L178" s="11"/>
      <c r="M178" s="11"/>
      <c r="N178" s="11"/>
    </row>
    <row r="179" ht="15.75" customHeight="1">
      <c r="A179" s="11" t="s">
        <v>214</v>
      </c>
      <c r="B179" s="11">
        <v>878.1</v>
      </c>
      <c r="C179" s="11">
        <v>-0.0095</v>
      </c>
      <c r="D179" s="13">
        <v>-0.0095</v>
      </c>
      <c r="E179" s="11" t="s">
        <v>214</v>
      </c>
      <c r="F179" s="12">
        <v>19711.45</v>
      </c>
      <c r="G179" s="11">
        <v>0.007511053</v>
      </c>
      <c r="H179" s="13">
        <v>0.0075</v>
      </c>
      <c r="J179" s="15"/>
      <c r="K179" s="11"/>
      <c r="L179" s="11"/>
      <c r="M179" s="11"/>
      <c r="N179" s="11"/>
    </row>
    <row r="180" ht="15.75" customHeight="1">
      <c r="A180" s="11" t="s">
        <v>215</v>
      </c>
      <c r="B180" s="11">
        <v>886.5</v>
      </c>
      <c r="C180" s="11">
        <v>0.0016</v>
      </c>
      <c r="D180" s="13">
        <v>0.0016</v>
      </c>
      <c r="E180" s="11" t="s">
        <v>215</v>
      </c>
      <c r="F180" s="12">
        <v>19564.5</v>
      </c>
      <c r="G180" s="11">
        <v>0.007765115</v>
      </c>
      <c r="H180" s="13">
        <v>0.0078</v>
      </c>
      <c r="J180" s="15"/>
      <c r="K180" s="11"/>
      <c r="L180" s="11"/>
      <c r="M180" s="11"/>
      <c r="N180" s="11"/>
    </row>
    <row r="181" ht="15.75" customHeight="1">
      <c r="A181" s="11" t="s">
        <v>216</v>
      </c>
      <c r="B181" s="11">
        <v>885.05</v>
      </c>
      <c r="C181" s="11">
        <v>-0.0055</v>
      </c>
      <c r="D181" s="13">
        <v>-0.0055</v>
      </c>
      <c r="E181" s="11" t="s">
        <v>216</v>
      </c>
      <c r="F181" s="12">
        <v>19413.75</v>
      </c>
      <c r="G181" s="11">
        <v>0.001519271</v>
      </c>
      <c r="H181" s="13">
        <v>0.0015</v>
      </c>
      <c r="J181" s="15"/>
      <c r="K181" s="11"/>
      <c r="L181" s="11"/>
      <c r="M181" s="11"/>
      <c r="N181" s="11"/>
    </row>
    <row r="182" ht="15.75" customHeight="1">
      <c r="A182" s="35">
        <v>45267.0</v>
      </c>
      <c r="B182" s="11">
        <v>889.95</v>
      </c>
      <c r="C182" s="11">
        <v>-0.0022</v>
      </c>
      <c r="D182" s="13">
        <v>-0.0022</v>
      </c>
      <c r="E182" s="35">
        <v>45267.0</v>
      </c>
      <c r="F182" s="12">
        <v>19384.3</v>
      </c>
      <c r="G182" s="11">
        <v>-0.00283445</v>
      </c>
      <c r="H182" s="13">
        <v>-0.0028</v>
      </c>
      <c r="J182" s="15"/>
      <c r="K182" s="11"/>
      <c r="L182" s="11"/>
      <c r="M182" s="11"/>
      <c r="N182" s="11"/>
    </row>
    <row r="183" ht="15.75" customHeight="1">
      <c r="A183" s="35">
        <v>45237.0</v>
      </c>
      <c r="B183" s="11">
        <v>891.9</v>
      </c>
      <c r="C183" s="11">
        <v>0.0073</v>
      </c>
      <c r="D183" s="13">
        <v>0.0073</v>
      </c>
      <c r="E183" s="35">
        <v>45237.0</v>
      </c>
      <c r="F183" s="12">
        <v>19439.4</v>
      </c>
      <c r="G183" s="11">
        <v>0.00431393</v>
      </c>
      <c r="H183" s="13">
        <v>0.0043</v>
      </c>
      <c r="J183" s="15"/>
      <c r="K183" s="11"/>
      <c r="L183" s="11"/>
      <c r="M183" s="11"/>
      <c r="N183" s="11"/>
    </row>
    <row r="184" ht="15.75" customHeight="1">
      <c r="A184" s="35">
        <v>45206.0</v>
      </c>
      <c r="B184" s="11">
        <v>885.4</v>
      </c>
      <c r="C184" s="11">
        <v>0.0172</v>
      </c>
      <c r="D184" s="13">
        <v>0.0172</v>
      </c>
      <c r="E184" s="35">
        <v>45206.0</v>
      </c>
      <c r="F184" s="12">
        <v>19355.9</v>
      </c>
      <c r="G184" s="11">
        <v>0.001246651</v>
      </c>
      <c r="H184" s="13">
        <v>0.0012</v>
      </c>
      <c r="J184" s="15"/>
      <c r="K184" s="11"/>
      <c r="L184" s="11"/>
      <c r="M184" s="11"/>
      <c r="N184" s="11"/>
    </row>
    <row r="185" ht="15.75" customHeight="1">
      <c r="A185" s="35">
        <v>45114.0</v>
      </c>
      <c r="B185" s="11">
        <v>870.45</v>
      </c>
      <c r="C185" s="11">
        <v>9.0E-4</v>
      </c>
      <c r="D185" s="13">
        <v>9.0E-4</v>
      </c>
      <c r="E185" s="35">
        <v>45114.0</v>
      </c>
      <c r="F185" s="12">
        <v>19331.8</v>
      </c>
      <c r="G185" s="11">
        <v>-0.008488355</v>
      </c>
      <c r="H185" s="13">
        <v>-0.0085</v>
      </c>
      <c r="J185" s="15"/>
      <c r="K185" s="11"/>
      <c r="L185" s="11"/>
      <c r="M185" s="11"/>
      <c r="N185" s="11"/>
    </row>
    <row r="186" ht="15.75" customHeight="1">
      <c r="A186" s="35">
        <v>45084.0</v>
      </c>
      <c r="B186" s="11">
        <v>869.65</v>
      </c>
      <c r="C186" s="11">
        <v>0.0035</v>
      </c>
      <c r="D186" s="13">
        <v>0.0035</v>
      </c>
      <c r="E186" s="35">
        <v>45084.0</v>
      </c>
      <c r="F186" s="12">
        <v>19497.3</v>
      </c>
      <c r="G186" s="11">
        <v>0.005093177</v>
      </c>
      <c r="H186" s="13">
        <v>0.0051</v>
      </c>
      <c r="J186" s="15"/>
      <c r="K186" s="11"/>
      <c r="L186" s="11"/>
      <c r="M186" s="11"/>
      <c r="N186" s="11"/>
    </row>
    <row r="187" ht="15.75" customHeight="1">
      <c r="A187" s="35">
        <v>45053.0</v>
      </c>
      <c r="B187" s="11">
        <v>866.65</v>
      </c>
      <c r="C187" s="11">
        <v>0.0017</v>
      </c>
      <c r="D187" s="13">
        <v>0.0017</v>
      </c>
      <c r="E187" s="35">
        <v>45053.0</v>
      </c>
      <c r="F187" s="12">
        <v>19398.5</v>
      </c>
      <c r="G187" s="11">
        <v>4.89969E-4</v>
      </c>
      <c r="H187" s="13">
        <v>5.0E-4</v>
      </c>
      <c r="J187" s="15"/>
      <c r="K187" s="11"/>
      <c r="L187" s="11"/>
      <c r="M187" s="11"/>
      <c r="N187" s="11"/>
    </row>
    <row r="188" ht="15.75" customHeight="1">
      <c r="A188" s="35">
        <v>45023.0</v>
      </c>
      <c r="B188" s="11">
        <v>865.15</v>
      </c>
      <c r="C188" s="11">
        <v>-0.0159</v>
      </c>
      <c r="D188" s="13">
        <v>-0.0159</v>
      </c>
      <c r="E188" s="35">
        <v>45023.0</v>
      </c>
      <c r="F188" s="12">
        <v>19389.0</v>
      </c>
      <c r="G188" s="11">
        <v>0.003438987</v>
      </c>
      <c r="H188" s="13">
        <v>0.0034</v>
      </c>
      <c r="J188" s="15"/>
      <c r="K188" s="11"/>
      <c r="L188" s="11"/>
      <c r="M188" s="11"/>
      <c r="N188" s="11"/>
    </row>
    <row r="189" ht="15.75" customHeight="1">
      <c r="A189" s="35">
        <v>44992.0</v>
      </c>
      <c r="B189" s="11">
        <v>879.15</v>
      </c>
      <c r="C189" s="11">
        <v>5.0E-4</v>
      </c>
      <c r="D189" s="13">
        <v>5.0E-4</v>
      </c>
      <c r="E189" s="35">
        <v>44992.0</v>
      </c>
      <c r="F189" s="12">
        <v>19322.55</v>
      </c>
      <c r="G189" s="11">
        <v>0.006957093</v>
      </c>
      <c r="H189" s="13">
        <v>0.007</v>
      </c>
      <c r="J189" s="15"/>
      <c r="K189" s="11"/>
      <c r="L189" s="11"/>
      <c r="M189" s="11"/>
      <c r="N189" s="11"/>
    </row>
    <row r="190" ht="15.75" customHeight="1">
      <c r="A190" s="11" t="s">
        <v>217</v>
      </c>
      <c r="B190" s="11">
        <v>878.75</v>
      </c>
      <c r="C190" s="11">
        <v>0.0075</v>
      </c>
      <c r="D190" s="13">
        <v>0.0075</v>
      </c>
      <c r="E190" s="11" t="s">
        <v>217</v>
      </c>
      <c r="F190" s="12">
        <v>19189.05</v>
      </c>
      <c r="G190" s="11">
        <v>0.011435213</v>
      </c>
      <c r="H190" s="13">
        <v>0.0114</v>
      </c>
      <c r="J190" s="15"/>
      <c r="K190" s="11"/>
      <c r="L190" s="11"/>
      <c r="M190" s="11"/>
      <c r="N190" s="11"/>
    </row>
    <row r="191" ht="15.75" customHeight="1">
      <c r="A191" s="11" t="s">
        <v>218</v>
      </c>
      <c r="B191" s="11">
        <v>872.2</v>
      </c>
      <c r="C191" s="11">
        <v>0.0084</v>
      </c>
      <c r="D191" s="13">
        <v>0.0084</v>
      </c>
      <c r="E191" s="11" t="s">
        <v>218</v>
      </c>
      <c r="F191" s="12">
        <v>18972.1</v>
      </c>
      <c r="G191" s="11">
        <v>0.008221115</v>
      </c>
      <c r="H191" s="13">
        <v>0.0082</v>
      </c>
      <c r="J191" s="15"/>
      <c r="K191" s="11"/>
      <c r="L191" s="11"/>
      <c r="M191" s="11"/>
      <c r="N191" s="11"/>
    </row>
    <row r="192" ht="15.75" customHeight="1">
      <c r="A192" s="11" t="s">
        <v>219</v>
      </c>
      <c r="B192" s="11">
        <v>864.9</v>
      </c>
      <c r="C192" s="11">
        <v>0.0152</v>
      </c>
      <c r="D192" s="13">
        <v>0.0152</v>
      </c>
      <c r="E192" s="11" t="s">
        <v>219</v>
      </c>
      <c r="F192" s="12">
        <v>18817.4</v>
      </c>
      <c r="G192" s="11">
        <v>0.00675184</v>
      </c>
      <c r="H192" s="13">
        <v>0.0068</v>
      </c>
      <c r="J192" s="15"/>
      <c r="K192" s="11"/>
      <c r="L192" s="11"/>
      <c r="M192" s="11"/>
      <c r="N192" s="11"/>
    </row>
    <row r="193" ht="15.75" customHeight="1">
      <c r="A193" s="11" t="s">
        <v>220</v>
      </c>
      <c r="B193" s="11">
        <v>851.95</v>
      </c>
      <c r="C193" s="11">
        <v>-0.0033</v>
      </c>
      <c r="D193" s="13">
        <v>-0.0033</v>
      </c>
      <c r="E193" s="11" t="s">
        <v>220</v>
      </c>
      <c r="F193" s="12">
        <v>18691.2</v>
      </c>
      <c r="G193" s="11">
        <v>0.001376872</v>
      </c>
      <c r="H193" s="13">
        <v>0.0014</v>
      </c>
      <c r="J193" s="15"/>
      <c r="K193" s="11"/>
      <c r="L193" s="11"/>
      <c r="M193" s="11"/>
      <c r="N193" s="11"/>
    </row>
    <row r="194" ht="15.75" customHeight="1">
      <c r="A194" s="11" t="s">
        <v>221</v>
      </c>
      <c r="B194" s="11">
        <v>854.8</v>
      </c>
      <c r="C194" s="11">
        <v>0.0142</v>
      </c>
      <c r="D194" s="13">
        <v>0.0142</v>
      </c>
      <c r="E194" s="11" t="s">
        <v>221</v>
      </c>
      <c r="F194" s="12">
        <v>18665.5</v>
      </c>
      <c r="G194" s="11">
        <v>-0.005633615</v>
      </c>
      <c r="H194" s="13">
        <v>-0.0056</v>
      </c>
      <c r="J194" s="15"/>
      <c r="K194" s="11"/>
      <c r="L194" s="11"/>
      <c r="M194" s="11"/>
      <c r="N194" s="11"/>
    </row>
    <row r="195" ht="15.75" customHeight="1">
      <c r="A195" s="11" t="s">
        <v>222</v>
      </c>
      <c r="B195" s="11">
        <v>842.8</v>
      </c>
      <c r="C195" s="11">
        <v>0.0045</v>
      </c>
      <c r="D195" s="13">
        <v>0.0045</v>
      </c>
      <c r="E195" s="11" t="s">
        <v>222</v>
      </c>
      <c r="F195" s="12">
        <v>18771.25</v>
      </c>
      <c r="G195" s="11">
        <v>-0.004539464</v>
      </c>
      <c r="H195" s="13">
        <v>-0.0045</v>
      </c>
      <c r="J195" s="15"/>
      <c r="K195" s="11"/>
      <c r="L195" s="11"/>
      <c r="M195" s="11"/>
      <c r="N195" s="11"/>
    </row>
    <row r="196" ht="15.75" customHeight="1">
      <c r="A196" s="11" t="s">
        <v>223</v>
      </c>
      <c r="B196" s="11">
        <v>839.0</v>
      </c>
      <c r="C196" s="11">
        <v>0.0094</v>
      </c>
      <c r="D196" s="13">
        <v>0.0094</v>
      </c>
      <c r="E196" s="11" t="s">
        <v>223</v>
      </c>
      <c r="F196" s="12">
        <v>18856.85</v>
      </c>
      <c r="G196" s="11">
        <v>0.002133743</v>
      </c>
      <c r="H196" s="13">
        <v>0.0021</v>
      </c>
      <c r="J196" s="15"/>
      <c r="K196" s="11"/>
      <c r="L196" s="11"/>
      <c r="M196" s="11"/>
      <c r="N196" s="11"/>
    </row>
    <row r="197" ht="15.75" customHeight="1">
      <c r="A197" s="11" t="s">
        <v>224</v>
      </c>
      <c r="B197" s="11">
        <v>831.2</v>
      </c>
      <c r="C197" s="11">
        <v>0.0037</v>
      </c>
      <c r="D197" s="13">
        <v>0.0037</v>
      </c>
      <c r="E197" s="11" t="s">
        <v>224</v>
      </c>
      <c r="F197" s="12">
        <v>18816.7</v>
      </c>
      <c r="G197" s="11">
        <v>0.003265717</v>
      </c>
      <c r="H197" s="13">
        <v>0.0033</v>
      </c>
      <c r="J197" s="15"/>
      <c r="K197" s="11"/>
      <c r="L197" s="11"/>
      <c r="M197" s="11"/>
      <c r="N197" s="11"/>
    </row>
    <row r="198" ht="15.75" customHeight="1">
      <c r="A198" s="11" t="s">
        <v>225</v>
      </c>
      <c r="B198" s="11">
        <v>828.15</v>
      </c>
      <c r="C198" s="11">
        <v>-0.0115</v>
      </c>
      <c r="D198" s="13">
        <v>-0.0115</v>
      </c>
      <c r="E198" s="11" t="s">
        <v>225</v>
      </c>
      <c r="F198" s="12">
        <v>18755.45</v>
      </c>
      <c r="G198" s="11">
        <v>-0.003747477</v>
      </c>
      <c r="H198" s="13">
        <v>-0.0037</v>
      </c>
      <c r="J198" s="15"/>
      <c r="K198" s="11"/>
      <c r="L198" s="11"/>
      <c r="M198" s="11"/>
      <c r="N198" s="11"/>
    </row>
    <row r="199" ht="15.75" customHeight="1">
      <c r="A199" s="11" t="s">
        <v>226</v>
      </c>
      <c r="B199" s="11">
        <v>837.8</v>
      </c>
      <c r="C199" s="11">
        <v>0.0098</v>
      </c>
      <c r="D199" s="13">
        <v>0.0098</v>
      </c>
      <c r="E199" s="11" t="s">
        <v>226</v>
      </c>
      <c r="F199" s="12">
        <v>18826.0</v>
      </c>
      <c r="G199" s="11">
        <v>0.007379027</v>
      </c>
      <c r="H199" s="13">
        <v>0.0074</v>
      </c>
      <c r="J199" s="15"/>
      <c r="K199" s="11"/>
      <c r="L199" s="11"/>
      <c r="M199" s="11"/>
      <c r="N199" s="11"/>
    </row>
    <row r="200" ht="15.75" customHeight="1">
      <c r="A200" s="11" t="s">
        <v>227</v>
      </c>
      <c r="B200" s="11">
        <v>829.7</v>
      </c>
      <c r="C200" s="11">
        <v>0.0021</v>
      </c>
      <c r="D200" s="13">
        <v>0.0021</v>
      </c>
      <c r="E200" s="11" t="s">
        <v>227</v>
      </c>
      <c r="F200" s="12">
        <v>18688.1</v>
      </c>
      <c r="G200" s="11">
        <v>-0.003614863</v>
      </c>
      <c r="H200" s="13">
        <v>-0.0036</v>
      </c>
      <c r="J200" s="15"/>
      <c r="K200" s="11"/>
      <c r="L200" s="11"/>
      <c r="M200" s="11"/>
      <c r="N200" s="11"/>
    </row>
    <row r="201" ht="15.75" customHeight="1">
      <c r="A201" s="11" t="s">
        <v>228</v>
      </c>
      <c r="B201" s="11">
        <v>827.95</v>
      </c>
      <c r="C201" s="11">
        <v>-0.0077</v>
      </c>
      <c r="D201" s="13">
        <v>-0.0077</v>
      </c>
      <c r="E201" s="11" t="s">
        <v>228</v>
      </c>
      <c r="F201" s="12">
        <v>18755.9</v>
      </c>
      <c r="G201" s="11">
        <v>0.002123834</v>
      </c>
      <c r="H201" s="13">
        <v>0.0021</v>
      </c>
      <c r="J201" s="15"/>
      <c r="K201" s="11"/>
      <c r="L201" s="11"/>
      <c r="M201" s="11"/>
      <c r="N201" s="11"/>
    </row>
    <row r="202" ht="15.75" customHeight="1">
      <c r="A202" s="11" t="s">
        <v>229</v>
      </c>
      <c r="B202" s="11">
        <v>834.35</v>
      </c>
      <c r="C202" s="11">
        <v>-0.0024</v>
      </c>
      <c r="D202" s="13">
        <v>-0.0024</v>
      </c>
      <c r="E202" s="11" t="s">
        <v>229</v>
      </c>
      <c r="F202" s="12">
        <v>18716.15</v>
      </c>
      <c r="G202" s="11">
        <v>0.006163481</v>
      </c>
      <c r="H202" s="13">
        <v>0.0062</v>
      </c>
      <c r="J202" s="15"/>
      <c r="K202" s="11"/>
      <c r="L202" s="11"/>
      <c r="M202" s="11"/>
      <c r="N202" s="11"/>
    </row>
    <row r="203" ht="15.75" customHeight="1">
      <c r="A203" s="35">
        <v>45266.0</v>
      </c>
      <c r="B203" s="11">
        <v>836.35</v>
      </c>
      <c r="C203" s="11">
        <v>0.0034</v>
      </c>
      <c r="D203" s="13">
        <v>0.0034</v>
      </c>
      <c r="E203" s="35">
        <v>45266.0</v>
      </c>
      <c r="F203" s="12">
        <v>18601.5</v>
      </c>
      <c r="G203" s="11">
        <v>0.002052426</v>
      </c>
      <c r="H203" s="13">
        <v>0.0021</v>
      </c>
      <c r="J203" s="15"/>
      <c r="K203" s="11"/>
      <c r="L203" s="11"/>
      <c r="M203" s="11"/>
      <c r="N203" s="11"/>
    </row>
    <row r="204" ht="15.75" customHeight="1">
      <c r="A204" s="35">
        <v>45175.0</v>
      </c>
      <c r="B204" s="11">
        <v>833.5</v>
      </c>
      <c r="C204" s="11">
        <v>-0.003</v>
      </c>
      <c r="D204" s="13">
        <v>-0.003</v>
      </c>
      <c r="E204" s="35">
        <v>45175.0</v>
      </c>
      <c r="F204" s="12">
        <v>18563.4</v>
      </c>
      <c r="G204" s="11">
        <v>-0.003818176</v>
      </c>
      <c r="H204" s="13">
        <v>-0.0038</v>
      </c>
      <c r="J204" s="15"/>
      <c r="K204" s="11"/>
      <c r="L204" s="11"/>
      <c r="M204" s="11"/>
      <c r="N204" s="11"/>
    </row>
    <row r="205" ht="15.75" customHeight="1">
      <c r="A205" s="35">
        <v>45144.0</v>
      </c>
      <c r="B205" s="11">
        <v>836.0</v>
      </c>
      <c r="C205" s="11">
        <v>-0.0098</v>
      </c>
      <c r="D205" s="13">
        <v>-0.0098</v>
      </c>
      <c r="E205" s="35">
        <v>45144.0</v>
      </c>
      <c r="F205" s="12">
        <v>18634.55</v>
      </c>
      <c r="G205" s="11">
        <v>-0.00490484</v>
      </c>
      <c r="H205" s="13">
        <v>-0.0049</v>
      </c>
      <c r="J205" s="15"/>
      <c r="K205" s="11"/>
      <c r="L205" s="11"/>
      <c r="M205" s="11"/>
      <c r="N205" s="11"/>
    </row>
    <row r="206" ht="15.75" customHeight="1">
      <c r="A206" s="35">
        <v>45113.0</v>
      </c>
      <c r="B206" s="11">
        <v>844.25</v>
      </c>
      <c r="C206" s="11">
        <v>0.0178</v>
      </c>
      <c r="D206" s="13">
        <v>0.0178</v>
      </c>
      <c r="E206" s="35">
        <v>45113.0</v>
      </c>
      <c r="F206" s="12">
        <v>18726.4</v>
      </c>
      <c r="G206" s="11">
        <v>0.006849831</v>
      </c>
      <c r="H206" s="13">
        <v>0.0068</v>
      </c>
      <c r="J206" s="15"/>
      <c r="K206" s="11"/>
      <c r="L206" s="11"/>
      <c r="M206" s="11"/>
      <c r="N206" s="11"/>
    </row>
    <row r="207" ht="15.75" customHeight="1">
      <c r="A207" s="35">
        <v>45083.0</v>
      </c>
      <c r="B207" s="11">
        <v>829.45</v>
      </c>
      <c r="C207" s="11">
        <v>-0.0061</v>
      </c>
      <c r="D207" s="13">
        <v>-0.0061</v>
      </c>
      <c r="E207" s="35">
        <v>45083.0</v>
      </c>
      <c r="F207" s="12">
        <v>18599.0</v>
      </c>
      <c r="G207" s="11">
        <v>2.76973E-4</v>
      </c>
      <c r="H207" s="13">
        <v>3.0E-4</v>
      </c>
      <c r="J207" s="15"/>
      <c r="K207" s="11"/>
      <c r="L207" s="11"/>
      <c r="M207" s="11"/>
      <c r="N207" s="11"/>
    </row>
    <row r="208" ht="15.75" customHeight="1">
      <c r="A208" s="35">
        <v>45052.0</v>
      </c>
      <c r="B208" s="11">
        <v>834.5</v>
      </c>
      <c r="C208" s="11">
        <v>-0.0024</v>
      </c>
      <c r="D208" s="13">
        <v>-0.0024</v>
      </c>
      <c r="E208" s="35">
        <v>45052.0</v>
      </c>
      <c r="F208" s="12">
        <v>18593.85</v>
      </c>
      <c r="G208" s="11">
        <v>0.003223788</v>
      </c>
      <c r="H208" s="13">
        <v>0.0032</v>
      </c>
      <c r="J208" s="15"/>
      <c r="K208" s="11"/>
      <c r="L208" s="11"/>
      <c r="M208" s="11"/>
      <c r="N208" s="11"/>
    </row>
    <row r="209" ht="15.75" customHeight="1">
      <c r="A209" s="35">
        <v>44963.0</v>
      </c>
      <c r="B209" s="11">
        <v>836.5</v>
      </c>
      <c r="C209" s="11">
        <v>0.0103</v>
      </c>
      <c r="D209" s="13">
        <v>0.0103</v>
      </c>
      <c r="E209" s="35">
        <v>44963.0</v>
      </c>
      <c r="F209" s="12">
        <v>18534.1</v>
      </c>
      <c r="G209" s="11">
        <v>0.002507065</v>
      </c>
      <c r="H209" s="13">
        <v>0.0025</v>
      </c>
      <c r="J209" s="15"/>
      <c r="K209" s="11"/>
      <c r="L209" s="11"/>
      <c r="M209" s="11"/>
      <c r="N209" s="11"/>
    </row>
    <row r="210" ht="15.75" customHeight="1">
      <c r="A210" s="35">
        <v>44932.0</v>
      </c>
      <c r="B210" s="11">
        <v>827.95</v>
      </c>
      <c r="C210" s="11">
        <v>-0.0258</v>
      </c>
      <c r="D210" s="13">
        <v>-0.0258</v>
      </c>
      <c r="E210" s="35">
        <v>44932.0</v>
      </c>
      <c r="F210" s="12">
        <v>18487.75</v>
      </c>
      <c r="G210" s="11">
        <v>-0.002516941</v>
      </c>
      <c r="H210" s="13">
        <v>-0.0025</v>
      </c>
      <c r="J210" s="15"/>
      <c r="K210" s="11"/>
      <c r="L210" s="11"/>
      <c r="M210" s="11"/>
      <c r="N210" s="11"/>
    </row>
    <row r="211" ht="15.75" customHeight="1">
      <c r="A211" s="11" t="s">
        <v>230</v>
      </c>
      <c r="B211" s="11">
        <v>849.9</v>
      </c>
      <c r="C211" s="11">
        <v>0.0384</v>
      </c>
      <c r="D211" s="13">
        <v>0.0384</v>
      </c>
      <c r="E211" s="11" t="s">
        <v>230</v>
      </c>
      <c r="F211" s="12">
        <v>18534.4</v>
      </c>
      <c r="G211" s="11">
        <v>-0.005337061</v>
      </c>
      <c r="H211" s="13">
        <v>-0.0053</v>
      </c>
      <c r="J211" s="15"/>
      <c r="K211" s="11"/>
      <c r="L211" s="11"/>
      <c r="M211" s="11"/>
      <c r="N211" s="11"/>
    </row>
    <row r="212" ht="15.75" customHeight="1">
      <c r="A212" s="11" t="s">
        <v>231</v>
      </c>
      <c r="B212" s="11">
        <v>818.45</v>
      </c>
      <c r="C212" s="11">
        <v>-0.0034</v>
      </c>
      <c r="D212" s="13">
        <v>-0.0034</v>
      </c>
      <c r="E212" s="11" t="s">
        <v>231</v>
      </c>
      <c r="F212" s="12">
        <v>18633.85</v>
      </c>
      <c r="G212" s="11">
        <v>0.00189261</v>
      </c>
      <c r="H212" s="13">
        <v>0.0019</v>
      </c>
      <c r="J212" s="15"/>
      <c r="K212" s="11"/>
      <c r="L212" s="11"/>
      <c r="M212" s="11"/>
      <c r="N212" s="11"/>
    </row>
    <row r="213" ht="15.75" customHeight="1">
      <c r="A213" s="11" t="s">
        <v>232</v>
      </c>
      <c r="B213" s="11">
        <v>821.25</v>
      </c>
      <c r="C213" s="11">
        <v>0.004</v>
      </c>
      <c r="D213" s="13">
        <v>0.004</v>
      </c>
      <c r="E213" s="11" t="s">
        <v>232</v>
      </c>
      <c r="F213" s="12">
        <v>18598.65</v>
      </c>
      <c r="G213" s="11">
        <v>0.005367756</v>
      </c>
      <c r="H213" s="13">
        <v>0.0054</v>
      </c>
      <c r="J213" s="15"/>
      <c r="K213" s="11"/>
      <c r="L213" s="11"/>
      <c r="M213" s="11"/>
      <c r="N213" s="11"/>
    </row>
    <row r="214" ht="15.75" customHeight="1">
      <c r="A214" s="11" t="s">
        <v>233</v>
      </c>
      <c r="B214" s="11">
        <v>817.95</v>
      </c>
      <c r="C214" s="11">
        <v>-0.0058</v>
      </c>
      <c r="D214" s="13">
        <v>-0.0058</v>
      </c>
      <c r="E214" s="11" t="s">
        <v>233</v>
      </c>
      <c r="F214" s="12">
        <v>18499.35</v>
      </c>
      <c r="G214" s="11">
        <v>0.009726464</v>
      </c>
      <c r="H214" s="13">
        <v>0.0097</v>
      </c>
      <c r="J214" s="15"/>
      <c r="K214" s="11"/>
      <c r="L214" s="11"/>
      <c r="M214" s="11"/>
      <c r="N214" s="11"/>
    </row>
    <row r="215" ht="15.75" customHeight="1">
      <c r="A215" s="11" t="s">
        <v>234</v>
      </c>
      <c r="B215" s="11">
        <v>822.7</v>
      </c>
      <c r="C215" s="11">
        <v>0.0266</v>
      </c>
      <c r="D215" s="13">
        <v>0.0266</v>
      </c>
      <c r="E215" s="11" t="s">
        <v>234</v>
      </c>
      <c r="F215" s="12">
        <v>18321.15</v>
      </c>
      <c r="G215" s="11">
        <v>0.001955112</v>
      </c>
      <c r="H215" s="13">
        <v>0.002</v>
      </c>
      <c r="J215" s="15"/>
      <c r="K215" s="11"/>
      <c r="L215" s="11"/>
      <c r="M215" s="11"/>
      <c r="N215" s="11"/>
    </row>
    <row r="216" ht="15.75" customHeight="1">
      <c r="A216" s="11" t="s">
        <v>235</v>
      </c>
      <c r="B216" s="11">
        <v>801.4</v>
      </c>
      <c r="C216" s="11">
        <v>0.0018</v>
      </c>
      <c r="D216" s="13">
        <v>0.0018</v>
      </c>
      <c r="E216" s="11" t="s">
        <v>235</v>
      </c>
      <c r="F216" s="12">
        <v>18285.4</v>
      </c>
      <c r="G216" s="11">
        <v>-0.003411816</v>
      </c>
      <c r="H216" s="13">
        <v>-0.0034</v>
      </c>
      <c r="J216" s="15"/>
      <c r="K216" s="11"/>
      <c r="L216" s="11"/>
      <c r="M216" s="11"/>
      <c r="N216" s="11"/>
    </row>
    <row r="217" ht="15.75" customHeight="1">
      <c r="A217" s="11" t="s">
        <v>236</v>
      </c>
      <c r="B217" s="11">
        <v>799.95</v>
      </c>
      <c r="C217" s="11">
        <v>-0.0024</v>
      </c>
      <c r="D217" s="13">
        <v>-0.0024</v>
      </c>
      <c r="E217" s="11" t="s">
        <v>236</v>
      </c>
      <c r="F217" s="12">
        <v>18348.0</v>
      </c>
      <c r="G217" s="11">
        <v>0.001834622</v>
      </c>
      <c r="H217" s="13">
        <v>0.0018</v>
      </c>
      <c r="J217" s="15"/>
      <c r="K217" s="11"/>
      <c r="L217" s="11"/>
      <c r="M217" s="11"/>
      <c r="N217" s="11"/>
    </row>
    <row r="218" ht="15.75" customHeight="1">
      <c r="A218" s="11" t="s">
        <v>237</v>
      </c>
      <c r="B218" s="11">
        <v>801.85</v>
      </c>
      <c r="C218" s="11">
        <v>-0.0048</v>
      </c>
      <c r="D218" s="13">
        <v>-0.0048</v>
      </c>
      <c r="E218" s="11" t="s">
        <v>237</v>
      </c>
      <c r="F218" s="12">
        <v>18314.4</v>
      </c>
      <c r="G218" s="11">
        <v>0.006097762</v>
      </c>
      <c r="H218" s="13">
        <v>0.0061</v>
      </c>
      <c r="J218" s="15"/>
      <c r="K218" s="11"/>
      <c r="L218" s="11"/>
      <c r="M218" s="11"/>
      <c r="N218" s="11"/>
    </row>
    <row r="219" ht="15.75" customHeight="1">
      <c r="A219" s="11" t="s">
        <v>238</v>
      </c>
      <c r="B219" s="11">
        <v>805.75</v>
      </c>
      <c r="C219" s="11">
        <v>0.008</v>
      </c>
      <c r="D219" s="13">
        <v>0.008</v>
      </c>
      <c r="E219" s="11" t="s">
        <v>238</v>
      </c>
      <c r="F219" s="12">
        <v>18203.4</v>
      </c>
      <c r="G219" s="11">
        <v>0.004051307</v>
      </c>
      <c r="H219" s="13">
        <v>0.0041</v>
      </c>
      <c r="J219" s="15"/>
      <c r="K219" s="11"/>
      <c r="L219" s="11"/>
      <c r="M219" s="11"/>
      <c r="N219" s="11"/>
    </row>
    <row r="220" ht="15.75" customHeight="1">
      <c r="A220" s="11" t="s">
        <v>239</v>
      </c>
      <c r="B220" s="11">
        <v>799.35</v>
      </c>
      <c r="C220" s="11">
        <v>0.009</v>
      </c>
      <c r="D220" s="13">
        <v>0.009</v>
      </c>
      <c r="E220" s="11" t="s">
        <v>239</v>
      </c>
      <c r="F220" s="12">
        <v>18129.95</v>
      </c>
      <c r="G220" s="11">
        <v>-0.002849011</v>
      </c>
      <c r="H220" s="13">
        <v>-0.0028</v>
      </c>
      <c r="J220" s="15"/>
      <c r="K220" s="11"/>
      <c r="L220" s="11"/>
      <c r="M220" s="11"/>
      <c r="N220" s="11"/>
    </row>
    <row r="221" ht="15.75" customHeight="1">
      <c r="A221" s="11" t="s">
        <v>240</v>
      </c>
      <c r="B221" s="11">
        <v>792.25</v>
      </c>
      <c r="C221" s="11">
        <v>0.0062</v>
      </c>
      <c r="D221" s="13">
        <v>0.0062</v>
      </c>
      <c r="E221" s="11" t="s">
        <v>240</v>
      </c>
      <c r="F221" s="12">
        <v>18181.75</v>
      </c>
      <c r="G221" s="11">
        <v>-0.005728269</v>
      </c>
      <c r="H221" s="13">
        <v>-0.0057</v>
      </c>
      <c r="J221" s="15"/>
      <c r="K221" s="11"/>
      <c r="L221" s="11"/>
      <c r="M221" s="11"/>
      <c r="N221" s="11"/>
    </row>
    <row r="222" ht="15.75" customHeight="1">
      <c r="A222" s="11" t="s">
        <v>241</v>
      </c>
      <c r="B222" s="11">
        <v>787.35</v>
      </c>
      <c r="C222" s="11">
        <v>-0.0122</v>
      </c>
      <c r="D222" s="13">
        <v>-0.0122</v>
      </c>
      <c r="E222" s="11" t="s">
        <v>241</v>
      </c>
      <c r="F222" s="12">
        <v>18286.5</v>
      </c>
      <c r="G222" s="11">
        <v>-0.00610636</v>
      </c>
      <c r="H222" s="13">
        <v>-0.0061</v>
      </c>
      <c r="J222" s="15"/>
      <c r="K222" s="11"/>
      <c r="L222" s="11"/>
      <c r="M222" s="11"/>
      <c r="N222" s="11"/>
    </row>
    <row r="223" ht="15.75" customHeight="1">
      <c r="A223" s="11" t="s">
        <v>242</v>
      </c>
      <c r="B223" s="11">
        <v>797.05</v>
      </c>
      <c r="C223" s="11">
        <v>0.0064</v>
      </c>
      <c r="D223" s="13">
        <v>0.0064</v>
      </c>
      <c r="E223" s="11" t="s">
        <v>242</v>
      </c>
      <c r="F223" s="12">
        <v>18398.85</v>
      </c>
      <c r="G223" s="11">
        <v>0.004589185</v>
      </c>
      <c r="H223" s="13">
        <v>0.0046</v>
      </c>
      <c r="J223" s="15"/>
      <c r="K223" s="11"/>
      <c r="L223" s="11"/>
      <c r="M223" s="11"/>
      <c r="N223" s="11"/>
    </row>
    <row r="224" ht="15.75" customHeight="1">
      <c r="A224" s="35">
        <v>45265.0</v>
      </c>
      <c r="B224" s="11">
        <v>791.95</v>
      </c>
      <c r="C224" s="11">
        <v>0.0042</v>
      </c>
      <c r="D224" s="13">
        <v>0.0042</v>
      </c>
      <c r="E224" s="35">
        <v>45265.0</v>
      </c>
      <c r="F224" s="12">
        <v>18314.8</v>
      </c>
      <c r="G224" s="11">
        <v>9.72837E-4</v>
      </c>
      <c r="H224" s="13">
        <v>0.001</v>
      </c>
      <c r="J224" s="15"/>
      <c r="K224" s="11"/>
      <c r="L224" s="11"/>
      <c r="M224" s="11"/>
      <c r="N224" s="11"/>
    </row>
    <row r="225" ht="15.75" customHeight="1">
      <c r="A225" s="35">
        <v>45235.0</v>
      </c>
      <c r="B225" s="11">
        <v>788.6</v>
      </c>
      <c r="C225" s="11">
        <v>-0.0094</v>
      </c>
      <c r="D225" s="13">
        <v>-0.0094</v>
      </c>
      <c r="E225" s="35">
        <v>45235.0</v>
      </c>
      <c r="F225" s="12">
        <v>18297.0</v>
      </c>
      <c r="G225" s="11">
        <v>-9.88256E-4</v>
      </c>
      <c r="H225" s="13">
        <v>-0.001</v>
      </c>
      <c r="J225" s="15"/>
      <c r="K225" s="11"/>
      <c r="L225" s="11"/>
      <c r="M225" s="11"/>
      <c r="N225" s="11"/>
    </row>
    <row r="226" ht="15.75" customHeight="1">
      <c r="A226" s="35">
        <v>45204.0</v>
      </c>
      <c r="B226" s="11">
        <v>796.05</v>
      </c>
      <c r="C226" s="11">
        <v>0.0031</v>
      </c>
      <c r="D226" s="13">
        <v>0.0031</v>
      </c>
      <c r="E226" s="35">
        <v>45204.0</v>
      </c>
      <c r="F226" s="12">
        <v>18315.1</v>
      </c>
      <c r="G226" s="11">
        <v>0.002690799</v>
      </c>
      <c r="H226" s="13">
        <v>0.0027</v>
      </c>
      <c r="J226" s="15"/>
      <c r="K226" s="11"/>
      <c r="L226" s="11"/>
      <c r="M226" s="11"/>
      <c r="N226" s="11"/>
    </row>
    <row r="227" ht="15.75" customHeight="1">
      <c r="A227" s="35">
        <v>45174.0</v>
      </c>
      <c r="B227" s="11">
        <v>793.6</v>
      </c>
      <c r="C227" s="11">
        <v>-2.0E-4</v>
      </c>
      <c r="D227" s="13">
        <v>-2.0E-4</v>
      </c>
      <c r="E227" s="35">
        <v>45174.0</v>
      </c>
      <c r="F227" s="12">
        <v>18265.95</v>
      </c>
      <c r="G227" s="45">
        <v>8.48645E-5</v>
      </c>
      <c r="H227" s="13">
        <v>1.0E-4</v>
      </c>
      <c r="J227" s="15"/>
      <c r="K227" s="11"/>
      <c r="L227" s="11"/>
      <c r="M227" s="11"/>
      <c r="N227" s="11"/>
    </row>
    <row r="228" ht="15.75" customHeight="1">
      <c r="A228" s="35">
        <v>45143.0</v>
      </c>
      <c r="B228" s="11">
        <v>793.75</v>
      </c>
      <c r="C228" s="11">
        <v>0.0082</v>
      </c>
      <c r="D228" s="13">
        <v>0.0082</v>
      </c>
      <c r="E228" s="35">
        <v>45143.0</v>
      </c>
      <c r="F228" s="12">
        <v>18264.4</v>
      </c>
      <c r="G228" s="11">
        <v>0.010814101</v>
      </c>
      <c r="H228" s="13">
        <v>0.0108</v>
      </c>
      <c r="J228" s="15"/>
      <c r="K228" s="11"/>
      <c r="L228" s="11"/>
      <c r="M228" s="11"/>
      <c r="N228" s="11"/>
    </row>
    <row r="229" ht="15.75" customHeight="1">
      <c r="A229" s="35">
        <v>45051.0</v>
      </c>
      <c r="B229" s="11">
        <v>787.3</v>
      </c>
      <c r="C229" s="11">
        <v>-0.0023</v>
      </c>
      <c r="D229" s="13">
        <v>-0.0023</v>
      </c>
      <c r="E229" s="35">
        <v>45051.0</v>
      </c>
      <c r="F229" s="12">
        <v>18069.0</v>
      </c>
      <c r="G229" s="11">
        <v>-0.010232365</v>
      </c>
      <c r="H229" s="13">
        <v>-0.0102</v>
      </c>
      <c r="J229" s="15"/>
      <c r="K229" s="11"/>
      <c r="L229" s="11"/>
      <c r="M229" s="11"/>
      <c r="N229" s="11"/>
    </row>
    <row r="230" ht="15.75" customHeight="1">
      <c r="A230" s="35">
        <v>45021.0</v>
      </c>
      <c r="B230" s="11">
        <v>789.1</v>
      </c>
      <c r="C230" s="11">
        <v>0.0126</v>
      </c>
      <c r="D230" s="13">
        <v>0.0126</v>
      </c>
      <c r="E230" s="35">
        <v>45021.0</v>
      </c>
      <c r="F230" s="12">
        <v>18255.8</v>
      </c>
      <c r="G230" s="11">
        <v>0.009173653</v>
      </c>
      <c r="H230" s="13">
        <v>0.0092</v>
      </c>
      <c r="J230" s="15"/>
      <c r="K230" s="11"/>
      <c r="L230" s="11"/>
      <c r="M230" s="11"/>
      <c r="N230" s="11"/>
    </row>
    <row r="231" ht="15.75" customHeight="1">
      <c r="A231" s="35">
        <v>44990.0</v>
      </c>
      <c r="B231" s="11">
        <v>779.3</v>
      </c>
      <c r="C231" s="11">
        <v>-0.0138</v>
      </c>
      <c r="D231" s="13">
        <v>-0.0138</v>
      </c>
      <c r="E231" s="35">
        <v>44990.0</v>
      </c>
      <c r="F231" s="12">
        <v>18089.85</v>
      </c>
      <c r="G231" s="11">
        <v>-0.003184985</v>
      </c>
      <c r="H231" s="13">
        <v>-0.0032</v>
      </c>
      <c r="J231" s="15"/>
      <c r="K231" s="11"/>
      <c r="L231" s="11"/>
      <c r="M231" s="11"/>
      <c r="N231" s="11"/>
    </row>
    <row r="232" ht="15.75" customHeight="1">
      <c r="A232" s="35">
        <v>44962.0</v>
      </c>
      <c r="B232" s="11">
        <v>790.2</v>
      </c>
      <c r="C232" s="11">
        <v>-0.0114</v>
      </c>
      <c r="D232" s="13">
        <v>-0.0114</v>
      </c>
      <c r="E232" s="35">
        <v>44962.0</v>
      </c>
      <c r="F232" s="12">
        <v>18147.65</v>
      </c>
      <c r="G232" s="11">
        <v>0.004575145</v>
      </c>
      <c r="H232" s="13">
        <v>0.0046</v>
      </c>
      <c r="J232" s="15"/>
      <c r="K232" s="11"/>
      <c r="L232" s="11"/>
      <c r="M232" s="11"/>
      <c r="N232" s="11"/>
    </row>
    <row r="233" ht="15.75" customHeight="1">
      <c r="A233" s="11" t="s">
        <v>243</v>
      </c>
      <c r="B233" s="11">
        <v>799.3</v>
      </c>
      <c r="C233" s="11">
        <v>0.0163</v>
      </c>
      <c r="D233" s="13">
        <v>0.0163</v>
      </c>
      <c r="E233" s="11" t="s">
        <v>243</v>
      </c>
      <c r="F233" s="12">
        <v>18065.0</v>
      </c>
      <c r="G233" s="11">
        <v>0.008370058</v>
      </c>
      <c r="H233" s="13">
        <v>0.0084</v>
      </c>
      <c r="J233" s="15"/>
      <c r="K233" s="11"/>
      <c r="L233" s="11"/>
      <c r="M233" s="11"/>
      <c r="N233" s="11"/>
    </row>
    <row r="234" ht="15.75" customHeight="1">
      <c r="A234" s="11" t="s">
        <v>244</v>
      </c>
      <c r="B234" s="11">
        <v>786.5</v>
      </c>
      <c r="C234" s="11">
        <v>0.0169</v>
      </c>
      <c r="D234" s="13">
        <v>0.0169</v>
      </c>
      <c r="E234" s="11" t="s">
        <v>244</v>
      </c>
      <c r="F234" s="12">
        <v>17915.05</v>
      </c>
      <c r="G234" s="11">
        <v>0.005695087</v>
      </c>
      <c r="H234" s="13">
        <v>0.0057</v>
      </c>
      <c r="J234" s="15"/>
      <c r="K234" s="11"/>
      <c r="L234" s="11"/>
      <c r="M234" s="11"/>
      <c r="N234" s="11"/>
    </row>
    <row r="235" ht="15.75" customHeight="1">
      <c r="A235" s="11" t="s">
        <v>245</v>
      </c>
      <c r="B235" s="11">
        <v>773.45</v>
      </c>
      <c r="C235" s="11">
        <v>0.0011</v>
      </c>
      <c r="D235" s="13">
        <v>0.0011</v>
      </c>
      <c r="E235" s="11" t="s">
        <v>245</v>
      </c>
      <c r="F235" s="12">
        <v>17813.6</v>
      </c>
      <c r="G235" s="11">
        <v>0.002495885</v>
      </c>
      <c r="H235" s="13">
        <v>0.0025</v>
      </c>
      <c r="J235" s="15"/>
      <c r="K235" s="11"/>
      <c r="L235" s="11"/>
      <c r="M235" s="11"/>
      <c r="N235" s="11"/>
    </row>
    <row r="236" ht="15.75" customHeight="1">
      <c r="A236" s="11" t="s">
        <v>246</v>
      </c>
      <c r="B236" s="11">
        <v>772.6</v>
      </c>
      <c r="C236" s="11">
        <v>0.0162</v>
      </c>
      <c r="D236" s="13">
        <v>0.0162</v>
      </c>
      <c r="E236" s="11" t="s">
        <v>246</v>
      </c>
      <c r="F236" s="12">
        <v>17769.25</v>
      </c>
      <c r="G236" s="11">
        <v>0.00145688</v>
      </c>
      <c r="H236" s="13">
        <v>0.0015</v>
      </c>
      <c r="J236" s="15"/>
      <c r="K236" s="11"/>
      <c r="L236" s="11"/>
      <c r="M236" s="11"/>
      <c r="N236" s="11"/>
    </row>
    <row r="237" ht="15.75" customHeight="1">
      <c r="A237" s="11" t="s">
        <v>247</v>
      </c>
      <c r="B237" s="11">
        <v>760.25</v>
      </c>
      <c r="C237" s="11">
        <v>-0.0065</v>
      </c>
      <c r="D237" s="13">
        <v>-0.0065</v>
      </c>
      <c r="E237" s="11" t="s">
        <v>247</v>
      </c>
      <c r="F237" s="12">
        <v>17743.4</v>
      </c>
      <c r="G237" s="11">
        <v>0.006771996</v>
      </c>
      <c r="H237" s="13">
        <v>0.0068</v>
      </c>
      <c r="J237" s="15"/>
      <c r="K237" s="11"/>
      <c r="L237" s="11"/>
      <c r="M237" s="11"/>
      <c r="N237" s="11"/>
    </row>
    <row r="238" ht="15.75" customHeight="1">
      <c r="A238" s="11" t="s">
        <v>248</v>
      </c>
      <c r="B238" s="11">
        <v>765.2</v>
      </c>
      <c r="C238" s="11">
        <v>-0.0092</v>
      </c>
      <c r="D238" s="13">
        <v>-0.0092</v>
      </c>
      <c r="E238" s="11" t="s">
        <v>248</v>
      </c>
      <c r="F238" s="12">
        <v>17624.05</v>
      </c>
      <c r="G238" s="45">
        <v>-2.26957E-5</v>
      </c>
      <c r="H238" s="13">
        <v>0.0</v>
      </c>
      <c r="J238" s="15"/>
      <c r="K238" s="11"/>
      <c r="L238" s="11"/>
      <c r="M238" s="11"/>
      <c r="N238" s="11"/>
    </row>
    <row r="239" ht="15.75" customHeight="1">
      <c r="A239" s="11" t="s">
        <v>249</v>
      </c>
      <c r="B239" s="11">
        <v>772.3</v>
      </c>
      <c r="C239" s="11">
        <v>0.01</v>
      </c>
      <c r="D239" s="13">
        <v>0.01</v>
      </c>
      <c r="E239" s="11" t="s">
        <v>249</v>
      </c>
      <c r="F239" s="12">
        <v>17624.45</v>
      </c>
      <c r="G239" s="11">
        <v>3.23519E-4</v>
      </c>
      <c r="H239" s="13">
        <v>3.0E-4</v>
      </c>
      <c r="J239" s="15"/>
      <c r="K239" s="11"/>
      <c r="L239" s="11"/>
      <c r="M239" s="11"/>
      <c r="N239" s="11"/>
    </row>
    <row r="240" ht="15.75" customHeight="1">
      <c r="A240" s="11" t="s">
        <v>250</v>
      </c>
      <c r="B240" s="11">
        <v>764.65</v>
      </c>
      <c r="C240" s="11">
        <v>0.0064</v>
      </c>
      <c r="D240" s="13">
        <v>0.0064</v>
      </c>
      <c r="E240" s="11" t="s">
        <v>250</v>
      </c>
      <c r="F240" s="12">
        <v>17618.75</v>
      </c>
      <c r="G240" s="11">
        <v>-0.002344261</v>
      </c>
      <c r="H240" s="13">
        <v>-0.0023</v>
      </c>
      <c r="J240" s="15"/>
      <c r="K240" s="11"/>
      <c r="L240" s="11"/>
      <c r="M240" s="11"/>
      <c r="N240" s="11"/>
    </row>
    <row r="241" ht="15.75" customHeight="1">
      <c r="A241" s="11" t="s">
        <v>251</v>
      </c>
      <c r="B241" s="11">
        <v>759.75</v>
      </c>
      <c r="C241" s="11">
        <v>1.0E-4</v>
      </c>
      <c r="D241" s="13">
        <v>1.0E-4</v>
      </c>
      <c r="E241" s="11" t="s">
        <v>251</v>
      </c>
      <c r="F241" s="12">
        <v>17660.15</v>
      </c>
      <c r="G241" s="11">
        <v>-0.002637397</v>
      </c>
      <c r="H241" s="13">
        <v>-0.0026</v>
      </c>
      <c r="J241" s="15"/>
      <c r="K241" s="11"/>
      <c r="L241" s="11"/>
      <c r="M241" s="11"/>
      <c r="N241" s="11"/>
    </row>
    <row r="242" ht="15.75" customHeight="1">
      <c r="A242" s="11" t="s">
        <v>252</v>
      </c>
      <c r="B242" s="11">
        <v>759.65</v>
      </c>
      <c r="C242" s="11">
        <v>-0.0096</v>
      </c>
      <c r="D242" s="13">
        <v>-0.0096</v>
      </c>
      <c r="E242" s="11" t="s">
        <v>252</v>
      </c>
      <c r="F242" s="12">
        <v>17706.85</v>
      </c>
      <c r="G242" s="11">
        <v>-0.00679549</v>
      </c>
      <c r="H242" s="13">
        <v>-0.0068</v>
      </c>
      <c r="J242" s="15"/>
      <c r="K242" s="11"/>
      <c r="L242" s="11"/>
      <c r="M242" s="11"/>
      <c r="N242" s="11"/>
    </row>
    <row r="243" ht="15.75" customHeight="1">
      <c r="A243" s="11" t="s">
        <v>253</v>
      </c>
      <c r="B243" s="11">
        <v>767.05</v>
      </c>
      <c r="C243" s="11">
        <v>-0.0053</v>
      </c>
      <c r="D243" s="13">
        <v>-0.0053</v>
      </c>
      <c r="E243" s="11" t="s">
        <v>253</v>
      </c>
      <c r="F243" s="12">
        <v>17828.0</v>
      </c>
      <c r="G243" s="11">
        <v>8.75794E-4</v>
      </c>
      <c r="H243" s="13">
        <v>9.0E-4</v>
      </c>
      <c r="J243" s="15"/>
      <c r="K243" s="11"/>
      <c r="L243" s="11"/>
      <c r="M243" s="11"/>
      <c r="N243" s="11"/>
    </row>
    <row r="244" ht="15.75" customHeight="1">
      <c r="A244" s="35">
        <v>45264.0</v>
      </c>
      <c r="B244" s="11">
        <v>771.1</v>
      </c>
      <c r="C244" s="11">
        <v>-0.0039</v>
      </c>
      <c r="D244" s="13">
        <v>-0.0039</v>
      </c>
      <c r="E244" s="35">
        <v>45264.0</v>
      </c>
      <c r="F244" s="12">
        <v>17812.4</v>
      </c>
      <c r="G244" s="11">
        <v>0.00508399</v>
      </c>
      <c r="H244" s="13">
        <v>0.0051</v>
      </c>
      <c r="J244" s="15"/>
      <c r="K244" s="11"/>
      <c r="L244" s="11"/>
      <c r="M244" s="11"/>
      <c r="N244" s="11"/>
    </row>
    <row r="245" ht="15.75" customHeight="1">
      <c r="A245" s="35">
        <v>45234.0</v>
      </c>
      <c r="B245" s="11">
        <v>774.15</v>
      </c>
      <c r="C245" s="11">
        <v>0.0057</v>
      </c>
      <c r="D245" s="13">
        <v>0.0057</v>
      </c>
      <c r="E245" s="35">
        <v>45234.0</v>
      </c>
      <c r="F245" s="12">
        <v>17722.3</v>
      </c>
      <c r="G245" s="11">
        <v>0.005574769</v>
      </c>
      <c r="H245" s="13">
        <v>0.0056</v>
      </c>
      <c r="J245" s="15"/>
      <c r="K245" s="11"/>
      <c r="L245" s="11"/>
      <c r="M245" s="11"/>
      <c r="N245" s="11"/>
    </row>
    <row r="246" ht="15.75" customHeight="1">
      <c r="A246" s="35">
        <v>45203.0</v>
      </c>
      <c r="B246" s="11">
        <v>769.75</v>
      </c>
      <c r="C246" s="11">
        <v>0.005</v>
      </c>
      <c r="D246" s="13">
        <v>0.005</v>
      </c>
      <c r="E246" s="35">
        <v>45203.0</v>
      </c>
      <c r="F246" s="12">
        <v>17624.05</v>
      </c>
      <c r="G246" s="11">
        <v>0.001414841</v>
      </c>
      <c r="H246" s="13">
        <v>0.0014</v>
      </c>
      <c r="J246" s="15"/>
      <c r="K246" s="11"/>
      <c r="L246" s="11"/>
      <c r="M246" s="11"/>
      <c r="N246" s="11"/>
    </row>
    <row r="247" ht="15.75" customHeight="1">
      <c r="A247" s="35">
        <v>45081.0</v>
      </c>
      <c r="B247" s="11">
        <v>765.95</v>
      </c>
      <c r="C247" s="11">
        <v>0.0033</v>
      </c>
      <c r="D247" s="13">
        <v>0.0033</v>
      </c>
      <c r="E247" s="35">
        <v>45081.0</v>
      </c>
      <c r="F247" s="12">
        <v>17599.15</v>
      </c>
      <c r="G247" s="11">
        <v>0.002397897</v>
      </c>
      <c r="H247" s="13">
        <v>0.0024</v>
      </c>
      <c r="J247" s="15"/>
      <c r="K247" s="11"/>
      <c r="L247" s="11"/>
      <c r="M247" s="11"/>
      <c r="N247" s="11"/>
    </row>
    <row r="248" ht="15.75" customHeight="1">
      <c r="A248" s="35">
        <v>45050.0</v>
      </c>
      <c r="B248" s="11">
        <v>763.45</v>
      </c>
      <c r="C248" s="11">
        <v>0.0038</v>
      </c>
      <c r="D248" s="13">
        <v>0.0038</v>
      </c>
      <c r="E248" s="35">
        <v>45050.0</v>
      </c>
      <c r="F248" s="12">
        <v>17557.05</v>
      </c>
      <c r="G248" s="11">
        <v>0.009138955</v>
      </c>
      <c r="H248" s="13">
        <v>0.0091</v>
      </c>
      <c r="J248" s="15"/>
      <c r="K248" s="11"/>
      <c r="L248" s="11"/>
      <c r="M248" s="11"/>
      <c r="N248" s="11"/>
    </row>
    <row r="249" ht="15.75" customHeight="1">
      <c r="A249" s="35">
        <v>44989.0</v>
      </c>
      <c r="B249" s="11">
        <v>760.55</v>
      </c>
      <c r="C249" s="11">
        <v>0.0154</v>
      </c>
      <c r="D249" s="13">
        <v>0.0154</v>
      </c>
      <c r="E249" s="35">
        <v>44989.0</v>
      </c>
      <c r="F249" s="12">
        <v>17398.05</v>
      </c>
      <c r="G249" s="11">
        <v>0.002206253</v>
      </c>
      <c r="H249" s="13">
        <v>0.0022</v>
      </c>
      <c r="J249" s="15"/>
      <c r="K249" s="11"/>
      <c r="L249" s="11"/>
      <c r="M249" s="11"/>
      <c r="N249" s="11"/>
    </row>
    <row r="250" ht="15.75" customHeight="1">
      <c r="A250" s="11" t="s">
        <v>254</v>
      </c>
      <c r="B250" s="11">
        <v>749.0</v>
      </c>
      <c r="C250" s="11">
        <v>0.0073</v>
      </c>
      <c r="D250" s="13">
        <v>0.0073</v>
      </c>
      <c r="E250" s="11" t="s">
        <v>254</v>
      </c>
      <c r="F250" s="12">
        <v>17359.75</v>
      </c>
      <c r="G250" s="11">
        <v>0.016337152</v>
      </c>
      <c r="H250" s="13">
        <v>0.0163</v>
      </c>
      <c r="J250" s="15"/>
      <c r="K250" s="11"/>
      <c r="L250" s="11"/>
      <c r="M250" s="11"/>
      <c r="N250" s="11"/>
    </row>
    <row r="251" ht="15.75" customHeight="1">
      <c r="A251" s="11" t="s">
        <v>255</v>
      </c>
      <c r="B251" s="11">
        <v>743.6</v>
      </c>
      <c r="C251" s="11">
        <v>-0.0065</v>
      </c>
      <c r="D251" s="13">
        <v>-0.0065</v>
      </c>
      <c r="E251" s="11" t="s">
        <v>255</v>
      </c>
      <c r="F251" s="12">
        <v>17080.7</v>
      </c>
      <c r="G251" s="11">
        <v>0.007609856</v>
      </c>
      <c r="H251" s="13">
        <v>0.0076</v>
      </c>
      <c r="J251" s="15"/>
      <c r="K251" s="11"/>
      <c r="L251" s="11"/>
      <c r="M251" s="11"/>
      <c r="N251" s="11"/>
    </row>
    <row r="252" ht="15.75" customHeight="1">
      <c r="A252" s="11" t="s">
        <v>256</v>
      </c>
      <c r="B252" s="11">
        <v>748.45</v>
      </c>
      <c r="C252" s="11">
        <v>-0.0175</v>
      </c>
      <c r="D252" s="13">
        <v>-0.0175</v>
      </c>
      <c r="E252" s="11" t="s">
        <v>256</v>
      </c>
      <c r="F252" s="12">
        <v>16951.7</v>
      </c>
      <c r="G252" s="11">
        <v>-0.002001684</v>
      </c>
      <c r="H252" s="13">
        <v>-0.002</v>
      </c>
      <c r="J252" s="15"/>
      <c r="K252" s="11"/>
      <c r="L252" s="11"/>
      <c r="M252" s="11"/>
      <c r="N252" s="11"/>
    </row>
    <row r="253" ht="15.75" customHeight="1">
      <c r="A253" s="11" t="s">
        <v>257</v>
      </c>
      <c r="B253" s="11">
        <v>761.75</v>
      </c>
      <c r="C253" s="11">
        <v>-9.0E-4</v>
      </c>
      <c r="D253" s="13">
        <v>-9.0E-4</v>
      </c>
      <c r="E253" s="11" t="s">
        <v>257</v>
      </c>
      <c r="F253" s="12">
        <v>16985.7</v>
      </c>
      <c r="G253" s="11">
        <v>0.002398931</v>
      </c>
      <c r="H253" s="13">
        <v>0.0024</v>
      </c>
      <c r="J253" s="15"/>
      <c r="K253" s="11"/>
      <c r="L253" s="11"/>
      <c r="M253" s="11"/>
      <c r="N253" s="11"/>
    </row>
    <row r="254" ht="15.75" customHeight="1">
      <c r="A254" s="11" t="s">
        <v>258</v>
      </c>
      <c r="B254" s="11">
        <v>762.45</v>
      </c>
      <c r="C254" s="11">
        <v>-0.0014</v>
      </c>
      <c r="D254" s="13">
        <v>-0.0014</v>
      </c>
      <c r="E254" s="11" t="s">
        <v>258</v>
      </c>
      <c r="F254" s="12">
        <v>16945.05</v>
      </c>
      <c r="G254" s="11">
        <v>-0.007720956</v>
      </c>
      <c r="H254" s="13">
        <v>-0.0077</v>
      </c>
      <c r="J254" s="15"/>
      <c r="K254" s="11"/>
      <c r="L254" s="11"/>
      <c r="M254" s="11"/>
      <c r="N254" s="11"/>
    </row>
    <row r="255" ht="15.75" customHeight="1">
      <c r="A255" s="11" t="s">
        <v>259</v>
      </c>
      <c r="B255" s="11">
        <v>763.55</v>
      </c>
      <c r="C255" s="11">
        <v>0.0091</v>
      </c>
      <c r="D255" s="13">
        <v>0.0091</v>
      </c>
      <c r="E255" s="11" t="s">
        <v>259</v>
      </c>
      <c r="F255" s="12">
        <v>17076.9</v>
      </c>
      <c r="G255" s="11">
        <v>-0.004372693</v>
      </c>
      <c r="H255" s="13">
        <v>-0.0044</v>
      </c>
      <c r="J255" s="15"/>
      <c r="K255" s="11"/>
      <c r="L255" s="11"/>
      <c r="M255" s="11"/>
      <c r="N255" s="11"/>
    </row>
    <row r="256" ht="15.75" customHeight="1">
      <c r="A256" s="11" t="s">
        <v>260</v>
      </c>
      <c r="B256" s="11">
        <v>756.7</v>
      </c>
      <c r="C256" s="11">
        <v>-3.0E-4</v>
      </c>
      <c r="D256" s="13">
        <v>-3.0E-4</v>
      </c>
      <c r="E256" s="11" t="s">
        <v>260</v>
      </c>
      <c r="F256" s="12">
        <v>17151.9</v>
      </c>
      <c r="G256" s="11">
        <v>0.002595353</v>
      </c>
      <c r="H256" s="13">
        <v>0.0026</v>
      </c>
      <c r="J256" s="15"/>
      <c r="K256" s="11"/>
      <c r="L256" s="11"/>
      <c r="M256" s="11"/>
      <c r="N256" s="11"/>
    </row>
    <row r="257" ht="15.75" customHeight="1">
      <c r="A257" s="11" t="s">
        <v>261</v>
      </c>
      <c r="B257" s="11">
        <v>756.95</v>
      </c>
      <c r="C257" s="11">
        <v>0.0028</v>
      </c>
      <c r="D257" s="13">
        <v>0.0028</v>
      </c>
      <c r="E257" s="11" t="s">
        <v>261</v>
      </c>
      <c r="F257" s="12">
        <v>17107.5</v>
      </c>
      <c r="G257" s="11">
        <v>0.007010666</v>
      </c>
      <c r="H257" s="13">
        <v>0.007</v>
      </c>
      <c r="J257" s="15"/>
      <c r="K257" s="11"/>
      <c r="L257" s="11"/>
      <c r="M257" s="11"/>
      <c r="N257" s="11"/>
    </row>
    <row r="258" ht="15.75" customHeight="1">
      <c r="A258" s="11" t="s">
        <v>262</v>
      </c>
      <c r="B258" s="11">
        <v>754.8</v>
      </c>
      <c r="C258" s="11">
        <v>-0.0032</v>
      </c>
      <c r="D258" s="13">
        <v>-0.0032</v>
      </c>
      <c r="E258" s="11" t="s">
        <v>262</v>
      </c>
      <c r="F258" s="12">
        <v>16988.4</v>
      </c>
      <c r="G258" s="11">
        <v>-0.006529221</v>
      </c>
      <c r="H258" s="13">
        <v>-0.0065</v>
      </c>
      <c r="J258" s="15"/>
      <c r="K258" s="11"/>
      <c r="L258" s="11"/>
      <c r="M258" s="11"/>
      <c r="N258" s="11"/>
    </row>
    <row r="259" ht="15.75" customHeight="1">
      <c r="A259" s="11" t="s">
        <v>263</v>
      </c>
      <c r="B259" s="11">
        <v>757.25</v>
      </c>
      <c r="C259" s="11">
        <v>0.0151</v>
      </c>
      <c r="D259" s="13">
        <v>0.0151</v>
      </c>
      <c r="E259" s="11" t="s">
        <v>263</v>
      </c>
      <c r="F259" s="12">
        <v>17100.05</v>
      </c>
      <c r="G259" s="11">
        <v>0.00673806</v>
      </c>
      <c r="H259" s="13">
        <v>0.0067</v>
      </c>
      <c r="J259" s="15"/>
      <c r="K259" s="11"/>
      <c r="L259" s="11"/>
      <c r="M259" s="11"/>
      <c r="N259" s="11"/>
    </row>
    <row r="260" ht="15.75" customHeight="1">
      <c r="A260" s="11" t="s">
        <v>264</v>
      </c>
      <c r="B260" s="11">
        <v>745.95</v>
      </c>
      <c r="C260" s="11">
        <v>-0.0141</v>
      </c>
      <c r="D260" s="13">
        <v>-0.0141</v>
      </c>
      <c r="E260" s="11" t="s">
        <v>264</v>
      </c>
      <c r="F260" s="12">
        <v>16985.6</v>
      </c>
      <c r="G260" s="11">
        <v>7.92475E-4</v>
      </c>
      <c r="H260" s="13">
        <v>8.0E-4</v>
      </c>
      <c r="J260" s="15"/>
      <c r="K260" s="11"/>
      <c r="L260" s="11"/>
      <c r="M260" s="11"/>
      <c r="N260" s="11"/>
    </row>
    <row r="261" ht="15.75" customHeight="1">
      <c r="A261" s="11" t="s">
        <v>265</v>
      </c>
      <c r="B261" s="11">
        <v>756.65</v>
      </c>
      <c r="C261" s="11">
        <v>-0.0196</v>
      </c>
      <c r="D261" s="13">
        <v>-0.0196</v>
      </c>
      <c r="E261" s="11" t="s">
        <v>265</v>
      </c>
      <c r="F261" s="12">
        <v>16972.15</v>
      </c>
      <c r="G261" s="11">
        <v>-0.004174661</v>
      </c>
      <c r="H261" s="13">
        <v>-0.0042</v>
      </c>
      <c r="J261" s="15"/>
      <c r="K261" s="11"/>
      <c r="L261" s="11"/>
      <c r="M261" s="11"/>
      <c r="N261" s="11"/>
    </row>
    <row r="262" ht="15.75" customHeight="1">
      <c r="A262" s="11" t="s">
        <v>266</v>
      </c>
      <c r="B262" s="11">
        <v>771.8</v>
      </c>
      <c r="C262" s="11">
        <v>0.0085</v>
      </c>
      <c r="D262" s="13">
        <v>0.0085</v>
      </c>
      <c r="E262" s="11" t="s">
        <v>266</v>
      </c>
      <c r="F262" s="12">
        <v>17043.3</v>
      </c>
      <c r="G262" s="11">
        <v>-0.006470681</v>
      </c>
      <c r="H262" s="13">
        <v>-0.0065</v>
      </c>
      <c r="J262" s="15"/>
      <c r="K262" s="11"/>
      <c r="L262" s="11"/>
      <c r="M262" s="11"/>
      <c r="N262" s="11"/>
    </row>
    <row r="263" ht="15.75" customHeight="1">
      <c r="A263" s="11" t="s">
        <v>267</v>
      </c>
      <c r="B263" s="11">
        <v>765.3</v>
      </c>
      <c r="C263" s="11">
        <v>-0.0109</v>
      </c>
      <c r="D263" s="13">
        <v>-0.0109</v>
      </c>
      <c r="E263" s="11" t="s">
        <v>267</v>
      </c>
      <c r="F263" s="12">
        <v>17154.3</v>
      </c>
      <c r="G263" s="11">
        <v>-0.014851059</v>
      </c>
      <c r="H263" s="13">
        <v>-0.0149</v>
      </c>
      <c r="J263" s="15"/>
      <c r="K263" s="11"/>
      <c r="L263" s="11"/>
      <c r="M263" s="11"/>
      <c r="N263" s="11"/>
    </row>
    <row r="264" ht="15.75" customHeight="1">
      <c r="A264" s="35">
        <v>45202.0</v>
      </c>
      <c r="B264" s="11">
        <v>773.75</v>
      </c>
      <c r="C264" s="11">
        <v>5.0E-4</v>
      </c>
      <c r="D264" s="13">
        <v>5.0E-4</v>
      </c>
      <c r="E264" s="35">
        <v>45202.0</v>
      </c>
      <c r="F264" s="12">
        <v>17412.9</v>
      </c>
      <c r="G264" s="11">
        <v>-0.010045709</v>
      </c>
      <c r="H264" s="13">
        <v>-0.01</v>
      </c>
      <c r="J264" s="15"/>
      <c r="K264" s="11"/>
      <c r="L264" s="11"/>
      <c r="M264" s="11"/>
      <c r="N264" s="11"/>
    </row>
    <row r="265" ht="15.75" customHeight="1">
      <c r="A265" s="35">
        <v>45172.0</v>
      </c>
      <c r="B265" s="11">
        <v>773.4</v>
      </c>
      <c r="C265" s="11">
        <v>0.0089</v>
      </c>
      <c r="D265" s="13">
        <v>0.0089</v>
      </c>
      <c r="E265" s="35">
        <v>45172.0</v>
      </c>
      <c r="F265" s="12">
        <v>17589.6</v>
      </c>
      <c r="G265" s="11">
        <v>-0.009282206</v>
      </c>
      <c r="H265" s="13">
        <v>-0.0093</v>
      </c>
      <c r="J265" s="15"/>
      <c r="K265" s="11"/>
      <c r="L265" s="11"/>
      <c r="M265" s="11"/>
      <c r="N265" s="11"/>
    </row>
    <row r="266" ht="15.75" customHeight="1">
      <c r="A266" s="35">
        <v>45141.0</v>
      </c>
      <c r="B266" s="11">
        <v>766.55</v>
      </c>
      <c r="C266" s="11">
        <v>-1.0E-4</v>
      </c>
      <c r="D266" s="13">
        <v>-1.0E-4</v>
      </c>
      <c r="E266" s="35">
        <v>45141.0</v>
      </c>
      <c r="F266" s="12">
        <v>17754.4</v>
      </c>
      <c r="G266" s="11">
        <v>0.002424985</v>
      </c>
      <c r="H266" s="13">
        <v>0.0024</v>
      </c>
      <c r="J266" s="15"/>
      <c r="K266" s="11"/>
      <c r="L266" s="11"/>
      <c r="M266" s="11"/>
      <c r="N266" s="11"/>
    </row>
    <row r="267" ht="15.75" customHeight="1">
      <c r="A267" s="35">
        <v>45080.0</v>
      </c>
      <c r="B267" s="11">
        <v>766.6</v>
      </c>
      <c r="C267" s="11">
        <v>0.0029</v>
      </c>
      <c r="D267" s="13">
        <v>0.0029</v>
      </c>
      <c r="E267" s="35">
        <v>45080.0</v>
      </c>
      <c r="F267" s="12">
        <v>17711.45</v>
      </c>
      <c r="G267" s="11">
        <v>0.006655546</v>
      </c>
      <c r="H267" s="13">
        <v>0.0067</v>
      </c>
      <c r="J267" s="15"/>
      <c r="K267" s="11"/>
      <c r="L267" s="11"/>
      <c r="M267" s="11"/>
      <c r="N267" s="11"/>
    </row>
    <row r="268" ht="15.75" customHeight="1">
      <c r="A268" s="35">
        <v>44988.0</v>
      </c>
      <c r="B268" s="11">
        <v>764.4</v>
      </c>
      <c r="C268" s="11">
        <v>0.0328</v>
      </c>
      <c r="D268" s="13">
        <v>0.0328</v>
      </c>
      <c r="E268" s="35">
        <v>44988.0</v>
      </c>
      <c r="F268" s="12">
        <v>17594.35</v>
      </c>
      <c r="G268" s="11">
        <v>0.015728644</v>
      </c>
      <c r="H268" s="13">
        <v>0.0157</v>
      </c>
      <c r="J268" s="15"/>
      <c r="K268" s="11"/>
      <c r="L268" s="11"/>
      <c r="M268" s="11"/>
      <c r="N268" s="11"/>
    </row>
    <row r="269" ht="15.75" customHeight="1">
      <c r="A269" s="35">
        <v>44960.0</v>
      </c>
      <c r="B269" s="11">
        <v>740.1</v>
      </c>
      <c r="C269" s="11">
        <v>-0.0135</v>
      </c>
      <c r="D269" s="13">
        <v>-0.0135</v>
      </c>
      <c r="E269" s="35">
        <v>44960.0</v>
      </c>
      <c r="F269" s="12">
        <v>17321.9</v>
      </c>
      <c r="G269" s="11">
        <v>-0.007392169</v>
      </c>
      <c r="H269" s="13">
        <v>-0.0074</v>
      </c>
      <c r="J269" s="15"/>
      <c r="K269" s="11"/>
      <c r="L269" s="11"/>
      <c r="M269" s="11"/>
      <c r="N269" s="11"/>
    </row>
    <row r="270" ht="15.75" customHeight="1">
      <c r="A270" s="35">
        <v>44929.0</v>
      </c>
      <c r="B270" s="11">
        <v>750.2</v>
      </c>
      <c r="C270" s="11">
        <v>0.0107</v>
      </c>
      <c r="D270" s="13">
        <v>0.0107</v>
      </c>
      <c r="E270" s="35">
        <v>44929.0</v>
      </c>
      <c r="F270" s="12">
        <v>17450.9</v>
      </c>
      <c r="G270" s="11">
        <v>0.008492281</v>
      </c>
      <c r="H270" s="13">
        <v>0.0085</v>
      </c>
      <c r="J270" s="15"/>
      <c r="K270" s="11"/>
      <c r="L270" s="11"/>
      <c r="M270" s="11"/>
      <c r="N270" s="11"/>
    </row>
    <row r="271" ht="15.75" customHeight="1">
      <c r="A271" s="11" t="s">
        <v>268</v>
      </c>
      <c r="B271" s="11">
        <v>742.25</v>
      </c>
      <c r="C271" s="11">
        <v>-0.0141</v>
      </c>
      <c r="D271" s="13">
        <v>-0.0141</v>
      </c>
      <c r="E271" s="11" t="s">
        <v>268</v>
      </c>
      <c r="F271" s="12">
        <v>17303.95</v>
      </c>
      <c r="G271" s="11">
        <v>-0.005102716</v>
      </c>
      <c r="H271" s="13">
        <v>-0.0051</v>
      </c>
      <c r="J271" s="15"/>
      <c r="K271" s="11"/>
      <c r="L271" s="11"/>
      <c r="M271" s="11"/>
      <c r="N271" s="11"/>
    </row>
    <row r="272" ht="15.75" customHeight="1">
      <c r="A272" s="11" t="s">
        <v>269</v>
      </c>
      <c r="B272" s="11">
        <v>752.9</v>
      </c>
      <c r="C272" s="11">
        <v>-0.0055</v>
      </c>
      <c r="D272" s="13">
        <v>-0.0055</v>
      </c>
      <c r="E272" s="11" t="s">
        <v>269</v>
      </c>
      <c r="F272" s="12">
        <v>17392.7</v>
      </c>
      <c r="G272" s="11">
        <v>-0.004185322</v>
      </c>
      <c r="H272" s="13">
        <v>-0.0042</v>
      </c>
      <c r="J272" s="15"/>
      <c r="K272" s="11"/>
      <c r="L272" s="11"/>
      <c r="M272" s="11"/>
      <c r="N272" s="11"/>
    </row>
    <row r="273" ht="15.75" customHeight="1">
      <c r="A273" s="11" t="s">
        <v>270</v>
      </c>
      <c r="B273" s="11">
        <v>757.1</v>
      </c>
      <c r="C273" s="11">
        <v>-0.0077</v>
      </c>
      <c r="D273" s="13">
        <v>-0.0077</v>
      </c>
      <c r="E273" s="11" t="s">
        <v>270</v>
      </c>
      <c r="F273" s="12">
        <v>17465.8</v>
      </c>
      <c r="G273" s="11">
        <v>-0.002595474</v>
      </c>
      <c r="H273" s="13">
        <v>-0.0026</v>
      </c>
      <c r="J273" s="15"/>
      <c r="K273" s="11"/>
      <c r="L273" s="11"/>
      <c r="M273" s="11"/>
      <c r="N273" s="11"/>
    </row>
    <row r="274" ht="15.75" customHeight="1">
      <c r="A274" s="11" t="s">
        <v>271</v>
      </c>
      <c r="B274" s="11">
        <v>762.95</v>
      </c>
      <c r="C274" s="11">
        <v>-0.0119</v>
      </c>
      <c r="D274" s="13">
        <v>-0.0119</v>
      </c>
      <c r="E274" s="11" t="s">
        <v>271</v>
      </c>
      <c r="F274" s="12">
        <v>17511.25</v>
      </c>
      <c r="G274" s="11">
        <v>-0.002452391</v>
      </c>
      <c r="H274" s="13">
        <v>-0.0025</v>
      </c>
      <c r="J274" s="15"/>
      <c r="K274" s="11"/>
      <c r="L274" s="11"/>
      <c r="M274" s="11"/>
      <c r="N274" s="11"/>
    </row>
    <row r="275" ht="15.75" customHeight="1">
      <c r="A275" s="11" t="s">
        <v>272</v>
      </c>
      <c r="B275" s="11">
        <v>772.15</v>
      </c>
      <c r="C275" s="11">
        <v>-0.0089</v>
      </c>
      <c r="D275" s="13">
        <v>-0.0089</v>
      </c>
      <c r="E275" s="11" t="s">
        <v>272</v>
      </c>
      <c r="F275" s="12">
        <v>17554.3</v>
      </c>
      <c r="G275" s="11">
        <v>-0.01528045</v>
      </c>
      <c r="H275" s="13">
        <v>-0.0153</v>
      </c>
      <c r="J275" s="15"/>
      <c r="K275" s="11"/>
      <c r="L275" s="11"/>
      <c r="M275" s="11"/>
      <c r="N275" s="11"/>
    </row>
    <row r="276" ht="15.75" customHeight="1">
      <c r="A276" s="11" t="s">
        <v>273</v>
      </c>
      <c r="B276" s="11">
        <v>779.05</v>
      </c>
      <c r="C276" s="11">
        <v>-1.0E-4</v>
      </c>
      <c r="D276" s="13">
        <v>-1.0E-4</v>
      </c>
      <c r="E276" s="11" t="s">
        <v>273</v>
      </c>
      <c r="F276" s="12">
        <v>17826.7</v>
      </c>
      <c r="G276" s="11">
        <v>-0.001003105</v>
      </c>
      <c r="H276" s="13">
        <v>-0.001</v>
      </c>
      <c r="J276" s="15"/>
      <c r="K276" s="11"/>
      <c r="L276" s="11"/>
      <c r="M276" s="11"/>
      <c r="N276" s="11"/>
    </row>
    <row r="277" ht="15.75" customHeight="1">
      <c r="A277" s="11" t="s">
        <v>274</v>
      </c>
      <c r="B277" s="11">
        <v>779.15</v>
      </c>
      <c r="C277" s="11">
        <v>0.003</v>
      </c>
      <c r="D277" s="13">
        <v>0.003</v>
      </c>
      <c r="E277" s="11" t="s">
        <v>274</v>
      </c>
      <c r="F277" s="12">
        <v>17844.6</v>
      </c>
      <c r="G277" s="11">
        <v>-0.00555054</v>
      </c>
      <c r="H277" s="13">
        <v>-0.0056</v>
      </c>
      <c r="J277" s="15"/>
      <c r="K277" s="11"/>
      <c r="L277" s="11"/>
      <c r="M277" s="11"/>
      <c r="N277" s="11"/>
    </row>
    <row r="278" ht="15.75" customHeight="1">
      <c r="A278" s="11" t="s">
        <v>275</v>
      </c>
      <c r="B278" s="11">
        <v>776.8</v>
      </c>
      <c r="C278" s="11">
        <v>-0.0098</v>
      </c>
      <c r="D278" s="13">
        <v>-0.0098</v>
      </c>
      <c r="E278" s="11" t="s">
        <v>275</v>
      </c>
      <c r="F278" s="12">
        <v>17944.2</v>
      </c>
      <c r="G278" s="11">
        <v>-0.005081546</v>
      </c>
      <c r="H278" s="13">
        <v>-0.0051</v>
      </c>
      <c r="J278" s="15"/>
      <c r="K278" s="11"/>
      <c r="L278" s="11"/>
      <c r="M278" s="11"/>
      <c r="N278" s="11"/>
    </row>
    <row r="279" ht="15.75" customHeight="1">
      <c r="A279" s="11" t="s">
        <v>276</v>
      </c>
      <c r="B279" s="11">
        <v>784.45</v>
      </c>
      <c r="C279" s="11">
        <v>-0.0012</v>
      </c>
      <c r="D279" s="13">
        <v>-0.0012</v>
      </c>
      <c r="E279" s="11" t="s">
        <v>276</v>
      </c>
      <c r="F279" s="12">
        <v>18035.85</v>
      </c>
      <c r="G279" s="11">
        <v>0.001110134</v>
      </c>
      <c r="H279" s="13">
        <v>0.0011</v>
      </c>
      <c r="J279" s="15"/>
      <c r="K279" s="11"/>
      <c r="L279" s="11"/>
      <c r="M279" s="11"/>
      <c r="N279" s="11"/>
    </row>
    <row r="280" ht="15.75" customHeight="1">
      <c r="A280" s="11" t="s">
        <v>277</v>
      </c>
      <c r="B280" s="11">
        <v>785.4</v>
      </c>
      <c r="C280" s="11">
        <v>0.0132</v>
      </c>
      <c r="D280" s="13">
        <v>0.0132</v>
      </c>
      <c r="E280" s="11" t="s">
        <v>277</v>
      </c>
      <c r="F280" s="12">
        <v>18015.85</v>
      </c>
      <c r="G280" s="11">
        <v>0.004796471</v>
      </c>
      <c r="H280" s="13">
        <v>0.0048</v>
      </c>
      <c r="J280" s="15"/>
      <c r="K280" s="11"/>
      <c r="L280" s="11"/>
      <c r="M280" s="11"/>
      <c r="N280" s="11"/>
    </row>
    <row r="281" ht="15.75" customHeight="1">
      <c r="A281" s="11" t="s">
        <v>278</v>
      </c>
      <c r="B281" s="11">
        <v>775.2</v>
      </c>
      <c r="C281" s="11">
        <v>0.0086</v>
      </c>
      <c r="D281" s="13">
        <v>0.0086</v>
      </c>
      <c r="E281" s="11" t="s">
        <v>278</v>
      </c>
      <c r="F281" s="12">
        <v>17929.85</v>
      </c>
      <c r="G281" s="11">
        <v>0.008944398</v>
      </c>
      <c r="H281" s="13">
        <v>0.0089</v>
      </c>
      <c r="J281" s="15"/>
      <c r="K281" s="11"/>
      <c r="L281" s="11"/>
      <c r="M281" s="11"/>
      <c r="N281" s="11"/>
    </row>
    <row r="282" ht="15.75" customHeight="1">
      <c r="A282" s="11" t="s">
        <v>279</v>
      </c>
      <c r="B282" s="11">
        <v>768.6</v>
      </c>
      <c r="C282" s="11">
        <v>-0.0043</v>
      </c>
      <c r="D282" s="13">
        <v>-0.0043</v>
      </c>
      <c r="E282" s="11" t="s">
        <v>279</v>
      </c>
      <c r="F282" s="12">
        <v>17770.9</v>
      </c>
      <c r="G282" s="11">
        <v>-0.004793773</v>
      </c>
      <c r="H282" s="13">
        <v>-0.0048</v>
      </c>
      <c r="J282" s="15"/>
      <c r="K282" s="11"/>
      <c r="L282" s="11"/>
      <c r="M282" s="11"/>
      <c r="N282" s="11"/>
    </row>
    <row r="283" ht="15.75" customHeight="1">
      <c r="A283" s="35">
        <v>45201.0</v>
      </c>
      <c r="B283" s="11">
        <v>771.95</v>
      </c>
      <c r="C283" s="11">
        <v>0.0069</v>
      </c>
      <c r="D283" s="13">
        <v>0.0069</v>
      </c>
      <c r="E283" s="35">
        <v>45201.0</v>
      </c>
      <c r="F283" s="12">
        <v>17856.5</v>
      </c>
      <c r="G283" s="11">
        <v>-0.002065001</v>
      </c>
      <c r="H283" s="13">
        <v>-0.0021</v>
      </c>
      <c r="J283" s="15"/>
      <c r="K283" s="11"/>
      <c r="L283" s="11"/>
      <c r="M283" s="11"/>
      <c r="N283" s="11"/>
    </row>
    <row r="284" ht="15.75" customHeight="1">
      <c r="A284" s="35">
        <v>45171.0</v>
      </c>
      <c r="B284" s="11">
        <v>766.65</v>
      </c>
      <c r="C284" s="11">
        <v>-0.0109</v>
      </c>
      <c r="D284" s="13">
        <v>-0.0109</v>
      </c>
      <c r="E284" s="35">
        <v>45171.0</v>
      </c>
      <c r="F284" s="12">
        <v>17893.45</v>
      </c>
      <c r="G284" s="11">
        <v>0.001217008</v>
      </c>
      <c r="H284" s="13">
        <v>0.0012</v>
      </c>
      <c r="J284" s="15"/>
      <c r="K284" s="11"/>
      <c r="L284" s="11"/>
      <c r="M284" s="11"/>
      <c r="N284" s="11"/>
    </row>
    <row r="285" ht="15.75" customHeight="1">
      <c r="A285" s="35">
        <v>45140.0</v>
      </c>
      <c r="B285" s="11">
        <v>775.1</v>
      </c>
      <c r="C285" s="11">
        <v>-0.0137</v>
      </c>
      <c r="D285" s="13">
        <v>-0.0137</v>
      </c>
      <c r="E285" s="35">
        <v>45140.0</v>
      </c>
      <c r="F285" s="12">
        <v>17871.7</v>
      </c>
      <c r="G285" s="11">
        <v>0.008475581</v>
      </c>
      <c r="H285" s="13">
        <v>0.0085</v>
      </c>
      <c r="J285" s="15"/>
      <c r="K285" s="11"/>
      <c r="L285" s="11"/>
      <c r="M285" s="11"/>
      <c r="N285" s="11"/>
    </row>
    <row r="286" ht="15.75" customHeight="1">
      <c r="A286" s="35">
        <v>45109.0</v>
      </c>
      <c r="B286" s="11">
        <v>785.9</v>
      </c>
      <c r="C286" s="11">
        <v>-0.0042</v>
      </c>
      <c r="D286" s="13">
        <v>-0.0042</v>
      </c>
      <c r="E286" s="35">
        <v>45109.0</v>
      </c>
      <c r="F286" s="12">
        <v>17721.5</v>
      </c>
      <c r="G286" s="11">
        <v>-0.002426173</v>
      </c>
      <c r="H286" s="13">
        <v>-0.0024</v>
      </c>
      <c r="J286" s="15"/>
      <c r="K286" s="11"/>
      <c r="L286" s="11"/>
      <c r="M286" s="11"/>
      <c r="N286" s="11"/>
    </row>
    <row r="287" ht="15.75" customHeight="1">
      <c r="A287" s="35">
        <v>45079.0</v>
      </c>
      <c r="B287" s="11">
        <v>789.25</v>
      </c>
      <c r="C287" s="11">
        <v>-0.0046</v>
      </c>
      <c r="D287" s="13">
        <v>-0.0046</v>
      </c>
      <c r="E287" s="35">
        <v>45079.0</v>
      </c>
      <c r="F287" s="12">
        <v>17764.6</v>
      </c>
      <c r="G287" s="11">
        <v>-0.005010068</v>
      </c>
      <c r="H287" s="13">
        <v>-0.005</v>
      </c>
      <c r="J287" s="15"/>
      <c r="K287" s="11"/>
      <c r="L287" s="11"/>
      <c r="M287" s="11"/>
      <c r="N287" s="11"/>
    </row>
    <row r="288" ht="15.75" customHeight="1">
      <c r="A288" s="35">
        <v>44987.0</v>
      </c>
      <c r="B288" s="11">
        <v>792.9</v>
      </c>
      <c r="C288" s="11">
        <v>0.0195</v>
      </c>
      <c r="D288" s="13">
        <v>0.0195</v>
      </c>
      <c r="E288" s="35">
        <v>44987.0</v>
      </c>
      <c r="F288" s="12">
        <v>17854.05</v>
      </c>
      <c r="G288" s="11">
        <v>0.013835574</v>
      </c>
      <c r="H288" s="13">
        <v>0.0138</v>
      </c>
      <c r="J288" s="15"/>
      <c r="K288" s="11"/>
      <c r="L288" s="11"/>
      <c r="M288" s="11"/>
      <c r="N288" s="11"/>
    </row>
    <row r="289" ht="15.75" customHeight="1">
      <c r="A289" s="35">
        <v>44959.0</v>
      </c>
      <c r="B289" s="11">
        <v>777.75</v>
      </c>
      <c r="C289" s="11">
        <v>0.0112</v>
      </c>
      <c r="D289" s="13">
        <v>0.0112</v>
      </c>
      <c r="E289" s="35">
        <v>44959.0</v>
      </c>
      <c r="F289" s="12">
        <v>17610.4</v>
      </c>
      <c r="G289" s="11">
        <v>-3.34917E-4</v>
      </c>
      <c r="H289" s="13">
        <v>-3.0E-4</v>
      </c>
      <c r="J289" s="15"/>
      <c r="K289" s="11"/>
      <c r="L289" s="11"/>
      <c r="M289" s="11"/>
      <c r="N289" s="11"/>
    </row>
    <row r="290" ht="15.75" customHeight="1">
      <c r="A290" s="35">
        <v>44928.0</v>
      </c>
      <c r="B290" s="11">
        <v>769.1</v>
      </c>
      <c r="C290" s="11">
        <v>-0.0016</v>
      </c>
      <c r="D290" s="13">
        <v>-0.0016</v>
      </c>
      <c r="E290" s="35">
        <v>44928.0</v>
      </c>
      <c r="F290" s="12">
        <v>17616.3</v>
      </c>
      <c r="G290" s="11">
        <v>-0.002595947</v>
      </c>
      <c r="H290" s="13">
        <v>-0.0026</v>
      </c>
      <c r="J290" s="15"/>
      <c r="K290" s="11"/>
      <c r="L290" s="11"/>
      <c r="M290" s="11"/>
      <c r="N290" s="11"/>
    </row>
    <row r="291" ht="15.75" customHeight="1">
      <c r="A291" s="11" t="s">
        <v>280</v>
      </c>
      <c r="B291" s="11">
        <v>770.3</v>
      </c>
      <c r="C291" s="11">
        <v>1.0E-4</v>
      </c>
      <c r="D291" s="13">
        <v>1.0E-4</v>
      </c>
      <c r="E291" s="11" t="s">
        <v>280</v>
      </c>
      <c r="F291" s="12">
        <v>17662.15</v>
      </c>
      <c r="G291" s="11">
        <v>7.4792E-4</v>
      </c>
      <c r="H291" s="13">
        <v>7.0E-4</v>
      </c>
      <c r="J291" s="15"/>
      <c r="K291" s="11"/>
      <c r="L291" s="11"/>
      <c r="M291" s="11"/>
      <c r="N291" s="11"/>
    </row>
    <row r="292" ht="15.75" customHeight="1">
      <c r="A292" s="11" t="s">
        <v>281</v>
      </c>
      <c r="B292" s="11">
        <v>770.2</v>
      </c>
      <c r="C292" s="11">
        <v>-0.0056</v>
      </c>
      <c r="D292" s="13">
        <v>-0.0056</v>
      </c>
      <c r="E292" s="11" t="s">
        <v>281</v>
      </c>
      <c r="F292" s="12">
        <v>17648.95</v>
      </c>
      <c r="G292" s="11">
        <v>0.002533465</v>
      </c>
      <c r="H292" s="13">
        <v>0.0025</v>
      </c>
      <c r="J292" s="15"/>
      <c r="K292" s="11"/>
      <c r="L292" s="11"/>
      <c r="M292" s="11"/>
      <c r="N292" s="11"/>
    </row>
    <row r="293" ht="15.75" customHeight="1">
      <c r="A293" s="11" t="s">
        <v>282</v>
      </c>
      <c r="B293" s="11">
        <v>774.5</v>
      </c>
      <c r="C293" s="11">
        <v>-0.0026</v>
      </c>
      <c r="D293" s="13">
        <v>-0.0026</v>
      </c>
      <c r="E293" s="11" t="s">
        <v>282</v>
      </c>
      <c r="F293" s="12">
        <v>17604.35</v>
      </c>
      <c r="G293" s="11">
        <v>-0.016074268</v>
      </c>
      <c r="H293" s="13">
        <v>-0.0161</v>
      </c>
      <c r="J293" s="15"/>
      <c r="K293" s="11"/>
      <c r="L293" s="11"/>
      <c r="M293" s="11"/>
      <c r="N293" s="11"/>
    </row>
    <row r="294" ht="15.75" customHeight="1">
      <c r="A294" s="11" t="s">
        <v>283</v>
      </c>
      <c r="B294" s="11">
        <v>776.5</v>
      </c>
      <c r="C294" s="11">
        <v>0.0011</v>
      </c>
      <c r="D294" s="13">
        <v>0.0011</v>
      </c>
      <c r="E294" s="11" t="s">
        <v>283</v>
      </c>
      <c r="F294" s="12">
        <v>17891.95</v>
      </c>
      <c r="G294" s="11">
        <v>-0.012492894</v>
      </c>
      <c r="H294" s="13">
        <v>-0.0125</v>
      </c>
      <c r="J294" s="15"/>
      <c r="K294" s="11"/>
      <c r="L294" s="11"/>
      <c r="M294" s="11"/>
      <c r="N294" s="11"/>
    </row>
    <row r="295" ht="15.75" customHeight="1">
      <c r="A295" s="11" t="s">
        <v>284</v>
      </c>
      <c r="B295" s="11">
        <v>775.65</v>
      </c>
      <c r="C295" s="11">
        <v>0.0038</v>
      </c>
      <c r="D295" s="13">
        <v>0.0038</v>
      </c>
      <c r="E295" s="11" t="s">
        <v>284</v>
      </c>
      <c r="F295" s="12">
        <v>18118.3</v>
      </c>
      <c r="G295" s="45">
        <v>-1.3798E-5</v>
      </c>
      <c r="H295" s="13">
        <v>0.0</v>
      </c>
      <c r="J295" s="15"/>
      <c r="K295" s="11"/>
      <c r="L295" s="11"/>
      <c r="M295" s="11"/>
      <c r="N295" s="11"/>
    </row>
    <row r="296" ht="15.75" customHeight="1">
      <c r="A296" s="11" t="s">
        <v>285</v>
      </c>
      <c r="B296" s="11">
        <v>772.7</v>
      </c>
      <c r="C296" s="11">
        <v>0.0108</v>
      </c>
      <c r="D296" s="13">
        <v>0.0108</v>
      </c>
      <c r="E296" s="11" t="s">
        <v>285</v>
      </c>
      <c r="F296" s="12">
        <v>18118.55</v>
      </c>
      <c r="G296" s="11">
        <v>0.005042255</v>
      </c>
      <c r="H296" s="13">
        <v>0.005</v>
      </c>
      <c r="J296" s="15"/>
      <c r="K296" s="11"/>
      <c r="L296" s="11"/>
      <c r="M296" s="11"/>
      <c r="N296" s="11"/>
    </row>
    <row r="297" ht="15.75" customHeight="1">
      <c r="A297" s="11" t="s">
        <v>286</v>
      </c>
      <c r="B297" s="11">
        <v>764.45</v>
      </c>
      <c r="C297" s="11">
        <v>-0.0098</v>
      </c>
      <c r="D297" s="13">
        <v>-0.0098</v>
      </c>
      <c r="E297" s="11" t="s">
        <v>286</v>
      </c>
      <c r="F297" s="12">
        <v>18027.65</v>
      </c>
      <c r="G297" s="11">
        <v>-0.004429018</v>
      </c>
      <c r="H297" s="13">
        <v>-0.0044</v>
      </c>
      <c r="J297" s="15"/>
      <c r="K297" s="11"/>
      <c r="L297" s="11"/>
      <c r="M297" s="11"/>
      <c r="N297" s="11"/>
    </row>
    <row r="298" ht="15.75" customHeight="1">
      <c r="A298" s="11" t="s">
        <v>287</v>
      </c>
      <c r="B298" s="11">
        <v>772.0</v>
      </c>
      <c r="C298" s="11">
        <v>-0.0059</v>
      </c>
      <c r="D298" s="13">
        <v>-0.0059</v>
      </c>
      <c r="E298" s="11" t="s">
        <v>287</v>
      </c>
      <c r="F298" s="12">
        <v>18107.85</v>
      </c>
      <c r="G298" s="11">
        <v>-0.003165367</v>
      </c>
      <c r="H298" s="13">
        <v>-0.0032</v>
      </c>
      <c r="J298" s="15"/>
      <c r="K298" s="11"/>
      <c r="L298" s="11"/>
      <c r="M298" s="11"/>
      <c r="N298" s="11"/>
    </row>
    <row r="299" ht="15.75" customHeight="1">
      <c r="A299" s="11" t="s">
        <v>288</v>
      </c>
      <c r="B299" s="11">
        <v>776.55</v>
      </c>
      <c r="C299" s="11">
        <v>0.0142</v>
      </c>
      <c r="D299" s="13">
        <v>0.0142</v>
      </c>
      <c r="E299" s="11" t="s">
        <v>288</v>
      </c>
      <c r="F299" s="12">
        <v>18165.35</v>
      </c>
      <c r="G299" s="11">
        <v>0.006206622</v>
      </c>
      <c r="H299" s="13">
        <v>0.0062</v>
      </c>
      <c r="J299" s="15"/>
      <c r="K299" s="11"/>
      <c r="L299" s="11"/>
      <c r="M299" s="11"/>
      <c r="N299" s="11"/>
    </row>
    <row r="300" ht="15.75" customHeight="1">
      <c r="A300" s="11" t="s">
        <v>289</v>
      </c>
      <c r="B300" s="11">
        <v>765.7</v>
      </c>
      <c r="C300" s="11">
        <v>0.0086</v>
      </c>
      <c r="D300" s="13">
        <v>0.0086</v>
      </c>
      <c r="E300" s="11" t="s">
        <v>289</v>
      </c>
      <c r="F300" s="12">
        <v>18053.3</v>
      </c>
      <c r="G300" s="11">
        <v>0.008854503</v>
      </c>
      <c r="H300" s="13">
        <v>0.0089</v>
      </c>
      <c r="J300" s="15"/>
      <c r="K300" s="11"/>
      <c r="L300" s="11"/>
      <c r="M300" s="11"/>
      <c r="N300" s="11"/>
    </row>
    <row r="301" ht="15.75" customHeight="1">
      <c r="A301" s="11" t="s">
        <v>290</v>
      </c>
      <c r="B301" s="11">
        <v>759.15</v>
      </c>
      <c r="C301" s="11">
        <v>-0.0067</v>
      </c>
      <c r="D301" s="13">
        <v>-0.0067</v>
      </c>
      <c r="E301" s="11" t="s">
        <v>290</v>
      </c>
      <c r="F301" s="12">
        <v>17894.85</v>
      </c>
      <c r="G301" s="11">
        <v>-0.003438847</v>
      </c>
      <c r="H301" s="13">
        <v>-0.0034</v>
      </c>
      <c r="J301" s="15"/>
      <c r="K301" s="11"/>
      <c r="L301" s="11"/>
      <c r="M301" s="11"/>
      <c r="N301" s="11"/>
    </row>
    <row r="302" ht="15.75" customHeight="1">
      <c r="A302" s="11" t="s">
        <v>291</v>
      </c>
      <c r="B302" s="11">
        <v>764.3</v>
      </c>
      <c r="C302" s="11">
        <v>0.0098</v>
      </c>
      <c r="D302" s="13">
        <v>0.0098</v>
      </c>
      <c r="E302" s="11" t="s">
        <v>291</v>
      </c>
      <c r="F302" s="12">
        <v>17956.6</v>
      </c>
      <c r="G302" s="11">
        <v>0.005510074</v>
      </c>
      <c r="H302" s="13">
        <v>0.0055</v>
      </c>
      <c r="J302" s="15"/>
      <c r="K302" s="11"/>
      <c r="L302" s="11"/>
      <c r="M302" s="11"/>
      <c r="N302" s="11"/>
    </row>
    <row r="303" ht="15.75" customHeight="1">
      <c r="A303" s="35">
        <v>45261.0</v>
      </c>
      <c r="B303" s="11">
        <v>756.9</v>
      </c>
      <c r="C303" s="11">
        <v>-0.0113</v>
      </c>
      <c r="D303" s="13">
        <v>-0.0113</v>
      </c>
      <c r="E303" s="35">
        <v>45261.0</v>
      </c>
      <c r="F303" s="12">
        <v>17858.2</v>
      </c>
      <c r="G303" s="11">
        <v>-0.002095475</v>
      </c>
      <c r="H303" s="13">
        <v>-0.0021</v>
      </c>
      <c r="J303" s="15"/>
      <c r="K303" s="11"/>
      <c r="L303" s="11"/>
      <c r="M303" s="11"/>
      <c r="N303" s="11"/>
    </row>
    <row r="304" ht="15.75" customHeight="1">
      <c r="A304" s="35">
        <v>45231.0</v>
      </c>
      <c r="B304" s="11">
        <v>765.55</v>
      </c>
      <c r="C304" s="11">
        <v>-0.0344</v>
      </c>
      <c r="D304" s="13">
        <v>-0.0344</v>
      </c>
      <c r="E304" s="35">
        <v>45231.0</v>
      </c>
      <c r="F304" s="12">
        <v>17895.7</v>
      </c>
      <c r="G304" s="11">
        <v>-0.001029912</v>
      </c>
      <c r="H304" s="13">
        <v>-0.001</v>
      </c>
      <c r="J304" s="15"/>
      <c r="K304" s="11"/>
      <c r="L304" s="11"/>
      <c r="M304" s="11"/>
      <c r="N304" s="11"/>
    </row>
    <row r="305" ht="15.75" customHeight="1">
      <c r="A305" s="35">
        <v>45200.0</v>
      </c>
      <c r="B305" s="11">
        <v>792.85</v>
      </c>
      <c r="C305" s="11">
        <v>-0.0324</v>
      </c>
      <c r="D305" s="13">
        <v>-0.0324</v>
      </c>
      <c r="E305" s="35">
        <v>45200.0</v>
      </c>
      <c r="F305" s="12">
        <v>17914.15</v>
      </c>
      <c r="G305" s="11">
        <v>-0.010333569</v>
      </c>
      <c r="H305" s="13">
        <v>-0.0103</v>
      </c>
      <c r="J305" s="15"/>
      <c r="K305" s="11"/>
      <c r="L305" s="11"/>
      <c r="M305" s="11"/>
      <c r="N305" s="11"/>
    </row>
    <row r="306" ht="15.75" customHeight="1">
      <c r="A306" s="35">
        <v>45170.0</v>
      </c>
      <c r="B306" s="11">
        <v>819.4</v>
      </c>
      <c r="C306" s="11">
        <v>0.0294</v>
      </c>
      <c r="D306" s="13">
        <v>0.0294</v>
      </c>
      <c r="E306" s="35">
        <v>45170.0</v>
      </c>
      <c r="F306" s="12">
        <v>18101.2</v>
      </c>
      <c r="G306" s="11">
        <v>0.013536251</v>
      </c>
      <c r="H306" s="13">
        <v>0.0135</v>
      </c>
      <c r="J306" s="15"/>
      <c r="K306" s="11"/>
      <c r="L306" s="11"/>
      <c r="M306" s="11"/>
      <c r="N306" s="11"/>
    </row>
    <row r="307" ht="15.75" customHeight="1">
      <c r="A307" s="35">
        <v>45078.0</v>
      </c>
      <c r="B307" s="11">
        <v>796.0</v>
      </c>
      <c r="C307" s="11">
        <v>-0.0138</v>
      </c>
      <c r="D307" s="13">
        <v>-0.0138</v>
      </c>
      <c r="E307" s="35">
        <v>45078.0</v>
      </c>
      <c r="F307" s="12">
        <v>17859.45</v>
      </c>
      <c r="G307" s="11">
        <v>-0.007375439</v>
      </c>
      <c r="H307" s="13">
        <v>-0.0074</v>
      </c>
      <c r="J307" s="15"/>
      <c r="K307" s="11"/>
      <c r="L307" s="11"/>
      <c r="M307" s="11"/>
      <c r="N307" s="11"/>
    </row>
    <row r="308" ht="15.75" customHeight="1">
      <c r="A308" s="35">
        <v>45047.0</v>
      </c>
      <c r="B308" s="11">
        <v>807.1</v>
      </c>
      <c r="C308" s="11">
        <v>-0.0058</v>
      </c>
      <c r="D308" s="13">
        <v>-0.0058</v>
      </c>
      <c r="E308" s="35">
        <v>45047.0</v>
      </c>
      <c r="F308" s="12">
        <v>17992.15</v>
      </c>
      <c r="G308" s="11">
        <v>-0.002815504</v>
      </c>
      <c r="H308" s="13">
        <v>-0.0028</v>
      </c>
      <c r="J308" s="15"/>
      <c r="K308" s="11"/>
      <c r="L308" s="11"/>
      <c r="M308" s="11"/>
      <c r="N308" s="11"/>
    </row>
    <row r="309" ht="15.75" customHeight="1">
      <c r="A309" s="35">
        <v>45017.0</v>
      </c>
      <c r="B309" s="11">
        <v>811.8</v>
      </c>
      <c r="C309" s="11">
        <v>-0.0071</v>
      </c>
      <c r="D309" s="13">
        <v>-0.0071</v>
      </c>
      <c r="E309" s="35">
        <v>45017.0</v>
      </c>
      <c r="F309" s="12">
        <v>18042.95</v>
      </c>
      <c r="G309" s="11">
        <v>-0.010398984</v>
      </c>
      <c r="H309" s="13">
        <v>-0.0104</v>
      </c>
      <c r="J309" s="15"/>
      <c r="K309" s="11"/>
      <c r="L309" s="11"/>
      <c r="M309" s="11"/>
      <c r="N309" s="11"/>
    </row>
    <row r="310" ht="15.75" customHeight="1">
      <c r="A310" s="35">
        <v>44986.0</v>
      </c>
      <c r="B310" s="11">
        <v>817.6</v>
      </c>
      <c r="C310" s="11">
        <v>0.005</v>
      </c>
      <c r="D310" s="13">
        <v>0.005</v>
      </c>
      <c r="E310" s="35">
        <v>44986.0</v>
      </c>
      <c r="F310" s="12">
        <v>18232.55</v>
      </c>
      <c r="G310" s="11">
        <v>0.001928842</v>
      </c>
      <c r="H310" s="13">
        <v>0.0019</v>
      </c>
      <c r="J310" s="15"/>
      <c r="K310" s="11"/>
      <c r="L310" s="11"/>
      <c r="M310" s="11"/>
      <c r="N310" s="11"/>
    </row>
    <row r="311" ht="15.75" customHeight="1">
      <c r="A311" s="35">
        <v>44958.0</v>
      </c>
      <c r="B311" s="11">
        <v>813.5</v>
      </c>
      <c r="C311" s="11">
        <v>0.0092</v>
      </c>
      <c r="D311" s="13">
        <v>0.0092</v>
      </c>
      <c r="E311" s="35">
        <v>44958.0</v>
      </c>
      <c r="F311" s="12">
        <v>18197.45</v>
      </c>
      <c r="G311" s="11">
        <v>0.00508967</v>
      </c>
      <c r="H311" s="13">
        <v>0.0051</v>
      </c>
      <c r="J311" s="15"/>
      <c r="K311" s="11"/>
      <c r="L311" s="11"/>
      <c r="M311" s="11"/>
      <c r="N311" s="11"/>
    </row>
    <row r="312" ht="15.75" customHeight="1">
      <c r="A312" s="11" t="s">
        <v>292</v>
      </c>
      <c r="B312" s="11">
        <v>806.1</v>
      </c>
      <c r="C312" s="11">
        <v>-0.0178</v>
      </c>
      <c r="D312" s="13">
        <v>-0.0178</v>
      </c>
      <c r="E312" s="11" t="s">
        <v>292</v>
      </c>
      <c r="F312" s="12">
        <v>18105.3</v>
      </c>
      <c r="G312" s="11">
        <v>-0.004711121</v>
      </c>
      <c r="H312" s="13">
        <v>-0.0047</v>
      </c>
      <c r="J312" s="15"/>
      <c r="K312" s="11"/>
      <c r="L312" s="11"/>
      <c r="M312" s="11"/>
      <c r="N312" s="11"/>
    </row>
    <row r="313" ht="15.75" customHeight="1">
      <c r="A313" s="11" t="s">
        <v>293</v>
      </c>
      <c r="B313" s="11">
        <v>820.75</v>
      </c>
      <c r="C313" s="11">
        <v>0.0211</v>
      </c>
      <c r="D313" s="13">
        <v>0.0211</v>
      </c>
      <c r="E313" s="11" t="s">
        <v>293</v>
      </c>
      <c r="F313" s="12">
        <v>18191.0</v>
      </c>
      <c r="G313" s="11">
        <v>0.003779832</v>
      </c>
      <c r="H313" s="13">
        <v>0.0038</v>
      </c>
      <c r="J313" s="15"/>
      <c r="K313" s="11"/>
      <c r="L313" s="11"/>
      <c r="M313" s="11"/>
      <c r="N313" s="11"/>
    </row>
    <row r="314" ht="15.75" customHeight="1">
      <c r="A314" s="11" t="s">
        <v>294</v>
      </c>
      <c r="B314" s="11">
        <v>803.8</v>
      </c>
      <c r="C314" s="11">
        <v>-0.0135</v>
      </c>
      <c r="D314" s="13">
        <v>-0.0135</v>
      </c>
      <c r="E314" s="11" t="s">
        <v>294</v>
      </c>
      <c r="F314" s="12">
        <v>18122.5</v>
      </c>
      <c r="G314" s="11">
        <v>-5.40472E-4</v>
      </c>
      <c r="H314" s="13">
        <v>-5.0E-4</v>
      </c>
      <c r="J314" s="15"/>
      <c r="K314" s="11"/>
      <c r="L314" s="11"/>
      <c r="M314" s="11"/>
      <c r="N314" s="11"/>
    </row>
    <row r="315" ht="15.75" customHeight="1">
      <c r="A315" s="11" t="s">
        <v>295</v>
      </c>
      <c r="B315" s="11">
        <v>814.8</v>
      </c>
      <c r="C315" s="11">
        <v>0.0047</v>
      </c>
      <c r="D315" s="13">
        <v>0.0047</v>
      </c>
      <c r="E315" s="11" t="s">
        <v>295</v>
      </c>
      <c r="F315" s="12">
        <v>18132.3</v>
      </c>
      <c r="G315" s="11">
        <v>0.006533589</v>
      </c>
      <c r="H315" s="13">
        <v>0.0065</v>
      </c>
      <c r="J315" s="15"/>
      <c r="K315" s="11"/>
      <c r="L315" s="11"/>
      <c r="M315" s="11"/>
      <c r="N315" s="11"/>
    </row>
    <row r="316" ht="15.75" customHeight="1">
      <c r="A316" s="11" t="s">
        <v>296</v>
      </c>
      <c r="B316" s="11">
        <v>811.0</v>
      </c>
      <c r="C316" s="11">
        <v>0.0029</v>
      </c>
      <c r="D316" s="13">
        <v>0.0029</v>
      </c>
      <c r="E316" s="11" t="s">
        <v>296</v>
      </c>
      <c r="F316" s="12">
        <v>18014.6</v>
      </c>
      <c r="G316" s="11">
        <v>0.011669699</v>
      </c>
      <c r="H316" s="13">
        <v>0.0117</v>
      </c>
      <c r="J316" s="15"/>
      <c r="K316" s="11"/>
      <c r="L316" s="11"/>
      <c r="M316" s="11"/>
      <c r="N316" s="11"/>
    </row>
    <row r="317" ht="15.75" customHeight="1">
      <c r="A317" s="11" t="s">
        <v>297</v>
      </c>
      <c r="B317" s="11">
        <v>808.65</v>
      </c>
      <c r="C317" s="11">
        <v>-0.0097</v>
      </c>
      <c r="D317" s="13">
        <v>-0.0097</v>
      </c>
      <c r="E317" s="11" t="s">
        <v>297</v>
      </c>
      <c r="F317" s="12">
        <v>17806.8</v>
      </c>
      <c r="G317" s="11">
        <v>-0.017683225</v>
      </c>
      <c r="H317" s="13">
        <v>-0.0177</v>
      </c>
      <c r="J317" s="15"/>
      <c r="K317" s="11"/>
      <c r="L317" s="11"/>
      <c r="M317" s="11"/>
      <c r="N317" s="11"/>
    </row>
    <row r="318" ht="15.75" customHeight="1">
      <c r="A318" s="11" t="s">
        <v>298</v>
      </c>
      <c r="B318" s="11">
        <v>816.6</v>
      </c>
      <c r="C318" s="11">
        <v>0.0032</v>
      </c>
      <c r="D318" s="13">
        <v>0.0032</v>
      </c>
      <c r="E318" s="11" t="s">
        <v>298</v>
      </c>
      <c r="F318" s="12">
        <v>18127.35</v>
      </c>
      <c r="G318" s="11">
        <v>-0.003942503</v>
      </c>
      <c r="H318" s="13">
        <v>-0.0039</v>
      </c>
      <c r="J318" s="15"/>
      <c r="K318" s="11"/>
      <c r="L318" s="11"/>
      <c r="M318" s="11"/>
      <c r="N318" s="11"/>
    </row>
    <row r="319" ht="15.75" customHeight="1">
      <c r="A319" s="11" t="s">
        <v>299</v>
      </c>
      <c r="B319" s="11">
        <v>814.0</v>
      </c>
      <c r="C319" s="11">
        <v>-0.018</v>
      </c>
      <c r="D319" s="13">
        <v>-0.018</v>
      </c>
      <c r="E319" s="11" t="s">
        <v>299</v>
      </c>
      <c r="F319" s="12">
        <v>18199.1</v>
      </c>
      <c r="G319" s="11">
        <v>-0.010127656</v>
      </c>
      <c r="H319" s="13">
        <v>-0.0101</v>
      </c>
      <c r="J319" s="15"/>
      <c r="K319" s="11"/>
      <c r="L319" s="11"/>
      <c r="M319" s="11"/>
      <c r="N319" s="11"/>
    </row>
    <row r="320" ht="15.75" customHeight="1">
      <c r="A320" s="11" t="s">
        <v>300</v>
      </c>
      <c r="B320" s="11">
        <v>828.95</v>
      </c>
      <c r="C320" s="11">
        <v>-0.0136</v>
      </c>
      <c r="D320" s="13">
        <v>-0.0136</v>
      </c>
      <c r="E320" s="11" t="s">
        <v>300</v>
      </c>
      <c r="F320" s="12">
        <v>18385.3</v>
      </c>
      <c r="G320" s="11">
        <v>-0.001908205</v>
      </c>
      <c r="H320" s="13">
        <v>-0.0019</v>
      </c>
      <c r="J320" s="15"/>
      <c r="K320" s="11"/>
      <c r="L320" s="11"/>
      <c r="M320" s="11"/>
      <c r="N320" s="11"/>
    </row>
    <row r="321" ht="15.75" customHeight="1">
      <c r="A321" s="11" t="s">
        <v>301</v>
      </c>
      <c r="B321" s="11">
        <v>840.4</v>
      </c>
      <c r="C321" s="11">
        <v>0.0215</v>
      </c>
      <c r="D321" s="13">
        <v>0.0215</v>
      </c>
      <c r="E321" s="11" t="s">
        <v>301</v>
      </c>
      <c r="F321" s="12">
        <v>18420.45</v>
      </c>
      <c r="G321" s="11">
        <v>0.008289999</v>
      </c>
      <c r="H321" s="13">
        <v>0.0083</v>
      </c>
      <c r="J321" s="15"/>
      <c r="K321" s="11"/>
      <c r="L321" s="11"/>
      <c r="M321" s="11"/>
      <c r="N321" s="11"/>
    </row>
    <row r="322" ht="15.75" customHeight="1">
      <c r="A322" s="11" t="s">
        <v>302</v>
      </c>
      <c r="B322" s="11">
        <v>822.75</v>
      </c>
      <c r="C322" s="11">
        <v>-0.0044</v>
      </c>
      <c r="D322" s="13">
        <v>-0.0044</v>
      </c>
      <c r="E322" s="11" t="s">
        <v>302</v>
      </c>
      <c r="F322" s="12">
        <v>18269.0</v>
      </c>
      <c r="G322" s="11">
        <v>-0.007922932</v>
      </c>
      <c r="H322" s="13">
        <v>-0.0079</v>
      </c>
      <c r="J322" s="15"/>
      <c r="K322" s="11"/>
      <c r="L322" s="11"/>
      <c r="M322" s="11"/>
      <c r="N322" s="11"/>
    </row>
    <row r="323" ht="15.75" customHeight="1">
      <c r="A323" s="11" t="s">
        <v>303</v>
      </c>
      <c r="B323" s="11">
        <v>826.35</v>
      </c>
      <c r="C323" s="11">
        <v>-0.0034</v>
      </c>
      <c r="D323" s="13">
        <v>-0.0034</v>
      </c>
      <c r="E323" s="11" t="s">
        <v>303</v>
      </c>
      <c r="F323" s="12">
        <v>18414.9</v>
      </c>
      <c r="G323" s="11">
        <v>-0.013150914</v>
      </c>
      <c r="H323" s="13">
        <v>-0.0132</v>
      </c>
      <c r="J323" s="15"/>
      <c r="K323" s="11"/>
      <c r="L323" s="11"/>
      <c r="M323" s="11"/>
      <c r="N323" s="11"/>
    </row>
    <row r="324" ht="15.75" customHeight="1">
      <c r="A324" s="11" t="s">
        <v>304</v>
      </c>
      <c r="B324" s="11">
        <v>829.2</v>
      </c>
      <c r="C324" s="11">
        <v>-0.0106</v>
      </c>
      <c r="D324" s="13">
        <v>-0.0106</v>
      </c>
      <c r="E324" s="11" t="s">
        <v>304</v>
      </c>
      <c r="F324" s="12">
        <v>18660.3</v>
      </c>
      <c r="G324" s="11">
        <v>0.002810619</v>
      </c>
      <c r="H324" s="13">
        <v>0.0028</v>
      </c>
      <c r="J324" s="15"/>
      <c r="K324" s="11"/>
      <c r="L324" s="11"/>
      <c r="M324" s="11"/>
      <c r="N324" s="11"/>
    </row>
    <row r="325" ht="15.75" customHeight="1">
      <c r="A325" s="11" t="s">
        <v>305</v>
      </c>
      <c r="B325" s="11">
        <v>838.05</v>
      </c>
      <c r="C325" s="11">
        <v>0.0116</v>
      </c>
      <c r="D325" s="13">
        <v>0.0116</v>
      </c>
      <c r="E325" s="11" t="s">
        <v>305</v>
      </c>
      <c r="F325" s="12">
        <v>18608.0</v>
      </c>
      <c r="G325" s="11">
        <v>0.005992815</v>
      </c>
      <c r="H325" s="13">
        <v>0.006</v>
      </c>
      <c r="J325" s="15"/>
      <c r="K325" s="11"/>
      <c r="L325" s="11"/>
      <c r="M325" s="11"/>
      <c r="N325" s="11"/>
    </row>
    <row r="326" ht="15.75" customHeight="1">
      <c r="A326" s="55">
        <v>44907.0</v>
      </c>
      <c r="B326" s="11">
        <v>828.4</v>
      </c>
      <c r="C326" s="11">
        <v>-0.0078</v>
      </c>
      <c r="D326" s="13">
        <v>-0.0078</v>
      </c>
      <c r="E326" s="55">
        <v>44907.0</v>
      </c>
      <c r="F326" s="12">
        <v>18497.15</v>
      </c>
      <c r="G326" s="45">
        <v>2.97352E-5</v>
      </c>
      <c r="H326" s="13">
        <v>0.0</v>
      </c>
      <c r="J326" s="15"/>
      <c r="K326" s="11"/>
      <c r="L326" s="11"/>
      <c r="M326" s="11"/>
      <c r="N326" s="11"/>
    </row>
    <row r="327" ht="15.75" customHeight="1">
      <c r="A327" s="35">
        <v>44816.0</v>
      </c>
      <c r="B327" s="11">
        <v>834.9</v>
      </c>
      <c r="C327" s="11">
        <v>0.0028</v>
      </c>
      <c r="D327" s="13">
        <v>0.0028</v>
      </c>
      <c r="E327" s="35">
        <v>44816.0</v>
      </c>
      <c r="F327" s="12">
        <v>18496.6</v>
      </c>
      <c r="G327" s="11">
        <v>-0.006058782</v>
      </c>
      <c r="H327" s="13">
        <v>-0.0061</v>
      </c>
      <c r="J327" s="15"/>
      <c r="K327" s="11"/>
      <c r="L327" s="11"/>
      <c r="M327" s="11"/>
      <c r="N327" s="11"/>
    </row>
    <row r="328" ht="15.75" customHeight="1">
      <c r="A328" s="35">
        <v>44785.0</v>
      </c>
      <c r="B328" s="11">
        <v>832.6</v>
      </c>
      <c r="C328" s="11">
        <v>-0.0017</v>
      </c>
      <c r="D328" s="13">
        <v>-0.0017</v>
      </c>
      <c r="E328" s="35">
        <v>44785.0</v>
      </c>
      <c r="F328" s="12">
        <v>18609.35</v>
      </c>
      <c r="G328" s="11">
        <v>0.002631933</v>
      </c>
      <c r="H328" s="13">
        <v>0.0026</v>
      </c>
      <c r="J328" s="15"/>
      <c r="K328" s="11"/>
      <c r="L328" s="11"/>
      <c r="M328" s="11"/>
      <c r="N328" s="11"/>
    </row>
    <row r="329" ht="15.75" customHeight="1">
      <c r="A329" s="35">
        <v>44754.0</v>
      </c>
      <c r="B329" s="11">
        <v>834.0</v>
      </c>
      <c r="C329" s="11">
        <v>8.0E-4</v>
      </c>
      <c r="D329" s="13">
        <v>8.0E-4</v>
      </c>
      <c r="E329" s="35">
        <v>44754.0</v>
      </c>
      <c r="F329" s="12">
        <v>18560.5</v>
      </c>
      <c r="G329" s="11">
        <v>-0.004411903</v>
      </c>
      <c r="H329" s="13">
        <v>-0.0044</v>
      </c>
      <c r="J329" s="15"/>
      <c r="K329" s="11"/>
      <c r="L329" s="11"/>
      <c r="M329" s="11"/>
      <c r="N329" s="11"/>
    </row>
    <row r="330" ht="15.75" customHeight="1">
      <c r="A330" s="35">
        <v>44724.0</v>
      </c>
      <c r="B330" s="11">
        <v>833.35</v>
      </c>
      <c r="C330" s="11">
        <v>-0.0127</v>
      </c>
      <c r="D330" s="13">
        <v>-0.0127</v>
      </c>
      <c r="E330" s="35">
        <v>44724.0</v>
      </c>
      <c r="F330" s="12">
        <v>18642.75</v>
      </c>
      <c r="G330" s="11">
        <v>-0.003117472</v>
      </c>
      <c r="H330" s="13">
        <v>-0.0031</v>
      </c>
      <c r="J330" s="15"/>
      <c r="K330" s="11"/>
      <c r="L330" s="11"/>
      <c r="M330" s="11"/>
      <c r="N330" s="11"/>
    </row>
    <row r="331" ht="15.75" customHeight="1">
      <c r="A331" s="35">
        <v>44693.0</v>
      </c>
      <c r="B331" s="11">
        <v>844.1</v>
      </c>
      <c r="C331" s="11">
        <v>-0.0054</v>
      </c>
      <c r="D331" s="13">
        <v>-0.0054</v>
      </c>
      <c r="E331" s="35">
        <v>44693.0</v>
      </c>
      <c r="F331" s="12">
        <v>18701.05</v>
      </c>
      <c r="G331" s="11">
        <v>2.64761E-4</v>
      </c>
      <c r="H331" s="13">
        <v>3.0E-4</v>
      </c>
      <c r="J331" s="15"/>
      <c r="K331" s="11"/>
      <c r="L331" s="11"/>
      <c r="M331" s="11"/>
      <c r="N331" s="11"/>
    </row>
    <row r="332" ht="15.75" customHeight="1">
      <c r="A332" s="35">
        <v>44604.0</v>
      </c>
      <c r="B332" s="11">
        <v>848.65</v>
      </c>
      <c r="C332" s="11">
        <v>1.0E-4</v>
      </c>
      <c r="D332" s="13">
        <v>1.0E-4</v>
      </c>
      <c r="E332" s="35">
        <v>44604.0</v>
      </c>
      <c r="F332" s="12">
        <v>18696.1</v>
      </c>
      <c r="G332" s="11">
        <v>-0.006187375</v>
      </c>
      <c r="H332" s="13">
        <v>-0.0062</v>
      </c>
      <c r="J332" s="15"/>
      <c r="K332" s="11"/>
      <c r="L332" s="11"/>
      <c r="M332" s="11"/>
      <c r="N332" s="11"/>
    </row>
    <row r="333" ht="15.75" customHeight="1">
      <c r="A333" s="35">
        <v>44573.0</v>
      </c>
      <c r="B333" s="11">
        <v>848.6</v>
      </c>
      <c r="C333" s="11">
        <v>-2.0E-4</v>
      </c>
      <c r="D333" s="13">
        <v>-2.0E-4</v>
      </c>
      <c r="E333" s="35">
        <v>44573.0</v>
      </c>
      <c r="F333" s="12">
        <v>18812.5</v>
      </c>
      <c r="G333" s="11">
        <v>0.002886714</v>
      </c>
      <c r="H333" s="13">
        <v>0.0029</v>
      </c>
      <c r="J333" s="15"/>
      <c r="K333" s="11"/>
      <c r="L333" s="11"/>
      <c r="M333" s="11"/>
      <c r="N333" s="11"/>
    </row>
    <row r="334" ht="15.75" customHeight="1">
      <c r="A334" s="11" t="s">
        <v>306</v>
      </c>
      <c r="B334" s="11">
        <v>848.75</v>
      </c>
      <c r="C334" s="11">
        <v>0.0154</v>
      </c>
      <c r="D334" s="13">
        <v>0.0154</v>
      </c>
      <c r="E334" s="11" t="s">
        <v>306</v>
      </c>
      <c r="F334" s="12">
        <v>18758.35</v>
      </c>
      <c r="G334" s="11">
        <v>0.007535698</v>
      </c>
      <c r="H334" s="13">
        <v>0.0075</v>
      </c>
      <c r="J334" s="15"/>
      <c r="K334" s="11"/>
      <c r="L334" s="11"/>
      <c r="M334" s="11"/>
      <c r="N334" s="11"/>
    </row>
    <row r="335" ht="15.75" customHeight="1">
      <c r="A335" s="11" t="s">
        <v>307</v>
      </c>
      <c r="B335" s="11">
        <v>835.85</v>
      </c>
      <c r="C335" s="11">
        <v>-0.0019</v>
      </c>
      <c r="D335" s="13">
        <v>-0.0019</v>
      </c>
      <c r="E335" s="11" t="s">
        <v>307</v>
      </c>
      <c r="F335" s="12">
        <v>18618.05</v>
      </c>
      <c r="G335" s="11">
        <v>0.002979084</v>
      </c>
      <c r="H335" s="13">
        <v>0.003</v>
      </c>
      <c r="J335" s="15"/>
      <c r="K335" s="11"/>
      <c r="L335" s="11"/>
      <c r="M335" s="11"/>
      <c r="N335" s="11"/>
    </row>
    <row r="336" ht="15.75" customHeight="1">
      <c r="A336" s="11" t="s">
        <v>308</v>
      </c>
      <c r="B336" s="11">
        <v>837.4</v>
      </c>
      <c r="C336" s="11">
        <v>-0.0112</v>
      </c>
      <c r="D336" s="13">
        <v>-0.0112</v>
      </c>
      <c r="E336" s="11" t="s">
        <v>308</v>
      </c>
      <c r="F336" s="12">
        <v>18562.75</v>
      </c>
      <c r="G336" s="11">
        <v>0.002700841</v>
      </c>
      <c r="H336" s="13">
        <v>0.0027</v>
      </c>
      <c r="J336" s="15"/>
      <c r="K336" s="11"/>
      <c r="L336" s="11"/>
      <c r="M336" s="11"/>
      <c r="N336" s="11"/>
    </row>
    <row r="337" ht="15.75" customHeight="1">
      <c r="A337" s="11" t="s">
        <v>309</v>
      </c>
      <c r="B337" s="11">
        <v>846.85</v>
      </c>
      <c r="C337" s="11">
        <v>-0.0018</v>
      </c>
      <c r="D337" s="13">
        <v>-0.0018</v>
      </c>
      <c r="E337" s="11" t="s">
        <v>309</v>
      </c>
      <c r="F337" s="12">
        <v>18512.75</v>
      </c>
      <c r="G337" s="11">
        <v>0.001549981</v>
      </c>
      <c r="H337" s="13">
        <v>0.0016</v>
      </c>
      <c r="J337" s="15"/>
      <c r="K337" s="11"/>
      <c r="L337" s="11"/>
      <c r="M337" s="11"/>
      <c r="N337" s="11"/>
    </row>
    <row r="338" ht="15.75" customHeight="1">
      <c r="A338" s="11" t="s">
        <v>310</v>
      </c>
      <c r="B338" s="11">
        <v>848.35</v>
      </c>
      <c r="C338" s="11">
        <v>0.006</v>
      </c>
      <c r="D338" s="13">
        <v>0.006</v>
      </c>
      <c r="E338" s="11" t="s">
        <v>310</v>
      </c>
      <c r="F338" s="12">
        <v>18484.1</v>
      </c>
      <c r="G338" s="11">
        <v>0.011870971</v>
      </c>
      <c r="H338" s="13">
        <v>0.0119</v>
      </c>
      <c r="J338" s="15"/>
      <c r="K338" s="11"/>
      <c r="L338" s="11"/>
      <c r="M338" s="11"/>
      <c r="N338" s="11"/>
    </row>
    <row r="339" ht="15.75" customHeight="1">
      <c r="A339" s="11" t="s">
        <v>311</v>
      </c>
      <c r="B339" s="11">
        <v>843.25</v>
      </c>
      <c r="C339" s="11">
        <v>-0.0051</v>
      </c>
      <c r="D339" s="13">
        <v>-0.0051</v>
      </c>
      <c r="E339" s="11" t="s">
        <v>311</v>
      </c>
      <c r="F339" s="12">
        <v>18267.25</v>
      </c>
      <c r="G339" s="11">
        <v>0.001263415</v>
      </c>
      <c r="H339" s="13">
        <v>0.0013</v>
      </c>
      <c r="J339" s="15"/>
      <c r="K339" s="11"/>
      <c r="L339" s="11"/>
      <c r="M339" s="11"/>
      <c r="N339" s="11"/>
    </row>
    <row r="340" ht="15.75" customHeight="1">
      <c r="A340" s="11" t="s">
        <v>312</v>
      </c>
      <c r="B340" s="11">
        <v>847.6</v>
      </c>
      <c r="C340" s="11">
        <v>-0.0042</v>
      </c>
      <c r="D340" s="13">
        <v>-0.0042</v>
      </c>
      <c r="E340" s="11" t="s">
        <v>312</v>
      </c>
      <c r="F340" s="12">
        <v>18244.2</v>
      </c>
      <c r="G340" s="11">
        <v>0.00463933</v>
      </c>
      <c r="H340" s="13">
        <v>0.0046</v>
      </c>
      <c r="J340" s="15"/>
      <c r="K340" s="11"/>
      <c r="L340" s="11"/>
      <c r="M340" s="11"/>
      <c r="N340" s="11"/>
    </row>
    <row r="341" ht="15.75" customHeight="1">
      <c r="A341" s="11" t="s">
        <v>313</v>
      </c>
      <c r="B341" s="11">
        <v>851.2</v>
      </c>
      <c r="C341" s="11">
        <v>0.0166</v>
      </c>
      <c r="D341" s="13">
        <v>0.0166</v>
      </c>
      <c r="E341" s="11" t="s">
        <v>313</v>
      </c>
      <c r="F341" s="12">
        <v>18159.95</v>
      </c>
      <c r="G341" s="11">
        <v>-0.008067666</v>
      </c>
      <c r="H341" s="13">
        <v>-0.0081</v>
      </c>
      <c r="J341" s="15"/>
      <c r="K341" s="11"/>
      <c r="L341" s="11"/>
      <c r="M341" s="11"/>
      <c r="N341" s="11"/>
    </row>
    <row r="342" ht="15.75" customHeight="1">
      <c r="A342" s="11" t="s">
        <v>314</v>
      </c>
      <c r="B342" s="11">
        <v>837.3</v>
      </c>
      <c r="C342" s="11">
        <v>-0.0105</v>
      </c>
      <c r="D342" s="13">
        <v>-0.0105</v>
      </c>
      <c r="E342" s="11" t="s">
        <v>314</v>
      </c>
      <c r="F342" s="12">
        <v>18307.65</v>
      </c>
      <c r="G342" s="11">
        <v>-0.001976134</v>
      </c>
      <c r="H342" s="13">
        <v>-0.002</v>
      </c>
      <c r="J342" s="15"/>
      <c r="K342" s="11"/>
      <c r="L342" s="11"/>
      <c r="M342" s="11"/>
      <c r="N342" s="11"/>
    </row>
    <row r="343" ht="15.75" customHeight="1">
      <c r="A343" s="11" t="s">
        <v>315</v>
      </c>
      <c r="B343" s="11">
        <v>846.15</v>
      </c>
      <c r="C343" s="11">
        <v>0.0059</v>
      </c>
      <c r="D343" s="13">
        <v>0.0059</v>
      </c>
      <c r="E343" s="11" t="s">
        <v>315</v>
      </c>
      <c r="F343" s="12">
        <v>18343.9</v>
      </c>
      <c r="G343" s="11">
        <v>-0.003571496</v>
      </c>
      <c r="H343" s="13">
        <v>-0.0036</v>
      </c>
      <c r="J343" s="15"/>
      <c r="K343" s="11"/>
      <c r="L343" s="11"/>
      <c r="M343" s="11"/>
      <c r="N343" s="11"/>
    </row>
    <row r="344" ht="15.75" customHeight="1">
      <c r="A344" s="11" t="s">
        <v>316</v>
      </c>
      <c r="B344" s="11">
        <v>841.2</v>
      </c>
      <c r="C344" s="11">
        <v>0.0071</v>
      </c>
      <c r="D344" s="13">
        <v>0.0071</v>
      </c>
      <c r="E344" s="11" t="s">
        <v>316</v>
      </c>
      <c r="F344" s="12">
        <v>18409.65</v>
      </c>
      <c r="G344" s="11">
        <v>3.39611E-4</v>
      </c>
      <c r="H344" s="13">
        <v>3.0E-4</v>
      </c>
      <c r="J344" s="15"/>
      <c r="K344" s="11"/>
      <c r="L344" s="11"/>
      <c r="M344" s="11"/>
      <c r="N344" s="11"/>
    </row>
    <row r="345" ht="15.75" customHeight="1">
      <c r="A345" s="11" t="s">
        <v>317</v>
      </c>
      <c r="B345" s="11">
        <v>835.25</v>
      </c>
      <c r="C345" s="11">
        <v>0.0162</v>
      </c>
      <c r="D345" s="13">
        <v>0.0162</v>
      </c>
      <c r="E345" s="11" t="s">
        <v>317</v>
      </c>
      <c r="F345" s="12">
        <v>18403.4</v>
      </c>
      <c r="G345" s="11">
        <v>0.004050924</v>
      </c>
      <c r="H345" s="13">
        <v>0.0041</v>
      </c>
      <c r="J345" s="15"/>
      <c r="K345" s="11"/>
      <c r="L345" s="11"/>
      <c r="M345" s="11"/>
      <c r="N345" s="11"/>
    </row>
    <row r="346" ht="15.75" customHeight="1">
      <c r="A346" s="11" t="s">
        <v>318</v>
      </c>
      <c r="B346" s="11">
        <v>821.9</v>
      </c>
      <c r="C346" s="11">
        <v>-0.006</v>
      </c>
      <c r="D346" s="13">
        <v>-0.006</v>
      </c>
      <c r="E346" s="11" t="s">
        <v>318</v>
      </c>
      <c r="F346" s="12">
        <v>18329.15</v>
      </c>
      <c r="G346" s="11">
        <v>-0.001119909</v>
      </c>
      <c r="H346" s="13">
        <v>-0.0011</v>
      </c>
      <c r="J346" s="15"/>
      <c r="K346" s="11"/>
      <c r="L346" s="11"/>
      <c r="M346" s="11"/>
      <c r="N346" s="11"/>
    </row>
    <row r="347" ht="15.75" customHeight="1">
      <c r="A347" s="55">
        <v>44876.0</v>
      </c>
      <c r="B347" s="11">
        <v>826.9</v>
      </c>
      <c r="C347" s="11">
        <v>0.0014</v>
      </c>
      <c r="D347" s="13">
        <v>0.0014</v>
      </c>
      <c r="E347" s="55">
        <v>44876.0</v>
      </c>
      <c r="F347" s="12">
        <v>18349.7</v>
      </c>
      <c r="G347" s="11">
        <v>0.017833172</v>
      </c>
      <c r="H347" s="13">
        <v>0.0178</v>
      </c>
      <c r="J347" s="15"/>
      <c r="K347" s="11"/>
      <c r="L347" s="11"/>
      <c r="M347" s="11"/>
      <c r="N347" s="11"/>
    </row>
    <row r="348" ht="15.75" customHeight="1">
      <c r="A348" s="55">
        <v>44845.0</v>
      </c>
      <c r="B348" s="11">
        <v>825.75</v>
      </c>
      <c r="C348" s="11">
        <v>0.0082</v>
      </c>
      <c r="D348" s="13">
        <v>0.0082</v>
      </c>
      <c r="E348" s="55">
        <v>44845.0</v>
      </c>
      <c r="F348" s="12">
        <v>18028.2</v>
      </c>
      <c r="G348" s="11">
        <v>-0.007093683</v>
      </c>
      <c r="H348" s="13">
        <v>-0.0071</v>
      </c>
      <c r="J348" s="15"/>
      <c r="K348" s="11"/>
      <c r="L348" s="11"/>
      <c r="M348" s="11"/>
      <c r="N348" s="11"/>
    </row>
    <row r="349" ht="15.75" customHeight="1">
      <c r="A349" s="35">
        <v>44815.0</v>
      </c>
      <c r="B349" s="11">
        <v>819.05</v>
      </c>
      <c r="C349" s="11">
        <v>-0.0044</v>
      </c>
      <c r="D349" s="13">
        <v>-0.0044</v>
      </c>
      <c r="E349" s="35">
        <v>44815.0</v>
      </c>
      <c r="F349" s="12">
        <v>18157.0</v>
      </c>
      <c r="G349" s="11">
        <v>-0.002516096</v>
      </c>
      <c r="H349" s="13">
        <v>-0.0025</v>
      </c>
      <c r="J349" s="15"/>
      <c r="K349" s="11"/>
      <c r="L349" s="11"/>
      <c r="M349" s="11"/>
      <c r="N349" s="11"/>
    </row>
    <row r="350" ht="15.75" customHeight="1">
      <c r="A350" s="35">
        <v>44753.0</v>
      </c>
      <c r="B350" s="11">
        <v>822.7</v>
      </c>
      <c r="C350" s="11">
        <v>0.0077</v>
      </c>
      <c r="D350" s="13">
        <v>0.0077</v>
      </c>
      <c r="E350" s="35">
        <v>44753.0</v>
      </c>
      <c r="F350" s="12">
        <v>18202.8</v>
      </c>
      <c r="G350" s="11">
        <v>0.004727565</v>
      </c>
      <c r="H350" s="13">
        <v>0.0047</v>
      </c>
      <c r="J350" s="15"/>
      <c r="K350" s="11"/>
      <c r="L350" s="11"/>
      <c r="M350" s="11"/>
      <c r="N350" s="11"/>
    </row>
    <row r="351" ht="15.75" customHeight="1">
      <c r="A351" s="35">
        <v>44662.0</v>
      </c>
      <c r="B351" s="11">
        <v>816.4</v>
      </c>
      <c r="C351" s="11">
        <v>-0.0027</v>
      </c>
      <c r="D351" s="13">
        <v>-0.0027</v>
      </c>
      <c r="E351" s="35">
        <v>44662.0</v>
      </c>
      <c r="F351" s="12">
        <v>18117.15</v>
      </c>
      <c r="G351" s="11">
        <v>0.003570103</v>
      </c>
      <c r="H351" s="13">
        <v>0.0036</v>
      </c>
      <c r="J351" s="15"/>
      <c r="K351" s="11"/>
      <c r="L351" s="11"/>
      <c r="M351" s="11"/>
      <c r="N351" s="11"/>
    </row>
    <row r="352" ht="15.75" customHeight="1">
      <c r="A352" s="35">
        <v>44631.0</v>
      </c>
      <c r="B352" s="11">
        <v>818.65</v>
      </c>
      <c r="C352" s="11">
        <v>0.0109</v>
      </c>
      <c r="D352" s="13">
        <v>0.0109</v>
      </c>
      <c r="E352" s="35">
        <v>44631.0</v>
      </c>
      <c r="F352" s="12">
        <v>18052.7</v>
      </c>
      <c r="G352" s="11">
        <v>-0.001667326</v>
      </c>
      <c r="H352" s="13">
        <v>-0.0017</v>
      </c>
      <c r="J352" s="15"/>
      <c r="K352" s="11"/>
      <c r="L352" s="11"/>
      <c r="M352" s="11"/>
      <c r="N352" s="11"/>
    </row>
    <row r="353" ht="15.75" customHeight="1">
      <c r="A353" s="35">
        <v>44603.0</v>
      </c>
      <c r="B353" s="11">
        <v>809.85</v>
      </c>
      <c r="C353" s="11">
        <v>-0.0308</v>
      </c>
      <c r="D353" s="13">
        <v>-0.0308</v>
      </c>
      <c r="E353" s="35">
        <v>44603.0</v>
      </c>
      <c r="F353" s="12">
        <v>18082.85</v>
      </c>
      <c r="G353" s="11">
        <v>-0.003447155</v>
      </c>
      <c r="H353" s="13">
        <v>-0.0034</v>
      </c>
      <c r="J353" s="15"/>
      <c r="K353" s="11"/>
      <c r="L353" s="11"/>
      <c r="M353" s="11"/>
      <c r="N353" s="11"/>
    </row>
    <row r="354" ht="15.75" customHeight="1">
      <c r="A354" s="35">
        <v>44572.0</v>
      </c>
      <c r="B354" s="11">
        <v>835.55</v>
      </c>
      <c r="C354" s="11">
        <v>0.0043</v>
      </c>
      <c r="D354" s="13">
        <v>0.0043</v>
      </c>
      <c r="E354" s="35">
        <v>44572.0</v>
      </c>
      <c r="F354" s="12">
        <v>18145.4</v>
      </c>
      <c r="G354" s="11">
        <v>0.007394988</v>
      </c>
      <c r="H354" s="13">
        <v>0.0074</v>
      </c>
      <c r="J354" s="15"/>
      <c r="K354" s="11"/>
      <c r="L354" s="11"/>
      <c r="M354" s="11"/>
      <c r="N354" s="11"/>
    </row>
    <row r="355" ht="15.75" customHeight="1">
      <c r="A355" s="11" t="s">
        <v>319</v>
      </c>
      <c r="B355" s="11">
        <v>832.0</v>
      </c>
      <c r="C355" s="11">
        <v>0.0185</v>
      </c>
      <c r="D355" s="13">
        <v>0.0185</v>
      </c>
      <c r="E355" s="11" t="s">
        <v>319</v>
      </c>
      <c r="F355" s="12">
        <v>18012.2</v>
      </c>
      <c r="G355" s="11">
        <v>0.012672319</v>
      </c>
      <c r="H355" s="13">
        <v>0.0127</v>
      </c>
      <c r="J355" s="15"/>
      <c r="K355" s="11"/>
      <c r="L355" s="11"/>
      <c r="M355" s="11"/>
      <c r="N355" s="11"/>
    </row>
    <row r="356" ht="15.75" customHeight="1">
      <c r="A356" s="11" t="s">
        <v>320</v>
      </c>
      <c r="B356" s="11">
        <v>816.85</v>
      </c>
      <c r="C356" s="11">
        <v>-3.0E-4</v>
      </c>
      <c r="D356" s="13">
        <v>-3.0E-4</v>
      </c>
      <c r="E356" s="11" t="s">
        <v>320</v>
      </c>
      <c r="F356" s="12">
        <v>17786.8</v>
      </c>
      <c r="G356" s="11">
        <v>0.002810517</v>
      </c>
      <c r="H356" s="13">
        <v>0.0028</v>
      </c>
      <c r="J356" s="15"/>
      <c r="K356" s="11"/>
      <c r="L356" s="11"/>
      <c r="M356" s="11"/>
      <c r="N356" s="11"/>
    </row>
    <row r="357" ht="15.75" customHeight="1">
      <c r="A357" s="11" t="s">
        <v>321</v>
      </c>
      <c r="B357" s="11">
        <v>817.1</v>
      </c>
      <c r="C357" s="11">
        <v>0.0184</v>
      </c>
      <c r="D357" s="13">
        <v>0.0184</v>
      </c>
      <c r="E357" s="11" t="s">
        <v>321</v>
      </c>
      <c r="F357" s="12">
        <v>17736.95</v>
      </c>
      <c r="G357" s="11">
        <v>0.00456493</v>
      </c>
      <c r="H357" s="13">
        <v>0.0046</v>
      </c>
      <c r="J357" s="15"/>
      <c r="K357" s="11"/>
      <c r="L357" s="11"/>
      <c r="M357" s="11"/>
      <c r="N357" s="11"/>
    </row>
    <row r="358" ht="15.75" customHeight="1">
      <c r="A358" s="11" t="s">
        <v>322</v>
      </c>
      <c r="B358" s="11">
        <v>802.3</v>
      </c>
      <c r="C358" s="11">
        <v>2.0E-4</v>
      </c>
      <c r="D358" s="13">
        <v>2.0E-4</v>
      </c>
      <c r="E358" s="11" t="s">
        <v>322</v>
      </c>
      <c r="F358" s="12">
        <v>17656.35</v>
      </c>
      <c r="G358" s="11">
        <v>-0.0041961</v>
      </c>
      <c r="H358" s="13">
        <v>-0.0042</v>
      </c>
      <c r="J358" s="15"/>
      <c r="K358" s="11"/>
      <c r="L358" s="11"/>
      <c r="M358" s="11"/>
      <c r="N358" s="11"/>
    </row>
    <row r="359" ht="15.75" customHeight="1">
      <c r="A359" s="11" t="s">
        <v>323</v>
      </c>
      <c r="B359" s="11">
        <v>802.1</v>
      </c>
      <c r="C359" s="11">
        <v>0.0058</v>
      </c>
      <c r="D359" s="13">
        <v>0.0058</v>
      </c>
      <c r="E359" s="11" t="s">
        <v>323</v>
      </c>
      <c r="F359" s="12">
        <v>17730.75</v>
      </c>
      <c r="G359" s="11">
        <v>0.008787401</v>
      </c>
      <c r="H359" s="13">
        <v>0.0088</v>
      </c>
      <c r="J359" s="15"/>
      <c r="K359" s="11"/>
      <c r="L359" s="11"/>
      <c r="M359" s="11"/>
      <c r="N359" s="11"/>
    </row>
    <row r="360" ht="15.75" customHeight="1">
      <c r="A360" s="11" t="s">
        <v>324</v>
      </c>
      <c r="B360" s="11">
        <v>797.45</v>
      </c>
      <c r="C360" s="11">
        <v>0.0057</v>
      </c>
      <c r="D360" s="13">
        <v>0.0057</v>
      </c>
      <c r="E360" s="11" t="s">
        <v>324</v>
      </c>
      <c r="F360" s="12">
        <v>17576.3</v>
      </c>
      <c r="G360" s="11">
        <v>7.03145E-4</v>
      </c>
      <c r="H360" s="13">
        <v>7.0E-4</v>
      </c>
      <c r="J360" s="15"/>
      <c r="K360" s="11"/>
      <c r="L360" s="11"/>
      <c r="M360" s="11"/>
      <c r="N360" s="11"/>
    </row>
    <row r="361" ht="15.75" customHeight="1">
      <c r="A361" s="11" t="s">
        <v>325</v>
      </c>
      <c r="B361" s="11">
        <v>792.9</v>
      </c>
      <c r="C361" s="11">
        <v>0.0121</v>
      </c>
      <c r="D361" s="13">
        <v>0.0121</v>
      </c>
      <c r="E361" s="11" t="s">
        <v>325</v>
      </c>
      <c r="F361" s="12">
        <v>17563.95</v>
      </c>
      <c r="G361" s="11">
        <v>0.002952219</v>
      </c>
      <c r="H361" s="13">
        <v>0.003</v>
      </c>
      <c r="J361" s="15"/>
      <c r="K361" s="11"/>
      <c r="L361" s="11"/>
      <c r="M361" s="11"/>
      <c r="N361" s="11"/>
    </row>
    <row r="362" ht="15.75" customHeight="1">
      <c r="A362" s="11" t="s">
        <v>326</v>
      </c>
      <c r="B362" s="11">
        <v>783.4</v>
      </c>
      <c r="C362" s="11">
        <v>3.0E-4</v>
      </c>
      <c r="D362" s="13">
        <v>3.0E-4</v>
      </c>
      <c r="E362" s="11" t="s">
        <v>326</v>
      </c>
      <c r="F362" s="12">
        <v>17512.25</v>
      </c>
      <c r="G362" s="11">
        <v>0.001446793</v>
      </c>
      <c r="H362" s="13">
        <v>0.0014</v>
      </c>
      <c r="J362" s="15"/>
      <c r="K362" s="11"/>
      <c r="L362" s="11"/>
      <c r="M362" s="11"/>
      <c r="N362" s="11"/>
    </row>
    <row r="363" ht="15.75" customHeight="1">
      <c r="A363" s="11" t="s">
        <v>327</v>
      </c>
      <c r="B363" s="11">
        <v>783.15</v>
      </c>
      <c r="C363" s="11">
        <v>0.0224</v>
      </c>
      <c r="D363" s="13">
        <v>0.0224</v>
      </c>
      <c r="E363" s="11" t="s">
        <v>327</v>
      </c>
      <c r="F363" s="12">
        <v>17486.95</v>
      </c>
      <c r="G363" s="11">
        <v>0.010117377</v>
      </c>
      <c r="H363" s="13">
        <v>0.0101</v>
      </c>
      <c r="J363" s="15"/>
      <c r="K363" s="11"/>
      <c r="L363" s="11"/>
      <c r="M363" s="11"/>
      <c r="N363" s="11"/>
    </row>
    <row r="364" ht="15.75" customHeight="1">
      <c r="A364" s="11" t="s">
        <v>328</v>
      </c>
      <c r="B364" s="11">
        <v>766.0</v>
      </c>
      <c r="C364" s="11">
        <v>1.0E-4</v>
      </c>
      <c r="D364" s="13">
        <v>1.0E-4</v>
      </c>
      <c r="E364" s="11" t="s">
        <v>328</v>
      </c>
      <c r="F364" s="12">
        <v>17311.8</v>
      </c>
      <c r="G364" s="11">
        <v>0.007337496</v>
      </c>
      <c r="H364" s="13">
        <v>0.0073</v>
      </c>
      <c r="J364" s="15"/>
      <c r="K364" s="11"/>
      <c r="L364" s="11"/>
      <c r="M364" s="11"/>
      <c r="N364" s="11"/>
    </row>
    <row r="365" ht="15.75" customHeight="1">
      <c r="A365" s="11" t="s">
        <v>329</v>
      </c>
      <c r="B365" s="11">
        <v>765.95</v>
      </c>
      <c r="C365" s="11">
        <v>-0.0038</v>
      </c>
      <c r="D365" s="13">
        <v>-0.0038</v>
      </c>
      <c r="E365" s="11" t="s">
        <v>329</v>
      </c>
      <c r="F365" s="12">
        <v>17185.7</v>
      </c>
      <c r="G365" s="11">
        <v>0.010070911</v>
      </c>
      <c r="H365" s="13">
        <v>0.0101</v>
      </c>
      <c r="J365" s="15"/>
      <c r="K365" s="11"/>
      <c r="L365" s="11"/>
      <c r="M365" s="11"/>
      <c r="N365" s="11"/>
    </row>
    <row r="366" ht="15.75" customHeight="1">
      <c r="A366" s="11" t="s">
        <v>330</v>
      </c>
      <c r="B366" s="11">
        <v>768.9</v>
      </c>
      <c r="C366" s="11">
        <v>-0.0086</v>
      </c>
      <c r="D366" s="13">
        <v>-0.0086</v>
      </c>
      <c r="E366" s="11" t="s">
        <v>330</v>
      </c>
      <c r="F366" s="12">
        <v>17014.35</v>
      </c>
      <c r="G366" s="11">
        <v>-0.006380084</v>
      </c>
      <c r="H366" s="13">
        <v>-0.0064</v>
      </c>
      <c r="J366" s="15"/>
      <c r="K366" s="11"/>
      <c r="L366" s="11"/>
      <c r="M366" s="11"/>
      <c r="N366" s="11"/>
    </row>
    <row r="367" ht="15.75" customHeight="1">
      <c r="A367" s="55">
        <v>44905.0</v>
      </c>
      <c r="B367" s="11">
        <v>775.55</v>
      </c>
      <c r="C367" s="11">
        <v>-0.0061</v>
      </c>
      <c r="D367" s="13">
        <v>-0.0061</v>
      </c>
      <c r="E367" s="55">
        <v>44905.0</v>
      </c>
      <c r="F367" s="12">
        <v>17123.6</v>
      </c>
      <c r="G367" s="11">
        <v>0.008246215</v>
      </c>
      <c r="H367" s="13">
        <v>0.0082</v>
      </c>
      <c r="J367" s="15"/>
      <c r="K367" s="11"/>
      <c r="L367" s="11"/>
      <c r="M367" s="11"/>
      <c r="N367" s="11"/>
    </row>
    <row r="368" ht="15.75" customHeight="1">
      <c r="A368" s="55">
        <v>44875.0</v>
      </c>
      <c r="B368" s="11">
        <v>780.3</v>
      </c>
      <c r="C368" s="11">
        <v>-0.0152</v>
      </c>
      <c r="D368" s="13">
        <v>-0.0152</v>
      </c>
      <c r="E368" s="55">
        <v>44875.0</v>
      </c>
      <c r="F368" s="12">
        <v>16983.55</v>
      </c>
      <c r="G368" s="11">
        <v>-0.014932429</v>
      </c>
      <c r="H368" s="13">
        <v>-0.0149</v>
      </c>
      <c r="J368" s="15"/>
      <c r="K368" s="11"/>
      <c r="L368" s="11"/>
      <c r="M368" s="11"/>
      <c r="N368" s="11"/>
    </row>
    <row r="369" ht="15.75" customHeight="1">
      <c r="A369" s="55">
        <v>44844.0</v>
      </c>
      <c r="B369" s="11">
        <v>792.35</v>
      </c>
      <c r="C369" s="11">
        <v>-9.0E-4</v>
      </c>
      <c r="D369" s="13">
        <v>-9.0E-4</v>
      </c>
      <c r="E369" s="55">
        <v>44844.0</v>
      </c>
      <c r="F369" s="12">
        <v>17241.0</v>
      </c>
      <c r="G369" s="11">
        <v>-0.004253623</v>
      </c>
      <c r="H369" s="13">
        <v>-0.0043</v>
      </c>
      <c r="J369" s="15"/>
      <c r="K369" s="11"/>
      <c r="L369" s="11"/>
      <c r="M369" s="11"/>
      <c r="N369" s="11"/>
    </row>
    <row r="370" ht="15.75" customHeight="1">
      <c r="A370" s="35">
        <v>44752.0</v>
      </c>
      <c r="B370" s="11">
        <v>793.1</v>
      </c>
      <c r="C370" s="11">
        <v>0.0057</v>
      </c>
      <c r="D370" s="13">
        <v>0.0057</v>
      </c>
      <c r="E370" s="35">
        <v>44752.0</v>
      </c>
      <c r="F370" s="12">
        <v>17314.65</v>
      </c>
      <c r="G370" s="11">
        <v>-9.89511E-4</v>
      </c>
      <c r="H370" s="13">
        <v>-0.001</v>
      </c>
      <c r="J370" s="15"/>
      <c r="K370" s="11"/>
      <c r="L370" s="11"/>
      <c r="M370" s="11"/>
      <c r="N370" s="11"/>
    </row>
    <row r="371" ht="15.75" customHeight="1">
      <c r="A371" s="35">
        <v>44722.0</v>
      </c>
      <c r="B371" s="11">
        <v>788.6</v>
      </c>
      <c r="C371" s="11">
        <v>-0.0249</v>
      </c>
      <c r="D371" s="13">
        <v>-0.0249</v>
      </c>
      <c r="E371" s="35">
        <v>44722.0</v>
      </c>
      <c r="F371" s="12">
        <v>17331.8</v>
      </c>
      <c r="G371" s="11">
        <v>0.003328644</v>
      </c>
      <c r="H371" s="13">
        <v>0.0033</v>
      </c>
      <c r="J371" s="15"/>
      <c r="K371" s="11"/>
      <c r="L371" s="11"/>
      <c r="M371" s="11"/>
      <c r="N371" s="11"/>
    </row>
    <row r="372" ht="15.75" customHeight="1">
      <c r="A372" s="35">
        <v>44661.0</v>
      </c>
      <c r="B372" s="11">
        <v>808.7</v>
      </c>
      <c r="C372" s="11">
        <v>0.0067</v>
      </c>
      <c r="D372" s="13">
        <v>0.0067</v>
      </c>
      <c r="E372" s="35">
        <v>44661.0</v>
      </c>
      <c r="F372" s="12">
        <v>17274.3</v>
      </c>
      <c r="G372" s="11">
        <v>0.022913601</v>
      </c>
      <c r="H372" s="13">
        <v>0.0229</v>
      </c>
      <c r="J372" s="15"/>
      <c r="K372" s="11"/>
      <c r="L372" s="11"/>
      <c r="M372" s="11"/>
      <c r="N372" s="11"/>
    </row>
    <row r="373" ht="15.75" customHeight="1">
      <c r="A373" s="35">
        <v>44630.0</v>
      </c>
      <c r="B373" s="11">
        <v>803.35</v>
      </c>
      <c r="C373" s="11">
        <v>0.0043</v>
      </c>
      <c r="D373" s="13">
        <v>0.0043</v>
      </c>
      <c r="E373" s="35">
        <v>44630.0</v>
      </c>
      <c r="F373" s="12">
        <v>16887.35</v>
      </c>
      <c r="G373" s="11">
        <v>-0.012109264</v>
      </c>
      <c r="H373" s="13">
        <v>-0.0121</v>
      </c>
      <c r="J373" s="15"/>
      <c r="K373" s="11"/>
      <c r="L373" s="11"/>
      <c r="M373" s="11"/>
      <c r="N373" s="11"/>
    </row>
    <row r="374" ht="15.75" customHeight="1">
      <c r="A374" s="11" t="s">
        <v>331</v>
      </c>
      <c r="B374" s="11">
        <v>799.9</v>
      </c>
      <c r="C374" s="11">
        <v>0.0461</v>
      </c>
      <c r="D374" s="13">
        <v>0.0461</v>
      </c>
      <c r="E374" s="11" t="s">
        <v>331</v>
      </c>
      <c r="F374" s="12">
        <v>17094.35</v>
      </c>
      <c r="G374" s="11">
        <v>0.016425756</v>
      </c>
      <c r="H374" s="13">
        <v>0.0164</v>
      </c>
      <c r="J374" s="15"/>
      <c r="K374" s="11"/>
      <c r="L374" s="11"/>
      <c r="M374" s="11"/>
      <c r="N374" s="11"/>
    </row>
    <row r="375" ht="15.75" customHeight="1">
      <c r="A375" s="11" t="s">
        <v>332</v>
      </c>
      <c r="B375" s="11">
        <v>764.65</v>
      </c>
      <c r="C375" s="11">
        <v>0.0042</v>
      </c>
      <c r="D375" s="13">
        <v>0.0042</v>
      </c>
      <c r="E375" s="11" t="s">
        <v>332</v>
      </c>
      <c r="F375" s="12">
        <v>16818.1</v>
      </c>
      <c r="G375" s="11">
        <v>-0.002402335</v>
      </c>
      <c r="H375" s="13">
        <v>-0.0024</v>
      </c>
      <c r="J375" s="15"/>
      <c r="K375" s="11"/>
      <c r="L375" s="11"/>
      <c r="M375" s="11"/>
      <c r="N375" s="11"/>
    </row>
    <row r="376" ht="15.75" customHeight="1">
      <c r="A376" s="11" t="s">
        <v>333</v>
      </c>
      <c r="B376" s="11">
        <v>761.45</v>
      </c>
      <c r="C376" s="11">
        <v>0.0011</v>
      </c>
      <c r="D376" s="13">
        <v>0.0011</v>
      </c>
      <c r="E376" s="11" t="s">
        <v>333</v>
      </c>
      <c r="F376" s="12">
        <v>16858.6</v>
      </c>
      <c r="G376" s="11">
        <v>-0.008749133</v>
      </c>
      <c r="H376" s="13">
        <v>-0.0087</v>
      </c>
      <c r="J376" s="15"/>
      <c r="K376" s="11"/>
      <c r="L376" s="11"/>
      <c r="M376" s="11"/>
      <c r="N376" s="11"/>
    </row>
    <row r="377" ht="15.75" customHeight="1">
      <c r="A377" s="11" t="s">
        <v>334</v>
      </c>
      <c r="B377" s="11">
        <v>760.6</v>
      </c>
      <c r="C377" s="11">
        <v>0.0074</v>
      </c>
      <c r="D377" s="13">
        <v>0.0074</v>
      </c>
      <c r="E377" s="11" t="s">
        <v>334</v>
      </c>
      <c r="F377" s="12">
        <v>17007.4</v>
      </c>
      <c r="G377" s="11">
        <v>-5.23028E-4</v>
      </c>
      <c r="H377" s="13">
        <v>-5.0E-4</v>
      </c>
      <c r="J377" s="15"/>
      <c r="K377" s="11"/>
      <c r="L377" s="11"/>
      <c r="M377" s="11"/>
      <c r="N377" s="11"/>
    </row>
    <row r="378" ht="15.75" customHeight="1">
      <c r="A378" s="11" t="s">
        <v>335</v>
      </c>
      <c r="B378" s="11">
        <v>755.05</v>
      </c>
      <c r="C378" s="11">
        <v>-0.0211</v>
      </c>
      <c r="D378" s="13">
        <v>-0.0211</v>
      </c>
      <c r="E378" s="11" t="s">
        <v>335</v>
      </c>
      <c r="F378" s="12">
        <v>17016.3</v>
      </c>
      <c r="G378" s="11">
        <v>-0.017951389</v>
      </c>
      <c r="H378" s="13">
        <v>-0.018</v>
      </c>
      <c r="J378" s="15"/>
      <c r="K378" s="11"/>
      <c r="L378" s="11"/>
      <c r="M378" s="11"/>
      <c r="N378" s="11"/>
    </row>
    <row r="379" ht="15.75" customHeight="1">
      <c r="A379" s="11" t="s">
        <v>336</v>
      </c>
      <c r="B379" s="11">
        <v>771.35</v>
      </c>
      <c r="C379" s="11">
        <v>-0.0163</v>
      </c>
      <c r="D379" s="13">
        <v>-0.0163</v>
      </c>
      <c r="E379" s="11" t="s">
        <v>336</v>
      </c>
      <c r="F379" s="12">
        <v>17327.35</v>
      </c>
      <c r="G379" s="11">
        <v>-0.017155612</v>
      </c>
      <c r="H379" s="13">
        <v>-0.0172</v>
      </c>
      <c r="J379" s="15"/>
      <c r="K379" s="11"/>
      <c r="L379" s="11"/>
      <c r="M379" s="11"/>
      <c r="N379" s="11"/>
    </row>
    <row r="380" ht="15.75" customHeight="1">
      <c r="A380" s="11" t="s">
        <v>337</v>
      </c>
      <c r="B380" s="11">
        <v>784.1</v>
      </c>
      <c r="C380" s="11">
        <v>0.005</v>
      </c>
      <c r="D380" s="13">
        <v>0.005</v>
      </c>
      <c r="E380" s="11" t="s">
        <v>337</v>
      </c>
      <c r="F380" s="12">
        <v>17629.8</v>
      </c>
      <c r="G380" s="11">
        <v>-0.004997644</v>
      </c>
      <c r="H380" s="13">
        <v>-0.005</v>
      </c>
      <c r="J380" s="15"/>
      <c r="K380" s="11"/>
      <c r="L380" s="11"/>
      <c r="M380" s="11"/>
      <c r="N380" s="11"/>
    </row>
    <row r="381" ht="15.75" customHeight="1">
      <c r="A381" s="11" t="s">
        <v>338</v>
      </c>
      <c r="B381" s="11">
        <v>780.2</v>
      </c>
      <c r="C381" s="11">
        <v>-0.0151</v>
      </c>
      <c r="D381" s="13">
        <v>-0.0151</v>
      </c>
      <c r="E381" s="11" t="s">
        <v>338</v>
      </c>
      <c r="F381" s="12">
        <v>17718.35</v>
      </c>
      <c r="G381" s="11">
        <v>-0.005494984</v>
      </c>
      <c r="H381" s="13">
        <v>-0.0055</v>
      </c>
      <c r="J381" s="15"/>
      <c r="K381" s="11"/>
      <c r="L381" s="11"/>
      <c r="M381" s="11"/>
      <c r="N381" s="11"/>
    </row>
    <row r="382" ht="15.75" customHeight="1">
      <c r="A382" s="11" t="s">
        <v>339</v>
      </c>
      <c r="B382" s="11">
        <v>792.15</v>
      </c>
      <c r="C382" s="11">
        <v>0.012</v>
      </c>
      <c r="D382" s="13">
        <v>0.012</v>
      </c>
      <c r="E382" s="11" t="s">
        <v>339</v>
      </c>
      <c r="F382" s="12">
        <v>17816.25</v>
      </c>
      <c r="G382" s="11">
        <v>0.01100881</v>
      </c>
      <c r="H382" s="13">
        <v>0.011</v>
      </c>
      <c r="J382" s="15"/>
      <c r="K382" s="11"/>
      <c r="L382" s="11"/>
      <c r="M382" s="11"/>
      <c r="N382" s="11"/>
    </row>
    <row r="383" ht="15.75" customHeight="1">
      <c r="A383" s="11" t="s">
        <v>340</v>
      </c>
      <c r="B383" s="11">
        <v>782.75</v>
      </c>
      <c r="C383" s="11">
        <v>0.004</v>
      </c>
      <c r="D383" s="13">
        <v>0.004</v>
      </c>
      <c r="E383" s="11" t="s">
        <v>340</v>
      </c>
      <c r="F383" s="12">
        <v>17622.25</v>
      </c>
      <c r="G383" s="11">
        <v>0.005213666</v>
      </c>
      <c r="H383" s="13">
        <v>0.0052</v>
      </c>
      <c r="J383" s="15"/>
      <c r="K383" s="11"/>
      <c r="L383" s="11"/>
      <c r="M383" s="11"/>
      <c r="N383" s="11"/>
    </row>
    <row r="384" ht="15.75" customHeight="1">
      <c r="A384" s="11" t="s">
        <v>341</v>
      </c>
      <c r="B384" s="11">
        <v>779.65</v>
      </c>
      <c r="C384" s="11">
        <v>-0.0069</v>
      </c>
      <c r="D384" s="13">
        <v>-0.0069</v>
      </c>
      <c r="E384" s="11" t="s">
        <v>341</v>
      </c>
      <c r="F384" s="12">
        <v>17530.85</v>
      </c>
      <c r="G384" s="11">
        <v>-0.01938481</v>
      </c>
      <c r="H384" s="13">
        <v>-0.0194</v>
      </c>
      <c r="J384" s="15"/>
      <c r="K384" s="11"/>
      <c r="L384" s="11"/>
      <c r="M384" s="11"/>
      <c r="N384" s="11"/>
    </row>
    <row r="385" ht="15.75" customHeight="1">
      <c r="A385" s="11" t="s">
        <v>342</v>
      </c>
      <c r="B385" s="11">
        <v>785.1</v>
      </c>
      <c r="C385" s="11">
        <v>0.0022</v>
      </c>
      <c r="D385" s="13">
        <v>0.0022</v>
      </c>
      <c r="E385" s="11" t="s">
        <v>342</v>
      </c>
      <c r="F385" s="12">
        <v>17877.4</v>
      </c>
      <c r="G385" s="11">
        <v>-0.007017982</v>
      </c>
      <c r="H385" s="13">
        <v>-0.007</v>
      </c>
      <c r="J385" s="15"/>
      <c r="K385" s="11"/>
      <c r="L385" s="11"/>
      <c r="M385" s="11"/>
      <c r="N385" s="11"/>
    </row>
    <row r="386" ht="15.75" customHeight="1">
      <c r="A386" s="11" t="s">
        <v>343</v>
      </c>
      <c r="B386" s="11">
        <v>783.35</v>
      </c>
      <c r="C386" s="11">
        <v>-0.0011</v>
      </c>
      <c r="D386" s="13">
        <v>-0.0011</v>
      </c>
      <c r="E386" s="11" t="s">
        <v>343</v>
      </c>
      <c r="F386" s="12">
        <v>18003.75</v>
      </c>
      <c r="G386" s="11">
        <v>-0.003669055</v>
      </c>
      <c r="H386" s="13">
        <v>-0.0037</v>
      </c>
      <c r="J386" s="15"/>
      <c r="K386" s="11"/>
      <c r="L386" s="11"/>
      <c r="M386" s="11"/>
      <c r="N386" s="11"/>
    </row>
    <row r="387" ht="15.75" customHeight="1">
      <c r="A387" s="11" t="s">
        <v>344</v>
      </c>
      <c r="B387" s="11">
        <v>784.25</v>
      </c>
      <c r="C387" s="11">
        <v>0.0196</v>
      </c>
      <c r="D387" s="13">
        <v>0.0196</v>
      </c>
      <c r="E387" s="11" t="s">
        <v>344</v>
      </c>
      <c r="F387" s="12">
        <v>18070.05</v>
      </c>
      <c r="G387" s="11">
        <v>0.007454136</v>
      </c>
      <c r="H387" s="13">
        <v>0.0075</v>
      </c>
      <c r="J387" s="15"/>
      <c r="K387" s="11"/>
      <c r="L387" s="11"/>
      <c r="M387" s="11"/>
      <c r="N387" s="11"/>
    </row>
    <row r="388" ht="15.75" customHeight="1">
      <c r="A388" s="35">
        <v>44904.0</v>
      </c>
      <c r="B388" s="11">
        <v>769.15</v>
      </c>
      <c r="C388" s="11">
        <v>0.0044</v>
      </c>
      <c r="D388" s="13">
        <v>0.0044</v>
      </c>
      <c r="E388" s="35">
        <v>44904.0</v>
      </c>
      <c r="F388" s="12">
        <v>17936.35</v>
      </c>
      <c r="G388" s="11">
        <v>0.005775696</v>
      </c>
      <c r="H388" s="13">
        <v>0.0058</v>
      </c>
      <c r="J388" s="15"/>
      <c r="K388" s="11"/>
      <c r="L388" s="11"/>
      <c r="M388" s="11"/>
      <c r="N388" s="11"/>
    </row>
    <row r="389" ht="15.75" customHeight="1">
      <c r="A389" s="35">
        <v>44813.0</v>
      </c>
      <c r="B389" s="11">
        <v>765.75</v>
      </c>
      <c r="C389" s="11">
        <v>-0.0053</v>
      </c>
      <c r="D389" s="13">
        <v>-0.0053</v>
      </c>
      <c r="E389" s="35">
        <v>44813.0</v>
      </c>
      <c r="F389" s="12">
        <v>17833.35</v>
      </c>
      <c r="G389" s="11">
        <v>0.001943957</v>
      </c>
      <c r="H389" s="13">
        <v>0.0019</v>
      </c>
      <c r="J389" s="15"/>
      <c r="K389" s="11"/>
      <c r="L389" s="11"/>
      <c r="M389" s="11"/>
      <c r="N389" s="11"/>
    </row>
    <row r="390" ht="15.75" customHeight="1">
      <c r="A390" s="35">
        <v>44782.0</v>
      </c>
      <c r="B390" s="11">
        <v>769.8</v>
      </c>
      <c r="C390" s="11">
        <v>0.0222</v>
      </c>
      <c r="D390" s="13">
        <v>0.0222</v>
      </c>
      <c r="E390" s="35">
        <v>44782.0</v>
      </c>
      <c r="F390" s="12">
        <v>17798.75</v>
      </c>
      <c r="G390" s="11">
        <v>0.009892535</v>
      </c>
      <c r="H390" s="13">
        <v>0.0099</v>
      </c>
      <c r="J390" s="15"/>
      <c r="K390" s="11"/>
      <c r="L390" s="11"/>
      <c r="M390" s="11"/>
      <c r="N390" s="11"/>
    </row>
    <row r="391" ht="15.75" customHeight="1">
      <c r="A391" s="35">
        <v>44751.0</v>
      </c>
      <c r="B391" s="11">
        <v>753.1</v>
      </c>
      <c r="C391" s="11">
        <v>-0.0107</v>
      </c>
      <c r="D391" s="13">
        <v>-0.0107</v>
      </c>
      <c r="E391" s="35">
        <v>44751.0</v>
      </c>
      <c r="F391" s="12">
        <v>17624.4</v>
      </c>
      <c r="G391" s="11">
        <v>-0.001767145</v>
      </c>
      <c r="H391" s="13">
        <v>-0.0018</v>
      </c>
      <c r="J391" s="15"/>
      <c r="K391" s="11"/>
      <c r="L391" s="11"/>
      <c r="M391" s="11"/>
      <c r="N391" s="11"/>
    </row>
    <row r="392" ht="15.75" customHeight="1">
      <c r="A392" s="35">
        <v>44721.0</v>
      </c>
      <c r="B392" s="11">
        <v>761.25</v>
      </c>
      <c r="C392" s="11">
        <v>0.0282</v>
      </c>
      <c r="D392" s="13">
        <v>0.0282</v>
      </c>
      <c r="E392" s="35">
        <v>44721.0</v>
      </c>
      <c r="F392" s="12">
        <v>17655.6</v>
      </c>
      <c r="G392" s="11">
        <v>-5.77387E-4</v>
      </c>
      <c r="H392" s="13">
        <v>-6.0E-4</v>
      </c>
      <c r="J392" s="15"/>
      <c r="K392" s="11"/>
      <c r="L392" s="11"/>
      <c r="M392" s="11"/>
      <c r="N392" s="11"/>
    </row>
    <row r="393" ht="15.75" customHeight="1">
      <c r="A393" s="35">
        <v>44690.0</v>
      </c>
      <c r="B393" s="11">
        <v>740.4</v>
      </c>
      <c r="C393" s="11">
        <v>0.0073</v>
      </c>
      <c r="D393" s="13">
        <v>0.0073</v>
      </c>
      <c r="E393" s="35">
        <v>44690.0</v>
      </c>
      <c r="F393" s="12">
        <v>17665.8</v>
      </c>
      <c r="G393" s="11">
        <v>0.007203761</v>
      </c>
      <c r="H393" s="13">
        <v>0.0072</v>
      </c>
      <c r="J393" s="15"/>
      <c r="K393" s="11"/>
      <c r="L393" s="11"/>
      <c r="M393" s="11"/>
      <c r="N393" s="11"/>
    </row>
    <row r="394" ht="15.75" customHeight="1">
      <c r="A394" s="35">
        <v>44601.0</v>
      </c>
      <c r="B394" s="11">
        <v>735.0</v>
      </c>
      <c r="C394" s="11">
        <v>-1.0E-4</v>
      </c>
      <c r="D394" s="13">
        <v>-1.0E-4</v>
      </c>
      <c r="E394" s="35">
        <v>44601.0</v>
      </c>
      <c r="F394" s="12">
        <v>17539.45</v>
      </c>
      <c r="G394" s="11">
        <v>-1.90962E-4</v>
      </c>
      <c r="H394" s="13">
        <v>-2.0E-4</v>
      </c>
      <c r="J394" s="15"/>
      <c r="K394" s="11"/>
      <c r="L394" s="11"/>
      <c r="M394" s="11"/>
      <c r="N394" s="11"/>
    </row>
    <row r="395" ht="15.75" customHeight="1">
      <c r="A395" s="35">
        <v>44570.0</v>
      </c>
      <c r="B395" s="11">
        <v>735.05</v>
      </c>
      <c r="C395" s="11">
        <v>0.0116</v>
      </c>
      <c r="D395" s="13">
        <v>0.0116</v>
      </c>
      <c r="E395" s="35">
        <v>44570.0</v>
      </c>
      <c r="F395" s="12">
        <v>17542.8</v>
      </c>
      <c r="G395" s="11">
        <v>-0.012190796</v>
      </c>
      <c r="H395" s="13">
        <v>-0.0122</v>
      </c>
      <c r="J395" s="15"/>
      <c r="K395" s="11"/>
      <c r="L395" s="11"/>
      <c r="M395" s="11"/>
      <c r="N395" s="11"/>
    </row>
    <row r="396" ht="15.75" customHeight="1">
      <c r="A396" s="11" t="s">
        <v>345</v>
      </c>
      <c r="B396" s="11">
        <v>726.6</v>
      </c>
      <c r="C396" s="11">
        <v>0.0083</v>
      </c>
      <c r="D396" s="13">
        <v>0.0083</v>
      </c>
      <c r="E396" s="11" t="s">
        <v>345</v>
      </c>
      <c r="F396" s="12">
        <v>17759.3</v>
      </c>
      <c r="G396" s="11">
        <v>0.025784242</v>
      </c>
      <c r="H396" s="13">
        <v>0.0258</v>
      </c>
      <c r="J396" s="15"/>
      <c r="K396" s="11"/>
      <c r="L396" s="11"/>
      <c r="M396" s="11"/>
      <c r="N396" s="11"/>
    </row>
    <row r="397" ht="15.75" customHeight="1">
      <c r="A397" s="11" t="s">
        <v>346</v>
      </c>
      <c r="B397" s="11">
        <v>720.6</v>
      </c>
      <c r="C397" s="11">
        <v>-0.014</v>
      </c>
      <c r="D397" s="13">
        <v>-0.014</v>
      </c>
      <c r="E397" s="11" t="s">
        <v>346</v>
      </c>
      <c r="F397" s="12">
        <v>17312.9</v>
      </c>
      <c r="G397" s="11">
        <v>-0.014009989</v>
      </c>
      <c r="H397" s="13">
        <v>-0.014</v>
      </c>
      <c r="J397" s="15"/>
      <c r="K397" s="11"/>
      <c r="L397" s="11"/>
      <c r="M397" s="11"/>
      <c r="N397" s="11"/>
    </row>
    <row r="398" ht="15.75" customHeight="1">
      <c r="A398" s="11" t="s">
        <v>347</v>
      </c>
      <c r="B398" s="11">
        <v>730.85</v>
      </c>
      <c r="C398" s="11">
        <v>-0.0137</v>
      </c>
      <c r="D398" s="13">
        <v>-0.0137</v>
      </c>
      <c r="E398" s="11" t="s">
        <v>347</v>
      </c>
      <c r="F398" s="12">
        <v>17558.9</v>
      </c>
      <c r="G398" s="11">
        <v>0.002080189</v>
      </c>
      <c r="H398" s="13">
        <v>0.0021</v>
      </c>
      <c r="J398" s="15"/>
      <c r="K398" s="11"/>
      <c r="L398" s="11"/>
      <c r="M398" s="11"/>
      <c r="N398" s="11"/>
    </row>
    <row r="399" ht="15.75" customHeight="1">
      <c r="A399" s="11" t="s">
        <v>348</v>
      </c>
      <c r="B399" s="11">
        <v>741.0</v>
      </c>
      <c r="C399" s="11">
        <v>0.003</v>
      </c>
      <c r="D399" s="13">
        <v>0.003</v>
      </c>
      <c r="E399" s="11" t="s">
        <v>348</v>
      </c>
      <c r="F399" s="12">
        <v>17522.45</v>
      </c>
      <c r="G399" s="11">
        <v>-0.004686182</v>
      </c>
      <c r="H399" s="13">
        <v>-0.0047</v>
      </c>
      <c r="J399" s="15"/>
      <c r="K399" s="11"/>
      <c r="L399" s="11"/>
      <c r="M399" s="11"/>
      <c r="N399" s="11"/>
    </row>
    <row r="400" ht="15.75" customHeight="1">
      <c r="A400" s="11" t="s">
        <v>349</v>
      </c>
      <c r="B400" s="11">
        <v>738.75</v>
      </c>
      <c r="C400" s="11">
        <v>0.0016</v>
      </c>
      <c r="D400" s="13">
        <v>0.0016</v>
      </c>
      <c r="E400" s="11" t="s">
        <v>349</v>
      </c>
      <c r="F400" s="12">
        <v>17604.95</v>
      </c>
      <c r="G400" s="11">
        <v>0.001561656</v>
      </c>
      <c r="H400" s="13">
        <v>0.0016</v>
      </c>
      <c r="J400" s="15"/>
      <c r="K400" s="11"/>
      <c r="L400" s="11"/>
      <c r="M400" s="11"/>
      <c r="N400" s="11"/>
    </row>
    <row r="401" ht="15.75" customHeight="1">
      <c r="A401" s="11" t="s">
        <v>350</v>
      </c>
      <c r="B401" s="11">
        <v>737.6</v>
      </c>
      <c r="C401" s="11">
        <v>0.0137</v>
      </c>
      <c r="D401" s="13">
        <v>0.0137</v>
      </c>
      <c r="E401" s="11" t="s">
        <v>350</v>
      </c>
      <c r="F401" s="12">
        <v>17577.5</v>
      </c>
      <c r="G401" s="11">
        <v>0.004962637</v>
      </c>
      <c r="H401" s="13">
        <v>0.005</v>
      </c>
      <c r="J401" s="15"/>
      <c r="K401" s="11"/>
      <c r="L401" s="11"/>
      <c r="M401" s="11"/>
      <c r="N401" s="11"/>
    </row>
    <row r="402" ht="15.75" customHeight="1">
      <c r="A402" s="11" t="s">
        <v>351</v>
      </c>
      <c r="B402" s="11">
        <v>727.6</v>
      </c>
      <c r="C402" s="11">
        <v>-0.0064</v>
      </c>
      <c r="D402" s="13">
        <v>-0.0064</v>
      </c>
      <c r="E402" s="11" t="s">
        <v>351</v>
      </c>
      <c r="F402" s="12">
        <v>17490.7</v>
      </c>
      <c r="G402" s="11">
        <v>-0.015077329</v>
      </c>
      <c r="H402" s="13">
        <v>-0.0151</v>
      </c>
      <c r="J402" s="15"/>
      <c r="K402" s="11"/>
      <c r="L402" s="11"/>
      <c r="M402" s="11"/>
      <c r="N402" s="11"/>
    </row>
    <row r="403" ht="15.75" customHeight="1">
      <c r="A403" s="11" t="s">
        <v>352</v>
      </c>
      <c r="B403" s="11">
        <v>732.3</v>
      </c>
      <c r="C403" s="11">
        <v>-0.0012</v>
      </c>
      <c r="D403" s="13">
        <v>-0.0012</v>
      </c>
      <c r="E403" s="11" t="s">
        <v>352</v>
      </c>
      <c r="F403" s="12">
        <v>17758.45</v>
      </c>
      <c r="G403" s="11">
        <v>-0.011029432</v>
      </c>
      <c r="H403" s="13">
        <v>-0.011</v>
      </c>
      <c r="J403" s="15"/>
      <c r="K403" s="11"/>
      <c r="L403" s="11"/>
      <c r="M403" s="11"/>
      <c r="N403" s="11"/>
    </row>
    <row r="404" ht="15.75" customHeight="1">
      <c r="A404" s="11" t="s">
        <v>353</v>
      </c>
      <c r="B404" s="11">
        <v>733.2</v>
      </c>
      <c r="C404" s="11">
        <v>0.0142</v>
      </c>
      <c r="D404" s="13">
        <v>0.0142</v>
      </c>
      <c r="E404" s="11" t="s">
        <v>353</v>
      </c>
      <c r="F404" s="12">
        <v>17956.5</v>
      </c>
      <c r="G404" s="11">
        <v>6.8267E-4</v>
      </c>
      <c r="H404" s="13">
        <v>7.0E-4</v>
      </c>
      <c r="J404" s="15"/>
      <c r="K404" s="11"/>
      <c r="L404" s="11"/>
      <c r="M404" s="11"/>
      <c r="N404" s="11"/>
    </row>
    <row r="405" ht="15.75" customHeight="1">
      <c r="A405" s="11" t="s">
        <v>354</v>
      </c>
      <c r="B405" s="11">
        <v>722.95</v>
      </c>
      <c r="C405" s="11">
        <v>0.0268</v>
      </c>
      <c r="D405" s="13">
        <v>0.0268</v>
      </c>
      <c r="E405" s="11" t="s">
        <v>354</v>
      </c>
      <c r="F405" s="12">
        <v>17944.25</v>
      </c>
      <c r="G405" s="11">
        <v>0.006675923</v>
      </c>
      <c r="H405" s="13">
        <v>0.0067</v>
      </c>
      <c r="J405" s="15"/>
      <c r="K405" s="11"/>
      <c r="L405" s="11"/>
      <c r="M405" s="11"/>
      <c r="N405" s="11"/>
    </row>
    <row r="406" ht="15.75" customHeight="1">
      <c r="A406" s="11" t="s">
        <v>355</v>
      </c>
      <c r="B406" s="11">
        <v>704.1</v>
      </c>
      <c r="C406" s="11">
        <v>-0.0079</v>
      </c>
      <c r="D406" s="13">
        <v>-0.0079</v>
      </c>
      <c r="E406" s="11" t="s">
        <v>355</v>
      </c>
      <c r="F406" s="12">
        <v>17825.25</v>
      </c>
      <c r="G406" s="11">
        <v>0.007181542</v>
      </c>
      <c r="H406" s="13">
        <v>0.0072</v>
      </c>
      <c r="J406" s="15"/>
      <c r="K406" s="11"/>
      <c r="L406" s="11"/>
      <c r="M406" s="11"/>
      <c r="N406" s="11"/>
    </row>
    <row r="407" ht="15.75" customHeight="1">
      <c r="A407" s="35">
        <v>44903.0</v>
      </c>
      <c r="B407" s="11">
        <v>709.7</v>
      </c>
      <c r="C407" s="11">
        <v>-1.0E-4</v>
      </c>
      <c r="D407" s="13">
        <v>-1.0E-4</v>
      </c>
      <c r="E407" s="35">
        <v>44903.0</v>
      </c>
      <c r="F407" s="12">
        <v>17698.15</v>
      </c>
      <c r="G407" s="11">
        <v>0.002217</v>
      </c>
      <c r="H407" s="13">
        <v>0.0022</v>
      </c>
      <c r="J407" s="15"/>
      <c r="K407" s="11"/>
      <c r="L407" s="11"/>
      <c r="M407" s="11"/>
      <c r="N407" s="11"/>
    </row>
    <row r="408" ht="15.75" customHeight="1">
      <c r="A408" s="35">
        <v>44873.0</v>
      </c>
      <c r="B408" s="11">
        <v>709.8</v>
      </c>
      <c r="C408" s="11">
        <v>-0.0076</v>
      </c>
      <c r="D408" s="13">
        <v>-0.0076</v>
      </c>
      <c r="E408" s="35">
        <v>44873.0</v>
      </c>
      <c r="F408" s="12">
        <v>17659.0</v>
      </c>
      <c r="G408" s="11">
        <v>0.007085929</v>
      </c>
      <c r="H408" s="13">
        <v>0.0071</v>
      </c>
      <c r="J408" s="15"/>
      <c r="K408" s="11"/>
      <c r="L408" s="11"/>
      <c r="M408" s="11"/>
      <c r="N408" s="11"/>
    </row>
    <row r="409" ht="15.75" customHeight="1">
      <c r="A409" s="35">
        <v>44842.0</v>
      </c>
      <c r="B409" s="11">
        <v>715.25</v>
      </c>
      <c r="C409" s="11">
        <v>0.0155</v>
      </c>
      <c r="D409" s="13">
        <v>0.0155</v>
      </c>
      <c r="E409" s="35">
        <v>44842.0</v>
      </c>
      <c r="F409" s="12">
        <v>17534.75</v>
      </c>
      <c r="G409" s="11">
        <v>5.50639E-4</v>
      </c>
      <c r="H409" s="13">
        <v>6.0E-4</v>
      </c>
      <c r="J409" s="15"/>
      <c r="K409" s="11"/>
      <c r="L409" s="11"/>
      <c r="M409" s="11"/>
      <c r="N409" s="11"/>
    </row>
    <row r="410" ht="15.75" customHeight="1">
      <c r="A410" s="35">
        <v>44781.0</v>
      </c>
      <c r="B410" s="11">
        <v>704.35</v>
      </c>
      <c r="C410" s="11">
        <v>0.001</v>
      </c>
      <c r="D410" s="13">
        <v>0.001</v>
      </c>
      <c r="E410" s="35">
        <v>44781.0</v>
      </c>
      <c r="F410" s="12">
        <v>17525.1</v>
      </c>
      <c r="G410" s="11">
        <v>0.007334387</v>
      </c>
      <c r="H410" s="13">
        <v>0.0073</v>
      </c>
      <c r="J410" s="15"/>
      <c r="K410" s="11"/>
      <c r="L410" s="11"/>
      <c r="M410" s="11"/>
      <c r="N410" s="11"/>
    </row>
    <row r="411" ht="15.75" customHeight="1">
      <c r="A411" s="35">
        <v>44689.0</v>
      </c>
      <c r="B411" s="11">
        <v>703.65</v>
      </c>
      <c r="C411" s="11">
        <v>0.0135</v>
      </c>
      <c r="D411" s="13">
        <v>0.0135</v>
      </c>
      <c r="E411" s="35">
        <v>44689.0</v>
      </c>
      <c r="F411" s="12">
        <v>17397.5</v>
      </c>
      <c r="G411" s="11">
        <v>8.91727E-4</v>
      </c>
      <c r="H411" s="13">
        <v>9.0E-4</v>
      </c>
      <c r="J411" s="15"/>
      <c r="K411" s="11"/>
      <c r="L411" s="11"/>
      <c r="M411" s="11"/>
      <c r="N411" s="11"/>
    </row>
    <row r="412" ht="15.75" customHeight="1">
      <c r="A412" s="35">
        <v>44659.0</v>
      </c>
      <c r="B412" s="11">
        <v>694.3</v>
      </c>
      <c r="C412" s="11">
        <v>0.0017</v>
      </c>
      <c r="D412" s="13">
        <v>0.0017</v>
      </c>
      <c r="E412" s="35">
        <v>44659.0</v>
      </c>
      <c r="F412" s="12">
        <v>17382.0</v>
      </c>
      <c r="G412" s="11">
        <v>-3.53689E-4</v>
      </c>
      <c r="H412" s="13">
        <v>-4.0E-4</v>
      </c>
      <c r="J412" s="15"/>
      <c r="K412" s="11"/>
      <c r="L412" s="11"/>
      <c r="M412" s="11"/>
      <c r="N412" s="11"/>
    </row>
    <row r="413" ht="15.75" customHeight="1">
      <c r="A413" s="35">
        <v>44628.0</v>
      </c>
      <c r="B413" s="11">
        <v>693.15</v>
      </c>
      <c r="C413" s="11">
        <v>0.0092</v>
      </c>
      <c r="D413" s="13">
        <v>0.0092</v>
      </c>
      <c r="E413" s="35">
        <v>44628.0</v>
      </c>
      <c r="F413" s="12">
        <v>17388.15</v>
      </c>
      <c r="G413" s="11">
        <v>0.002461741</v>
      </c>
      <c r="H413" s="13">
        <v>0.0025</v>
      </c>
      <c r="J413" s="15"/>
      <c r="K413" s="11"/>
      <c r="L413" s="11"/>
      <c r="M413" s="11"/>
      <c r="N413" s="11"/>
    </row>
    <row r="414" ht="15.75" customHeight="1">
      <c r="A414" s="35">
        <v>44600.0</v>
      </c>
      <c r="B414" s="11">
        <v>686.8</v>
      </c>
      <c r="C414" s="11">
        <v>-0.011</v>
      </c>
      <c r="D414" s="13">
        <v>-0.011</v>
      </c>
      <c r="E414" s="35">
        <v>44600.0</v>
      </c>
      <c r="F414" s="12">
        <v>17345.45</v>
      </c>
      <c r="G414" s="11">
        <v>3.11418E-4</v>
      </c>
      <c r="H414" s="13">
        <v>3.0E-4</v>
      </c>
      <c r="J414" s="15"/>
      <c r="K414" s="11"/>
      <c r="L414" s="11"/>
      <c r="M414" s="11"/>
      <c r="N414" s="11"/>
    </row>
    <row r="415" ht="15.75" customHeight="1">
      <c r="A415" s="35">
        <v>44569.0</v>
      </c>
      <c r="B415" s="11">
        <v>694.45</v>
      </c>
      <c r="C415" s="11">
        <v>0.0243</v>
      </c>
      <c r="D415" s="13">
        <v>0.0243</v>
      </c>
      <c r="E415" s="35">
        <v>44569.0</v>
      </c>
      <c r="F415" s="12">
        <v>17340.05</v>
      </c>
      <c r="G415" s="11">
        <v>0.010595486</v>
      </c>
      <c r="H415" s="13">
        <v>0.0106</v>
      </c>
      <c r="J415" s="15"/>
      <c r="K415" s="11"/>
      <c r="L415" s="11"/>
      <c r="M415" s="11"/>
      <c r="N415" s="11"/>
    </row>
    <row r="416" ht="15.75" customHeight="1">
      <c r="A416" s="11" t="s">
        <v>356</v>
      </c>
      <c r="B416" s="11">
        <v>677.95</v>
      </c>
      <c r="C416" s="11">
        <v>0.0166</v>
      </c>
      <c r="D416" s="13">
        <v>0.0166</v>
      </c>
      <c r="E416" s="11" t="s">
        <v>356</v>
      </c>
      <c r="F416" s="12">
        <v>17158.25</v>
      </c>
      <c r="G416" s="11">
        <v>0.01350593</v>
      </c>
      <c r="H416" s="13">
        <v>0.0135</v>
      </c>
      <c r="J416" s="15"/>
      <c r="K416" s="11"/>
      <c r="L416" s="11"/>
      <c r="M416" s="11"/>
      <c r="N416" s="11"/>
    </row>
    <row r="417" ht="15.75" customHeight="1">
      <c r="A417" s="11" t="s">
        <v>357</v>
      </c>
      <c r="B417" s="11">
        <v>666.85</v>
      </c>
      <c r="C417" s="11">
        <v>-0.0119</v>
      </c>
      <c r="D417" s="13">
        <v>-0.0119</v>
      </c>
      <c r="E417" s="11" t="s">
        <v>357</v>
      </c>
      <c r="F417" s="12">
        <v>16929.6</v>
      </c>
      <c r="G417" s="11">
        <v>0.017293802</v>
      </c>
      <c r="H417" s="13">
        <v>0.0173</v>
      </c>
      <c r="J417" s="15"/>
      <c r="K417" s="11"/>
      <c r="L417" s="11"/>
      <c r="M417" s="11"/>
      <c r="N417" s="11"/>
    </row>
    <row r="418" ht="15.75" customHeight="1">
      <c r="A418" s="11" t="s">
        <v>358</v>
      </c>
      <c r="B418" s="11">
        <v>674.9</v>
      </c>
      <c r="C418" s="11">
        <v>-0.0134</v>
      </c>
      <c r="D418" s="13">
        <v>-0.0134</v>
      </c>
      <c r="E418" s="11" t="s">
        <v>358</v>
      </c>
      <c r="F418" s="12">
        <v>16641.8</v>
      </c>
      <c r="G418" s="11">
        <v>0.009582106</v>
      </c>
      <c r="H418" s="13">
        <v>0.0096</v>
      </c>
      <c r="J418" s="15"/>
      <c r="K418" s="11"/>
      <c r="L418" s="11"/>
      <c r="M418" s="11"/>
      <c r="N418" s="11"/>
    </row>
    <row r="419" ht="15.75" customHeight="1">
      <c r="A419" s="11" t="s">
        <v>359</v>
      </c>
      <c r="B419" s="11">
        <v>684.1</v>
      </c>
      <c r="C419" s="11">
        <v>0.0084</v>
      </c>
      <c r="D419" s="13">
        <v>0.0084</v>
      </c>
      <c r="E419" s="11" t="s">
        <v>359</v>
      </c>
      <c r="F419" s="12">
        <v>16483.85</v>
      </c>
      <c r="G419" s="11">
        <v>-0.008847935</v>
      </c>
      <c r="H419" s="13">
        <v>-0.0088</v>
      </c>
      <c r="J419" s="15"/>
      <c r="K419" s="11"/>
      <c r="L419" s="11"/>
      <c r="M419" s="11"/>
      <c r="N419" s="11"/>
    </row>
    <row r="420" ht="15.75" customHeight="1">
      <c r="A420" s="11" t="s">
        <v>360</v>
      </c>
      <c r="B420" s="11">
        <v>678.4</v>
      </c>
      <c r="C420" s="11">
        <v>-7.0E-4</v>
      </c>
      <c r="D420" s="13">
        <v>-7.0E-4</v>
      </c>
      <c r="E420" s="11" t="s">
        <v>360</v>
      </c>
      <c r="F420" s="12">
        <v>16631.0</v>
      </c>
      <c r="G420" s="11">
        <v>-0.005290246</v>
      </c>
      <c r="H420" s="13">
        <v>-0.0053</v>
      </c>
      <c r="J420" s="15"/>
      <c r="K420" s="11"/>
      <c r="L420" s="11"/>
      <c r="M420" s="11"/>
      <c r="N420" s="11"/>
    </row>
    <row r="421" ht="15.75" customHeight="1">
      <c r="A421" s="11" t="s">
        <v>361</v>
      </c>
      <c r="B421" s="11">
        <v>678.85</v>
      </c>
      <c r="C421" s="11">
        <v>7.0E-4</v>
      </c>
      <c r="D421" s="13">
        <v>7.0E-4</v>
      </c>
      <c r="E421" s="11" t="s">
        <v>361</v>
      </c>
      <c r="F421" s="12">
        <v>16719.45</v>
      </c>
      <c r="G421" s="11">
        <v>0.006877343</v>
      </c>
      <c r="H421" s="13">
        <v>0.0069</v>
      </c>
      <c r="J421" s="15"/>
      <c r="K421" s="11"/>
      <c r="L421" s="11"/>
      <c r="M421" s="11"/>
      <c r="N421" s="11"/>
    </row>
    <row r="422" ht="15.75" customHeight="1">
      <c r="A422" s="11" t="s">
        <v>362</v>
      </c>
      <c r="B422" s="11">
        <v>678.35</v>
      </c>
      <c r="C422" s="11">
        <v>0.0115</v>
      </c>
      <c r="D422" s="13">
        <v>0.0115</v>
      </c>
      <c r="E422" s="11" t="s">
        <v>362</v>
      </c>
      <c r="F422" s="12">
        <v>16605.25</v>
      </c>
      <c r="G422" s="11">
        <v>0.005108696</v>
      </c>
      <c r="H422" s="13">
        <v>0.0051</v>
      </c>
      <c r="J422" s="15"/>
      <c r="K422" s="11"/>
      <c r="L422" s="11"/>
      <c r="M422" s="11"/>
      <c r="N422" s="11"/>
    </row>
    <row r="423" ht="15.75" customHeight="1">
      <c r="A423" s="11" t="s">
        <v>363</v>
      </c>
      <c r="B423" s="11">
        <v>670.65</v>
      </c>
      <c r="C423" s="11">
        <v>-0.0033</v>
      </c>
      <c r="D423" s="13">
        <v>-0.0033</v>
      </c>
      <c r="E423" s="11" t="s">
        <v>363</v>
      </c>
      <c r="F423" s="12">
        <v>16520.85</v>
      </c>
      <c r="G423" s="11">
        <v>0.0110339</v>
      </c>
      <c r="H423" s="13">
        <v>0.011</v>
      </c>
      <c r="J423" s="15"/>
      <c r="K423" s="11"/>
      <c r="L423" s="11"/>
      <c r="M423" s="11"/>
      <c r="N423" s="11"/>
    </row>
    <row r="424" ht="15.75" customHeight="1">
      <c r="A424" s="11" t="s">
        <v>364</v>
      </c>
      <c r="B424" s="11">
        <v>672.9</v>
      </c>
      <c r="C424" s="11">
        <v>0.0149</v>
      </c>
      <c r="D424" s="13">
        <v>0.0149</v>
      </c>
      <c r="E424" s="11" t="s">
        <v>364</v>
      </c>
      <c r="F424" s="12">
        <v>16340.55</v>
      </c>
      <c r="G424" s="11">
        <v>0.003811776</v>
      </c>
      <c r="H424" s="13">
        <v>0.0038</v>
      </c>
      <c r="J424" s="15"/>
      <c r="K424" s="11"/>
      <c r="L424" s="11"/>
      <c r="M424" s="11"/>
      <c r="N424" s="11"/>
    </row>
    <row r="425" ht="15.75" customHeight="1">
      <c r="A425" s="11" t="s">
        <v>365</v>
      </c>
      <c r="B425" s="11">
        <v>663.05</v>
      </c>
      <c r="C425" s="11">
        <v>0.0173</v>
      </c>
      <c r="D425" s="13">
        <v>0.0173</v>
      </c>
      <c r="E425" s="11" t="s">
        <v>365</v>
      </c>
      <c r="F425" s="12">
        <v>16278.5</v>
      </c>
      <c r="G425" s="11">
        <v>0.014287317</v>
      </c>
      <c r="H425" s="13">
        <v>0.0143</v>
      </c>
      <c r="J425" s="15"/>
      <c r="K425" s="11"/>
      <c r="L425" s="11"/>
      <c r="M425" s="11"/>
      <c r="N425" s="11"/>
    </row>
    <row r="426" ht="15.75" customHeight="1">
      <c r="A426" s="11" t="s">
        <v>366</v>
      </c>
      <c r="B426" s="11">
        <v>651.8</v>
      </c>
      <c r="C426" s="11">
        <v>0.0158</v>
      </c>
      <c r="D426" s="13">
        <v>0.0158</v>
      </c>
      <c r="E426" s="11" t="s">
        <v>366</v>
      </c>
      <c r="F426" s="12">
        <v>16049.2</v>
      </c>
      <c r="G426" s="11">
        <v>0.00693597</v>
      </c>
      <c r="H426" s="13">
        <v>0.0069</v>
      </c>
      <c r="J426" s="15"/>
      <c r="K426" s="11"/>
      <c r="L426" s="11"/>
      <c r="M426" s="11"/>
      <c r="N426" s="11"/>
    </row>
    <row r="427" ht="15.75" customHeight="1">
      <c r="A427" s="11" t="s">
        <v>367</v>
      </c>
      <c r="B427" s="11">
        <v>641.65</v>
      </c>
      <c r="C427" s="11">
        <v>-0.0029</v>
      </c>
      <c r="D427" s="13">
        <v>-0.0029</v>
      </c>
      <c r="E427" s="11" t="s">
        <v>367</v>
      </c>
      <c r="F427" s="12">
        <v>15938.65</v>
      </c>
      <c r="G427" s="11">
        <v>-0.001753655</v>
      </c>
      <c r="H427" s="13">
        <v>-0.0018</v>
      </c>
      <c r="J427" s="15"/>
      <c r="K427" s="11"/>
      <c r="L427" s="11"/>
      <c r="M427" s="11"/>
      <c r="N427" s="11"/>
    </row>
    <row r="428" ht="15.75" customHeight="1">
      <c r="A428" s="11" t="s">
        <v>368</v>
      </c>
      <c r="B428" s="11">
        <v>643.5</v>
      </c>
      <c r="C428" s="11">
        <v>-0.0294</v>
      </c>
      <c r="D428" s="13">
        <v>-0.0294</v>
      </c>
      <c r="E428" s="11" t="s">
        <v>368</v>
      </c>
      <c r="F428" s="12">
        <v>15966.65</v>
      </c>
      <c r="G428" s="11">
        <v>-0.005707329</v>
      </c>
      <c r="H428" s="13">
        <v>-0.0057</v>
      </c>
      <c r="J428" s="15"/>
      <c r="K428" s="11"/>
      <c r="L428" s="11"/>
      <c r="M428" s="11"/>
      <c r="N428" s="11"/>
    </row>
    <row r="429" ht="15.75" customHeight="1">
      <c r="A429" s="35">
        <v>44902.0</v>
      </c>
      <c r="B429" s="11">
        <v>663.0</v>
      </c>
      <c r="C429" s="11">
        <v>0.0037</v>
      </c>
      <c r="D429" s="13">
        <v>0.0037</v>
      </c>
      <c r="E429" s="35">
        <v>44902.0</v>
      </c>
      <c r="F429" s="12">
        <v>16058.3</v>
      </c>
      <c r="G429" s="11">
        <v>-0.009724963</v>
      </c>
      <c r="H429" s="13">
        <v>-0.0097</v>
      </c>
      <c r="J429" s="15"/>
      <c r="K429" s="11"/>
      <c r="L429" s="11"/>
      <c r="M429" s="11"/>
      <c r="N429" s="11"/>
    </row>
    <row r="430" ht="15.75" customHeight="1">
      <c r="A430" s="35">
        <v>44872.0</v>
      </c>
      <c r="B430" s="11">
        <v>660.55</v>
      </c>
      <c r="C430" s="11">
        <v>-0.0498</v>
      </c>
      <c r="D430" s="13">
        <v>-0.0498</v>
      </c>
      <c r="E430" s="35">
        <v>44872.0</v>
      </c>
      <c r="F430" s="12">
        <v>16216.0</v>
      </c>
      <c r="G430" s="11">
        <v>-2.8359E-4</v>
      </c>
      <c r="H430" s="13">
        <v>-3.0E-4</v>
      </c>
      <c r="J430" s="15"/>
      <c r="K430" s="11"/>
      <c r="L430" s="11"/>
      <c r="M430" s="11"/>
      <c r="N430" s="11"/>
    </row>
    <row r="431" ht="15.75" customHeight="1">
      <c r="A431" s="35">
        <v>44780.0</v>
      </c>
      <c r="B431" s="11">
        <v>695.15</v>
      </c>
      <c r="C431" s="11">
        <v>0.0122</v>
      </c>
      <c r="D431" s="13">
        <v>0.0122</v>
      </c>
      <c r="E431" s="35">
        <v>44780.0</v>
      </c>
      <c r="F431" s="12">
        <v>16220.6</v>
      </c>
      <c r="G431" s="11">
        <v>0.005436096</v>
      </c>
      <c r="H431" s="13">
        <v>0.0054</v>
      </c>
      <c r="J431" s="15"/>
      <c r="K431" s="11"/>
      <c r="L431" s="11"/>
      <c r="M431" s="11"/>
      <c r="N431" s="11"/>
    </row>
    <row r="432" ht="15.75" customHeight="1">
      <c r="A432" s="35">
        <v>44749.0</v>
      </c>
      <c r="B432" s="11">
        <v>686.8</v>
      </c>
      <c r="C432" s="11">
        <v>-0.0103</v>
      </c>
      <c r="D432" s="13">
        <v>-0.0103</v>
      </c>
      <c r="E432" s="35">
        <v>44749.0</v>
      </c>
      <c r="F432" s="12">
        <v>16132.9</v>
      </c>
      <c r="G432" s="11">
        <v>0.008949455</v>
      </c>
      <c r="H432" s="13">
        <v>0.0089</v>
      </c>
      <c r="J432" s="15"/>
      <c r="K432" s="11"/>
      <c r="L432" s="11"/>
      <c r="M432" s="11"/>
      <c r="N432" s="11"/>
    </row>
    <row r="433" ht="15.75" customHeight="1">
      <c r="A433" s="35">
        <v>44719.0</v>
      </c>
      <c r="B433" s="11">
        <v>693.95</v>
      </c>
      <c r="C433" s="11">
        <v>0.0139</v>
      </c>
      <c r="D433" s="13">
        <v>0.0139</v>
      </c>
      <c r="E433" s="35">
        <v>44719.0</v>
      </c>
      <c r="F433" s="12">
        <v>15989.8</v>
      </c>
      <c r="G433" s="11">
        <v>0.011318177</v>
      </c>
      <c r="H433" s="13">
        <v>0.0113</v>
      </c>
      <c r="J433" s="15"/>
      <c r="K433" s="11"/>
      <c r="L433" s="11"/>
      <c r="M433" s="11"/>
      <c r="N433" s="11"/>
    </row>
    <row r="434" ht="15.75" customHeight="1">
      <c r="A434" s="35">
        <v>44688.0</v>
      </c>
      <c r="B434" s="11">
        <v>684.45</v>
      </c>
      <c r="C434" s="11">
        <v>0.0037</v>
      </c>
      <c r="D434" s="13">
        <v>0.0037</v>
      </c>
      <c r="E434" s="35">
        <v>44688.0</v>
      </c>
      <c r="F434" s="12">
        <v>15810.85</v>
      </c>
      <c r="G434" s="11">
        <v>-0.001547171</v>
      </c>
      <c r="H434" s="13">
        <v>-0.0015</v>
      </c>
      <c r="J434" s="15"/>
      <c r="K434" s="11"/>
      <c r="L434" s="11"/>
      <c r="M434" s="11"/>
      <c r="N434" s="11"/>
    </row>
    <row r="435" ht="15.75" customHeight="1">
      <c r="A435" s="35">
        <v>44658.0</v>
      </c>
      <c r="B435" s="11">
        <v>681.9</v>
      </c>
      <c r="C435" s="11">
        <v>0.0125</v>
      </c>
      <c r="D435" s="13">
        <v>0.0125</v>
      </c>
      <c r="E435" s="35">
        <v>44658.0</v>
      </c>
      <c r="F435" s="12">
        <v>15835.35</v>
      </c>
      <c r="G435" s="11">
        <v>0.005288201</v>
      </c>
      <c r="H435" s="13">
        <v>0.0053</v>
      </c>
      <c r="J435" s="15"/>
      <c r="K435" s="11"/>
      <c r="L435" s="11"/>
      <c r="M435" s="11"/>
      <c r="N435" s="11"/>
    </row>
    <row r="436" ht="15.75" customHeight="1">
      <c r="A436" s="35">
        <v>44568.0</v>
      </c>
      <c r="B436" s="11">
        <v>673.45</v>
      </c>
      <c r="C436" s="11">
        <v>-0.0168</v>
      </c>
      <c r="D436" s="13">
        <v>-0.0168</v>
      </c>
      <c r="E436" s="35">
        <v>44568.0</v>
      </c>
      <c r="F436" s="12">
        <v>15752.05</v>
      </c>
      <c r="G436" s="11">
        <v>-0.001787044</v>
      </c>
      <c r="H436" s="13">
        <v>-0.0018</v>
      </c>
      <c r="J436" s="15"/>
      <c r="K436" s="11"/>
      <c r="L436" s="11"/>
      <c r="M436" s="11"/>
      <c r="N436" s="11"/>
    </row>
    <row r="437" ht="15.75" customHeight="1">
      <c r="A437" s="11" t="s">
        <v>369</v>
      </c>
      <c r="B437" s="11">
        <v>684.95</v>
      </c>
      <c r="C437" s="11">
        <v>-0.0041</v>
      </c>
      <c r="D437" s="13">
        <v>-0.0041</v>
      </c>
      <c r="E437" s="11" t="s">
        <v>369</v>
      </c>
      <c r="F437" s="12">
        <v>15780.25</v>
      </c>
      <c r="G437" s="11">
        <v>-0.001193106</v>
      </c>
      <c r="H437" s="13">
        <v>-0.0012</v>
      </c>
      <c r="J437" s="15"/>
      <c r="K437" s="11"/>
      <c r="L437" s="11"/>
      <c r="M437" s="11"/>
      <c r="N437" s="11"/>
    </row>
    <row r="438" ht="15.75" customHeight="1">
      <c r="A438" s="11" t="s">
        <v>370</v>
      </c>
      <c r="B438" s="11">
        <v>687.8</v>
      </c>
      <c r="C438" s="11">
        <v>0.0098</v>
      </c>
      <c r="D438" s="13">
        <v>0.0098</v>
      </c>
      <c r="E438" s="11" t="s">
        <v>370</v>
      </c>
      <c r="F438" s="12">
        <v>15799.1</v>
      </c>
      <c r="G438" s="11">
        <v>-0.003223934</v>
      </c>
      <c r="H438" s="13">
        <v>-0.0032</v>
      </c>
      <c r="J438" s="15"/>
      <c r="K438" s="11"/>
      <c r="L438" s="11"/>
      <c r="M438" s="11"/>
      <c r="N438" s="11"/>
    </row>
    <row r="439" ht="15.75" customHeight="1">
      <c r="A439" s="11" t="s">
        <v>371</v>
      </c>
      <c r="B439" s="11">
        <v>681.15</v>
      </c>
      <c r="C439" s="11">
        <v>-0.0041</v>
      </c>
      <c r="D439" s="13">
        <v>-0.0041</v>
      </c>
      <c r="E439" s="11" t="s">
        <v>371</v>
      </c>
      <c r="F439" s="12">
        <v>15850.2</v>
      </c>
      <c r="G439" s="11">
        <v>0.001146409</v>
      </c>
      <c r="H439" s="13">
        <v>0.0011</v>
      </c>
      <c r="J439" s="15"/>
      <c r="K439" s="11"/>
      <c r="L439" s="11"/>
      <c r="M439" s="11"/>
      <c r="N439" s="11"/>
    </row>
    <row r="440" ht="15.75" customHeight="1">
      <c r="A440" s="11" t="s">
        <v>372</v>
      </c>
      <c r="B440" s="11">
        <v>683.95</v>
      </c>
      <c r="C440" s="11">
        <v>0.019</v>
      </c>
      <c r="D440" s="13">
        <v>0.019</v>
      </c>
      <c r="E440" s="11" t="s">
        <v>372</v>
      </c>
      <c r="F440" s="12">
        <v>15832.05</v>
      </c>
      <c r="G440" s="11">
        <v>0.008459003</v>
      </c>
      <c r="H440" s="13">
        <v>0.0085</v>
      </c>
      <c r="J440" s="15"/>
      <c r="K440" s="11"/>
      <c r="L440" s="11"/>
      <c r="M440" s="11"/>
      <c r="N440" s="11"/>
    </row>
    <row r="441" ht="15.75" customHeight="1">
      <c r="A441" s="11" t="s">
        <v>373</v>
      </c>
      <c r="B441" s="11">
        <v>671.2</v>
      </c>
      <c r="C441" s="11">
        <v>0.0167</v>
      </c>
      <c r="D441" s="13">
        <v>0.0167</v>
      </c>
      <c r="E441" s="11" t="s">
        <v>373</v>
      </c>
      <c r="F441" s="12">
        <v>15699.25</v>
      </c>
      <c r="G441" s="11">
        <v>0.009166498</v>
      </c>
      <c r="H441" s="13">
        <v>0.0092</v>
      </c>
      <c r="J441" s="15"/>
      <c r="K441" s="11"/>
      <c r="L441" s="11"/>
      <c r="M441" s="11"/>
      <c r="N441" s="11"/>
    </row>
    <row r="442" ht="15.75" customHeight="1">
      <c r="A442" s="11" t="s">
        <v>374</v>
      </c>
      <c r="B442" s="11">
        <v>660.2</v>
      </c>
      <c r="C442" s="11">
        <v>0.027</v>
      </c>
      <c r="D442" s="13">
        <v>0.027</v>
      </c>
      <c r="E442" s="11" t="s">
        <v>374</v>
      </c>
      <c r="F442" s="12">
        <v>15556.65</v>
      </c>
      <c r="G442" s="11">
        <v>0.009300409</v>
      </c>
      <c r="H442" s="13">
        <v>0.0093</v>
      </c>
      <c r="J442" s="15"/>
      <c r="K442" s="11"/>
      <c r="L442" s="11"/>
      <c r="M442" s="11"/>
      <c r="N442" s="11"/>
    </row>
    <row r="443" ht="15.75" customHeight="1">
      <c r="A443" s="11" t="s">
        <v>375</v>
      </c>
      <c r="B443" s="11">
        <v>642.85</v>
      </c>
      <c r="C443" s="11">
        <v>-0.0175</v>
      </c>
      <c r="D443" s="13">
        <v>-0.0175</v>
      </c>
      <c r="E443" s="11" t="s">
        <v>375</v>
      </c>
      <c r="F443" s="12">
        <v>15413.3</v>
      </c>
      <c r="G443" s="11">
        <v>-0.014419265</v>
      </c>
      <c r="H443" s="13">
        <v>-0.0144</v>
      </c>
      <c r="J443" s="15"/>
      <c r="K443" s="11"/>
      <c r="L443" s="11"/>
      <c r="M443" s="11"/>
      <c r="N443" s="11"/>
    </row>
    <row r="444" ht="15.75" customHeight="1">
      <c r="A444" s="11" t="s">
        <v>376</v>
      </c>
      <c r="B444" s="11">
        <v>654.3</v>
      </c>
      <c r="C444" s="11">
        <v>0.0209</v>
      </c>
      <c r="D444" s="13">
        <v>0.0209</v>
      </c>
      <c r="E444" s="11" t="s">
        <v>376</v>
      </c>
      <c r="F444" s="12">
        <v>15638.8</v>
      </c>
      <c r="G444" s="11">
        <v>0.018804377</v>
      </c>
      <c r="H444" s="13">
        <v>0.0188</v>
      </c>
      <c r="J444" s="15"/>
      <c r="K444" s="11"/>
      <c r="L444" s="11"/>
      <c r="M444" s="11"/>
      <c r="N444" s="11"/>
    </row>
    <row r="445" ht="15.75" customHeight="1">
      <c r="A445" s="11" t="s">
        <v>377</v>
      </c>
      <c r="B445" s="11">
        <v>640.9</v>
      </c>
      <c r="C445" s="11">
        <v>-0.0043</v>
      </c>
      <c r="D445" s="13">
        <v>-0.0043</v>
      </c>
      <c r="E445" s="11" t="s">
        <v>377</v>
      </c>
      <c r="F445" s="12">
        <v>15350.15</v>
      </c>
      <c r="G445" s="11">
        <v>0.003704188</v>
      </c>
      <c r="H445" s="13">
        <v>0.0037</v>
      </c>
      <c r="J445" s="15"/>
      <c r="K445" s="11"/>
      <c r="L445" s="11"/>
      <c r="M445" s="11"/>
      <c r="N445" s="11"/>
    </row>
    <row r="446" ht="15.75" customHeight="1">
      <c r="A446" s="11" t="s">
        <v>378</v>
      </c>
      <c r="B446" s="11">
        <v>643.65</v>
      </c>
      <c r="C446" s="11">
        <v>-0.0161</v>
      </c>
      <c r="D446" s="13">
        <v>-0.0161</v>
      </c>
      <c r="E446" s="11" t="s">
        <v>378</v>
      </c>
      <c r="F446" s="12">
        <v>15293.5</v>
      </c>
      <c r="G446" s="11">
        <v>-0.004368319</v>
      </c>
      <c r="H446" s="13">
        <v>-0.0044</v>
      </c>
      <c r="J446" s="15"/>
      <c r="K446" s="11"/>
      <c r="L446" s="11"/>
      <c r="M446" s="11"/>
      <c r="N446" s="11"/>
    </row>
    <row r="447" ht="15.75" customHeight="1">
      <c r="A447" s="11" t="s">
        <v>379</v>
      </c>
      <c r="B447" s="11">
        <v>654.2</v>
      </c>
      <c r="C447" s="11">
        <v>-0.0409</v>
      </c>
      <c r="D447" s="13">
        <v>-0.0409</v>
      </c>
      <c r="E447" s="11" t="s">
        <v>379</v>
      </c>
      <c r="F447" s="12">
        <v>15360.6</v>
      </c>
      <c r="G447" s="11">
        <v>-0.021128399</v>
      </c>
      <c r="H447" s="13">
        <v>-0.0211</v>
      </c>
      <c r="J447" s="15"/>
      <c r="K447" s="11"/>
      <c r="L447" s="11"/>
      <c r="M447" s="11"/>
      <c r="N447" s="11"/>
    </row>
    <row r="448" ht="15.75" customHeight="1">
      <c r="A448" s="11" t="s">
        <v>380</v>
      </c>
      <c r="B448" s="11">
        <v>682.1</v>
      </c>
      <c r="C448" s="11">
        <v>1.0E-4</v>
      </c>
      <c r="D448" s="13">
        <v>1.0E-4</v>
      </c>
      <c r="E448" s="11" t="s">
        <v>380</v>
      </c>
      <c r="F448" s="12">
        <v>15692.15</v>
      </c>
      <c r="G448" s="11">
        <v>-0.002539394</v>
      </c>
      <c r="H448" s="13">
        <v>-0.0025</v>
      </c>
      <c r="J448" s="15"/>
      <c r="K448" s="11"/>
      <c r="L448" s="11"/>
      <c r="M448" s="11"/>
      <c r="N448" s="11"/>
    </row>
    <row r="449" ht="15.75" customHeight="1">
      <c r="A449" s="11" t="s">
        <v>381</v>
      </c>
      <c r="B449" s="11">
        <v>682.05</v>
      </c>
      <c r="C449" s="11">
        <v>0.016</v>
      </c>
      <c r="D449" s="13">
        <v>0.016</v>
      </c>
      <c r="E449" s="11" t="s">
        <v>381</v>
      </c>
      <c r="F449" s="12">
        <v>15732.1</v>
      </c>
      <c r="G449" s="11">
        <v>-0.00268156</v>
      </c>
      <c r="H449" s="13">
        <v>-0.0027</v>
      </c>
      <c r="J449" s="15"/>
      <c r="K449" s="11"/>
      <c r="L449" s="11"/>
      <c r="M449" s="11"/>
      <c r="N449" s="11"/>
    </row>
    <row r="450" ht="15.75" customHeight="1">
      <c r="A450" s="11" t="s">
        <v>382</v>
      </c>
      <c r="B450" s="11">
        <v>671.3</v>
      </c>
      <c r="C450" s="11">
        <v>-0.003</v>
      </c>
      <c r="D450" s="13">
        <v>-0.003</v>
      </c>
      <c r="E450" s="11" t="s">
        <v>382</v>
      </c>
      <c r="F450" s="12">
        <v>15774.4</v>
      </c>
      <c r="G450" s="11">
        <v>-0.026379785</v>
      </c>
      <c r="H450" s="13">
        <v>-0.0264</v>
      </c>
      <c r="J450" s="15"/>
      <c r="K450" s="11"/>
      <c r="L450" s="11"/>
      <c r="M450" s="11"/>
      <c r="N450" s="11"/>
    </row>
    <row r="451" ht="15.75" customHeight="1">
      <c r="A451" s="35">
        <v>44840.0</v>
      </c>
      <c r="B451" s="11">
        <v>673.35</v>
      </c>
      <c r="C451" s="11">
        <v>-0.0044</v>
      </c>
      <c r="D451" s="13">
        <v>-0.0044</v>
      </c>
      <c r="E451" s="35">
        <v>44840.0</v>
      </c>
      <c r="F451" s="12">
        <v>16201.8</v>
      </c>
      <c r="G451" s="11">
        <v>-0.01676771</v>
      </c>
      <c r="H451" s="13">
        <v>-0.0168</v>
      </c>
      <c r="J451" s="15"/>
      <c r="K451" s="11"/>
      <c r="L451" s="11"/>
      <c r="M451" s="11"/>
      <c r="N451" s="11"/>
    </row>
    <row r="452" ht="15.75" customHeight="1">
      <c r="A452" s="35">
        <v>44810.0</v>
      </c>
      <c r="B452" s="11">
        <v>676.35</v>
      </c>
      <c r="C452" s="11">
        <v>0.0197</v>
      </c>
      <c r="D452" s="13">
        <v>0.0197</v>
      </c>
      <c r="E452" s="35">
        <v>44810.0</v>
      </c>
      <c r="F452" s="12">
        <v>16478.1</v>
      </c>
      <c r="G452" s="11">
        <v>0.007449752</v>
      </c>
      <c r="H452" s="13">
        <v>0.0074</v>
      </c>
      <c r="J452" s="15"/>
      <c r="K452" s="11"/>
      <c r="L452" s="11"/>
      <c r="M452" s="11"/>
      <c r="N452" s="11"/>
    </row>
    <row r="453" ht="15.75" customHeight="1">
      <c r="A453" s="35">
        <v>44779.0</v>
      </c>
      <c r="B453" s="11">
        <v>663.3</v>
      </c>
      <c r="C453" s="11">
        <v>-0.0321</v>
      </c>
      <c r="D453" s="13">
        <v>-0.0321</v>
      </c>
      <c r="E453" s="35">
        <v>44779.0</v>
      </c>
      <c r="F453" s="12">
        <v>16356.25</v>
      </c>
      <c r="G453" s="11">
        <v>-0.003660984</v>
      </c>
      <c r="H453" s="13">
        <v>-0.0037</v>
      </c>
      <c r="J453" s="15"/>
      <c r="K453" s="11"/>
      <c r="L453" s="11"/>
      <c r="M453" s="11"/>
      <c r="N453" s="11"/>
    </row>
    <row r="454" ht="15.75" customHeight="1">
      <c r="A454" s="35">
        <v>44748.0</v>
      </c>
      <c r="B454" s="11">
        <v>685.3</v>
      </c>
      <c r="C454" s="11">
        <v>0.0034</v>
      </c>
      <c r="D454" s="13">
        <v>0.0034</v>
      </c>
      <c r="E454" s="35">
        <v>44748.0</v>
      </c>
      <c r="F454" s="12">
        <v>16416.35</v>
      </c>
      <c r="G454" s="11">
        <v>-0.009245876</v>
      </c>
      <c r="H454" s="13">
        <v>-0.0092</v>
      </c>
      <c r="J454" s="15"/>
      <c r="K454" s="11"/>
      <c r="L454" s="11"/>
      <c r="M454" s="11"/>
      <c r="N454" s="11"/>
    </row>
    <row r="455" ht="15.75" customHeight="1">
      <c r="A455" s="35">
        <v>44718.0</v>
      </c>
      <c r="B455" s="11">
        <v>682.95</v>
      </c>
      <c r="C455" s="11">
        <v>-0.0052</v>
      </c>
      <c r="D455" s="13">
        <v>-0.0052</v>
      </c>
      <c r="E455" s="35">
        <v>44718.0</v>
      </c>
      <c r="F455" s="12">
        <v>16569.55</v>
      </c>
      <c r="G455" s="11">
        <v>-8.89395E-4</v>
      </c>
      <c r="H455" s="13">
        <v>-9.0E-4</v>
      </c>
      <c r="J455" s="15"/>
      <c r="K455" s="11"/>
      <c r="L455" s="11"/>
      <c r="M455" s="11"/>
      <c r="N455" s="11"/>
    </row>
    <row r="456" ht="15.75" customHeight="1">
      <c r="A456" s="35">
        <v>44626.0</v>
      </c>
      <c r="B456" s="11">
        <v>686.5</v>
      </c>
      <c r="C456" s="11">
        <v>-0.0136</v>
      </c>
      <c r="D456" s="13">
        <v>-0.0136</v>
      </c>
      <c r="E456" s="35">
        <v>44626.0</v>
      </c>
      <c r="F456" s="12">
        <v>16584.3</v>
      </c>
      <c r="G456" s="11">
        <v>-0.002628097</v>
      </c>
      <c r="H456" s="13">
        <v>-0.0026</v>
      </c>
      <c r="J456" s="15"/>
      <c r="K456" s="11"/>
      <c r="L456" s="11"/>
      <c r="M456" s="11"/>
      <c r="N456" s="11"/>
    </row>
    <row r="457" ht="15.75" customHeight="1">
      <c r="A457" s="35">
        <v>44598.0</v>
      </c>
      <c r="B457" s="11">
        <v>695.95</v>
      </c>
      <c r="C457" s="11">
        <v>0.0019</v>
      </c>
      <c r="D457" s="13">
        <v>0.0019</v>
      </c>
      <c r="E457" s="35">
        <v>44598.0</v>
      </c>
      <c r="F457" s="12">
        <v>16628.0</v>
      </c>
      <c r="G457" s="11">
        <v>0.006370005</v>
      </c>
      <c r="H457" s="13">
        <v>0.0064</v>
      </c>
      <c r="J457" s="15"/>
      <c r="K457" s="11"/>
      <c r="L457" s="11"/>
      <c r="M457" s="11"/>
      <c r="N457" s="11"/>
    </row>
    <row r="458" ht="15.75" customHeight="1">
      <c r="A458" s="35">
        <v>44567.0</v>
      </c>
      <c r="B458" s="11">
        <v>694.65</v>
      </c>
      <c r="C458" s="11">
        <v>-0.0079</v>
      </c>
      <c r="D458" s="13">
        <v>-0.0079</v>
      </c>
      <c r="E458" s="35">
        <v>44567.0</v>
      </c>
      <c r="F458" s="12">
        <v>16522.75</v>
      </c>
      <c r="G458" s="11">
        <v>-0.00372636</v>
      </c>
      <c r="H458" s="13">
        <v>-0.0037</v>
      </c>
      <c r="J458" s="15"/>
      <c r="K458" s="11"/>
      <c r="L458" s="11"/>
      <c r="M458" s="11"/>
      <c r="N458" s="11"/>
    </row>
    <row r="459" ht="15.75" customHeight="1">
      <c r="A459" s="11" t="s">
        <v>383</v>
      </c>
      <c r="B459" s="11">
        <v>700.2</v>
      </c>
      <c r="C459" s="11">
        <v>0.0016</v>
      </c>
      <c r="D459" s="13">
        <v>0.0016</v>
      </c>
      <c r="E459" s="11" t="s">
        <v>383</v>
      </c>
      <c r="F459" s="12">
        <v>16584.55</v>
      </c>
      <c r="G459" s="11">
        <v>-0.004612458</v>
      </c>
      <c r="H459" s="13">
        <v>-0.0046</v>
      </c>
      <c r="J459" s="15"/>
      <c r="K459" s="11"/>
      <c r="L459" s="11"/>
      <c r="M459" s="11"/>
      <c r="N459" s="11"/>
    </row>
    <row r="460" ht="15.75" customHeight="1">
      <c r="A460" s="11" t="s">
        <v>384</v>
      </c>
      <c r="B460" s="11">
        <v>699.05</v>
      </c>
      <c r="C460" s="11">
        <v>0.0214</v>
      </c>
      <c r="D460" s="13">
        <v>0.0214</v>
      </c>
      <c r="E460" s="11" t="s">
        <v>384</v>
      </c>
      <c r="F460" s="12">
        <v>16661.4</v>
      </c>
      <c r="G460" s="11">
        <v>0.018893193</v>
      </c>
      <c r="H460" s="13">
        <v>0.0189</v>
      </c>
      <c r="J460" s="15"/>
      <c r="K460" s="11"/>
      <c r="L460" s="11"/>
      <c r="M460" s="11"/>
      <c r="N460" s="11"/>
    </row>
    <row r="461" ht="15.75" customHeight="1">
      <c r="A461" s="11" t="s">
        <v>385</v>
      </c>
      <c r="B461" s="11">
        <v>684.4</v>
      </c>
      <c r="C461" s="11">
        <v>-0.0133</v>
      </c>
      <c r="D461" s="13">
        <v>-0.0133</v>
      </c>
      <c r="E461" s="11" t="s">
        <v>385</v>
      </c>
      <c r="F461" s="12">
        <v>16352.45</v>
      </c>
      <c r="G461" s="11">
        <v>0.01127386</v>
      </c>
      <c r="H461" s="13">
        <v>0.0113</v>
      </c>
      <c r="J461" s="15"/>
      <c r="K461" s="11"/>
      <c r="L461" s="11"/>
      <c r="M461" s="11"/>
      <c r="N461" s="11"/>
    </row>
    <row r="462" ht="15.75" customHeight="1">
      <c r="A462" s="11" t="s">
        <v>386</v>
      </c>
      <c r="B462" s="11">
        <v>693.65</v>
      </c>
      <c r="C462" s="11">
        <v>0.0079</v>
      </c>
      <c r="D462" s="13">
        <v>0.0079</v>
      </c>
      <c r="E462" s="11" t="s">
        <v>386</v>
      </c>
      <c r="F462" s="12">
        <v>16170.15</v>
      </c>
      <c r="G462" s="11">
        <v>0.009007351</v>
      </c>
      <c r="H462" s="13">
        <v>0.009</v>
      </c>
      <c r="J462" s="15"/>
      <c r="K462" s="11"/>
      <c r="L462" s="11"/>
      <c r="M462" s="11"/>
      <c r="N462" s="11"/>
    </row>
    <row r="463" ht="15.75" customHeight="1">
      <c r="A463" s="11" t="s">
        <v>387</v>
      </c>
      <c r="B463" s="11">
        <v>688.2</v>
      </c>
      <c r="C463" s="11">
        <v>0.0147</v>
      </c>
      <c r="D463" s="13">
        <v>0.0147</v>
      </c>
      <c r="E463" s="11" t="s">
        <v>387</v>
      </c>
      <c r="F463" s="12">
        <v>16025.8</v>
      </c>
      <c r="G463" s="11">
        <v>-0.006161183</v>
      </c>
      <c r="H463" s="13">
        <v>-0.0062</v>
      </c>
      <c r="J463" s="15"/>
      <c r="K463" s="11"/>
      <c r="L463" s="11"/>
      <c r="M463" s="11"/>
      <c r="N463" s="11"/>
    </row>
    <row r="464" ht="15.75" customHeight="1">
      <c r="A464" s="11" t="s">
        <v>388</v>
      </c>
      <c r="B464" s="11">
        <v>678.2</v>
      </c>
      <c r="C464" s="11">
        <v>-0.0112</v>
      </c>
      <c r="D464" s="13">
        <v>-0.0112</v>
      </c>
      <c r="E464" s="11" t="s">
        <v>388</v>
      </c>
      <c r="F464" s="12">
        <v>16125.15</v>
      </c>
      <c r="G464" s="11">
        <v>-0.005522766</v>
      </c>
      <c r="H464" s="13">
        <v>-0.0055</v>
      </c>
      <c r="J464" s="15"/>
      <c r="K464" s="11"/>
      <c r="L464" s="11"/>
      <c r="M464" s="11"/>
      <c r="N464" s="11"/>
    </row>
    <row r="465" ht="15.75" customHeight="1">
      <c r="A465" s="11" t="s">
        <v>389</v>
      </c>
      <c r="B465" s="11">
        <v>685.85</v>
      </c>
      <c r="C465" s="11">
        <v>-0.003</v>
      </c>
      <c r="D465" s="13">
        <v>-0.003</v>
      </c>
      <c r="E465" s="11" t="s">
        <v>389</v>
      </c>
      <c r="F465" s="12">
        <v>16214.7</v>
      </c>
      <c r="G465" s="11">
        <v>-0.00316301</v>
      </c>
      <c r="H465" s="13">
        <v>-0.0032</v>
      </c>
      <c r="J465" s="15"/>
      <c r="K465" s="11"/>
      <c r="L465" s="11"/>
      <c r="M465" s="11"/>
      <c r="N465" s="11"/>
    </row>
    <row r="466" ht="15.75" customHeight="1">
      <c r="A466" s="11" t="s">
        <v>390</v>
      </c>
      <c r="B466" s="11">
        <v>687.9</v>
      </c>
      <c r="C466" s="11">
        <v>0.0202</v>
      </c>
      <c r="D466" s="13">
        <v>0.0202</v>
      </c>
      <c r="E466" s="11" t="s">
        <v>390</v>
      </c>
      <c r="F466" s="12">
        <v>16266.15</v>
      </c>
      <c r="G466" s="11">
        <v>0.02889104</v>
      </c>
      <c r="H466" s="13">
        <v>0.0289</v>
      </c>
      <c r="J466" s="15"/>
      <c r="K466" s="11"/>
      <c r="L466" s="11"/>
      <c r="M466" s="11"/>
      <c r="N466" s="11"/>
    </row>
    <row r="467" ht="15.75" customHeight="1">
      <c r="A467" s="11" t="s">
        <v>391</v>
      </c>
      <c r="B467" s="11">
        <v>674.25</v>
      </c>
      <c r="C467" s="11">
        <v>-0.0315</v>
      </c>
      <c r="D467" s="13">
        <v>-0.0315</v>
      </c>
      <c r="E467" s="11" t="s">
        <v>391</v>
      </c>
      <c r="F467" s="12">
        <v>15809.4</v>
      </c>
      <c r="G467" s="11">
        <v>-0.026532761</v>
      </c>
      <c r="H467" s="13">
        <v>-0.0265</v>
      </c>
      <c r="J467" s="15"/>
      <c r="K467" s="11"/>
      <c r="L467" s="11"/>
      <c r="M467" s="11"/>
      <c r="N467" s="11"/>
    </row>
    <row r="468" ht="15.75" customHeight="1">
      <c r="A468" s="11" t="s">
        <v>392</v>
      </c>
      <c r="B468" s="11">
        <v>696.15</v>
      </c>
      <c r="C468" s="11">
        <v>-0.0154</v>
      </c>
      <c r="D468" s="13">
        <v>-0.0154</v>
      </c>
      <c r="E468" s="11" t="s">
        <v>392</v>
      </c>
      <c r="F468" s="12">
        <v>16240.3</v>
      </c>
      <c r="G468" s="11">
        <v>-0.001168562</v>
      </c>
      <c r="H468" s="13">
        <v>-0.0012</v>
      </c>
      <c r="J468" s="15"/>
      <c r="K468" s="11"/>
      <c r="L468" s="11"/>
      <c r="M468" s="11"/>
      <c r="N468" s="11"/>
    </row>
    <row r="469" ht="15.75" customHeight="1">
      <c r="A469" s="11" t="s">
        <v>393</v>
      </c>
      <c r="B469" s="11">
        <v>707.05</v>
      </c>
      <c r="C469" s="11">
        <v>0.02</v>
      </c>
      <c r="D469" s="13">
        <v>0.02</v>
      </c>
      <c r="E469" s="11" t="s">
        <v>393</v>
      </c>
      <c r="F469" s="12">
        <v>16259.3</v>
      </c>
      <c r="G469" s="11">
        <v>0.026321936</v>
      </c>
      <c r="H469" s="13">
        <v>0.0263</v>
      </c>
      <c r="J469" s="15"/>
      <c r="K469" s="11"/>
      <c r="L469" s="11"/>
      <c r="M469" s="11"/>
      <c r="N469" s="11"/>
    </row>
    <row r="470" ht="15.75" customHeight="1">
      <c r="A470" s="11" t="s">
        <v>394</v>
      </c>
      <c r="B470" s="11">
        <v>693.2</v>
      </c>
      <c r="C470" s="11">
        <v>0.0048</v>
      </c>
      <c r="D470" s="13">
        <v>0.0048</v>
      </c>
      <c r="E470" s="11" t="s">
        <v>394</v>
      </c>
      <c r="F470" s="12">
        <v>15842.3</v>
      </c>
      <c r="G470" s="11">
        <v>0.003811268</v>
      </c>
      <c r="H470" s="13">
        <v>0.0038</v>
      </c>
      <c r="J470" s="15"/>
      <c r="K470" s="11"/>
      <c r="L470" s="11"/>
      <c r="M470" s="11"/>
      <c r="N470" s="11"/>
    </row>
    <row r="471" ht="15.75" customHeight="1">
      <c r="A471" s="11" t="s">
        <v>395</v>
      </c>
      <c r="B471" s="11">
        <v>689.9</v>
      </c>
      <c r="C471" s="11">
        <v>-0.022</v>
      </c>
      <c r="D471" s="13">
        <v>-0.022</v>
      </c>
      <c r="E471" s="11" t="s">
        <v>395</v>
      </c>
      <c r="F471" s="12">
        <v>15782.15</v>
      </c>
      <c r="G471" s="11">
        <v>-0.001635248</v>
      </c>
      <c r="H471" s="13">
        <v>-0.0016</v>
      </c>
      <c r="J471" s="15"/>
      <c r="K471" s="11"/>
      <c r="L471" s="11"/>
      <c r="M471" s="11"/>
      <c r="N471" s="11"/>
    </row>
    <row r="472" ht="15.75" customHeight="1">
      <c r="A472" s="35">
        <v>44900.0</v>
      </c>
      <c r="B472" s="11">
        <v>705.4</v>
      </c>
      <c r="C472" s="11">
        <v>-0.0241</v>
      </c>
      <c r="D472" s="13">
        <v>-0.0241</v>
      </c>
      <c r="E472" s="35">
        <v>44900.0</v>
      </c>
      <c r="F472" s="12">
        <v>15808.0</v>
      </c>
      <c r="G472" s="11">
        <v>-0.022211776</v>
      </c>
      <c r="H472" s="13">
        <v>-0.0222</v>
      </c>
      <c r="J472" s="15"/>
      <c r="K472" s="11"/>
      <c r="L472" s="11"/>
      <c r="M472" s="11"/>
      <c r="N472" s="11"/>
    </row>
    <row r="473" ht="15.75" customHeight="1">
      <c r="A473" s="35">
        <v>44870.0</v>
      </c>
      <c r="B473" s="11">
        <v>722.85</v>
      </c>
      <c r="C473" s="11">
        <v>0.0044</v>
      </c>
      <c r="D473" s="13">
        <v>0.0044</v>
      </c>
      <c r="E473" s="35">
        <v>44870.0</v>
      </c>
      <c r="F473" s="12">
        <v>16167.1</v>
      </c>
      <c r="G473" s="11">
        <v>-0.004491981</v>
      </c>
      <c r="H473" s="13">
        <v>-0.0045</v>
      </c>
      <c r="J473" s="15"/>
      <c r="K473" s="11"/>
      <c r="L473" s="11"/>
      <c r="M473" s="11"/>
      <c r="N473" s="11"/>
    </row>
    <row r="474" ht="15.75" customHeight="1">
      <c r="A474" s="35">
        <v>44839.0</v>
      </c>
      <c r="B474" s="11">
        <v>719.65</v>
      </c>
      <c r="C474" s="11">
        <v>0.0115</v>
      </c>
      <c r="D474" s="13">
        <v>0.0115</v>
      </c>
      <c r="E474" s="35">
        <v>44839.0</v>
      </c>
      <c r="F474" s="12">
        <v>16240.05</v>
      </c>
      <c r="G474" s="11">
        <v>-0.003790981</v>
      </c>
      <c r="H474" s="13">
        <v>-0.0038</v>
      </c>
      <c r="J474" s="15"/>
      <c r="K474" s="11"/>
      <c r="L474" s="11"/>
      <c r="M474" s="11"/>
      <c r="N474" s="11"/>
    </row>
    <row r="475" ht="15.75" customHeight="1">
      <c r="A475" s="35">
        <v>44809.0</v>
      </c>
      <c r="B475" s="11">
        <v>711.5</v>
      </c>
      <c r="C475" s="11">
        <v>0.0018</v>
      </c>
      <c r="D475" s="13">
        <v>0.0018</v>
      </c>
      <c r="E475" s="35">
        <v>44809.0</v>
      </c>
      <c r="F475" s="12">
        <v>16301.85</v>
      </c>
      <c r="G475" s="11">
        <v>-0.006666159</v>
      </c>
      <c r="H475" s="13">
        <v>-0.0067</v>
      </c>
      <c r="J475" s="15"/>
      <c r="K475" s="11"/>
      <c r="L475" s="11"/>
      <c r="M475" s="11"/>
      <c r="N475" s="11"/>
    </row>
    <row r="476" ht="15.75" customHeight="1">
      <c r="A476" s="35">
        <v>44717.0</v>
      </c>
      <c r="B476" s="11">
        <v>710.25</v>
      </c>
      <c r="C476" s="11">
        <v>-0.0121</v>
      </c>
      <c r="D476" s="13">
        <v>-0.0121</v>
      </c>
      <c r="E476" s="35">
        <v>44717.0</v>
      </c>
      <c r="F476" s="12">
        <v>16411.25</v>
      </c>
      <c r="G476" s="11">
        <v>-0.016268399</v>
      </c>
      <c r="H476" s="13">
        <v>-0.0163</v>
      </c>
      <c r="J476" s="15"/>
      <c r="K476" s="11"/>
      <c r="L476" s="11"/>
      <c r="M476" s="11"/>
      <c r="N476" s="11"/>
    </row>
    <row r="477" ht="15.75" customHeight="1">
      <c r="A477" s="35">
        <v>44686.0</v>
      </c>
      <c r="B477" s="11">
        <v>718.95</v>
      </c>
      <c r="C477" s="11">
        <v>-0.0048</v>
      </c>
      <c r="D477" s="13">
        <v>-0.0048</v>
      </c>
      <c r="E477" s="35">
        <v>44686.0</v>
      </c>
      <c r="F477" s="12">
        <v>16682.65</v>
      </c>
      <c r="G477" s="11">
        <v>3.02801E-4</v>
      </c>
      <c r="H477" s="13">
        <v>3.0E-4</v>
      </c>
      <c r="J477" s="15"/>
      <c r="K477" s="11"/>
      <c r="L477" s="11"/>
      <c r="M477" s="11"/>
      <c r="N477" s="11"/>
    </row>
    <row r="478" ht="15.75" customHeight="1">
      <c r="A478" s="35">
        <v>44656.0</v>
      </c>
      <c r="B478" s="11">
        <v>722.4</v>
      </c>
      <c r="C478" s="11">
        <v>-0.0256</v>
      </c>
      <c r="D478" s="13">
        <v>-0.0256</v>
      </c>
      <c r="E478" s="35">
        <v>44656.0</v>
      </c>
      <c r="F478" s="12">
        <v>16677.6</v>
      </c>
      <c r="G478" s="11">
        <v>-0.022936183</v>
      </c>
      <c r="H478" s="13">
        <v>-0.0229</v>
      </c>
      <c r="J478" s="15"/>
      <c r="K478" s="11"/>
      <c r="L478" s="11"/>
      <c r="M478" s="11"/>
      <c r="N478" s="11"/>
    </row>
    <row r="479" ht="15.75" customHeight="1">
      <c r="A479" s="35">
        <v>44597.0</v>
      </c>
      <c r="B479" s="11">
        <v>741.35</v>
      </c>
      <c r="C479" s="11">
        <v>0.0032</v>
      </c>
      <c r="D479" s="13">
        <v>0.0032</v>
      </c>
      <c r="E479" s="35">
        <v>44597.0</v>
      </c>
      <c r="F479" s="12">
        <v>17069.1</v>
      </c>
      <c r="G479" s="11">
        <v>-0.001955849</v>
      </c>
      <c r="H479" s="13">
        <v>-0.002</v>
      </c>
      <c r="J479" s="15"/>
      <c r="K479" s="11"/>
      <c r="L479" s="11"/>
      <c r="M479" s="11"/>
      <c r="N479" s="11"/>
    </row>
    <row r="480" ht="15.75" customHeight="1">
      <c r="A480" s="11" t="s">
        <v>396</v>
      </c>
      <c r="B480" s="11">
        <v>739.0</v>
      </c>
      <c r="C480" s="11">
        <v>-0.0112</v>
      </c>
      <c r="D480" s="13">
        <v>-0.0112</v>
      </c>
      <c r="E480" s="11" t="s">
        <v>396</v>
      </c>
      <c r="F480" s="12">
        <v>17102.55</v>
      </c>
      <c r="G480" s="11">
        <v>-0.008263241</v>
      </c>
      <c r="H480" s="13">
        <v>-0.0083</v>
      </c>
      <c r="J480" s="15"/>
      <c r="K480" s="11"/>
      <c r="L480" s="11"/>
      <c r="M480" s="11"/>
      <c r="N480" s="11"/>
    </row>
    <row r="481" ht="15.75" customHeight="1">
      <c r="A481" s="11" t="s">
        <v>397</v>
      </c>
      <c r="B481" s="11">
        <v>747.35</v>
      </c>
      <c r="C481" s="11">
        <v>-0.0068</v>
      </c>
      <c r="D481" s="13">
        <v>-0.0068</v>
      </c>
      <c r="E481" s="11" t="s">
        <v>397</v>
      </c>
      <c r="F481" s="12">
        <v>17245.05</v>
      </c>
      <c r="G481" s="11">
        <v>0.012128486</v>
      </c>
      <c r="H481" s="13">
        <v>0.0121</v>
      </c>
      <c r="J481" s="15"/>
      <c r="K481" s="11"/>
      <c r="L481" s="11"/>
      <c r="M481" s="11"/>
      <c r="N481" s="11"/>
    </row>
    <row r="482" ht="15.75" customHeight="1">
      <c r="A482" s="11" t="s">
        <v>398</v>
      </c>
      <c r="B482" s="11">
        <v>752.5</v>
      </c>
      <c r="C482" s="11">
        <v>-0.005</v>
      </c>
      <c r="D482" s="13">
        <v>-0.005</v>
      </c>
      <c r="E482" s="11" t="s">
        <v>398</v>
      </c>
      <c r="F482" s="12">
        <v>17038.4</v>
      </c>
      <c r="G482" s="11">
        <v>-0.009441421</v>
      </c>
      <c r="H482" s="13">
        <v>-0.0094</v>
      </c>
      <c r="J482" s="15"/>
      <c r="K482" s="11"/>
      <c r="L482" s="11"/>
      <c r="M482" s="11"/>
      <c r="N482" s="11"/>
    </row>
    <row r="483" ht="15.75" customHeight="1">
      <c r="A483" s="11" t="s">
        <v>399</v>
      </c>
      <c r="B483" s="11">
        <v>756.3</v>
      </c>
      <c r="C483" s="11">
        <v>0.0229</v>
      </c>
      <c r="D483" s="13">
        <v>0.0229</v>
      </c>
      <c r="E483" s="11" t="s">
        <v>399</v>
      </c>
      <c r="F483" s="12">
        <v>17200.8</v>
      </c>
      <c r="G483" s="11">
        <v>0.014560029</v>
      </c>
      <c r="H483" s="13">
        <v>0.0146</v>
      </c>
      <c r="J483" s="15"/>
      <c r="K483" s="11"/>
      <c r="L483" s="11"/>
      <c r="M483" s="11"/>
      <c r="N483" s="11"/>
    </row>
    <row r="484" ht="15.75" customHeight="1">
      <c r="A484" s="11" t="s">
        <v>400</v>
      </c>
      <c r="B484" s="11">
        <v>739.35</v>
      </c>
      <c r="C484" s="11">
        <v>8.0E-4</v>
      </c>
      <c r="D484" s="13">
        <v>8.0E-4</v>
      </c>
      <c r="E484" s="11" t="s">
        <v>400</v>
      </c>
      <c r="F484" s="12">
        <v>16953.95</v>
      </c>
      <c r="G484" s="11">
        <v>-0.012695122</v>
      </c>
      <c r="H484" s="13">
        <v>-0.0127</v>
      </c>
      <c r="J484" s="15"/>
      <c r="K484" s="11"/>
      <c r="L484" s="11"/>
      <c r="M484" s="11"/>
      <c r="N484" s="11"/>
    </row>
    <row r="485" ht="15.75" customHeight="1">
      <c r="A485" s="11" t="s">
        <v>401</v>
      </c>
      <c r="B485" s="11">
        <v>738.75</v>
      </c>
      <c r="C485" s="11">
        <v>0.0041</v>
      </c>
      <c r="D485" s="13">
        <v>0.0041</v>
      </c>
      <c r="E485" s="11" t="s">
        <v>401</v>
      </c>
      <c r="F485" s="12">
        <v>17171.95</v>
      </c>
      <c r="G485" s="11">
        <v>-0.01268643</v>
      </c>
      <c r="H485" s="13">
        <v>-0.0127</v>
      </c>
      <c r="J485" s="15"/>
      <c r="K485" s="11"/>
      <c r="L485" s="11"/>
      <c r="M485" s="11"/>
      <c r="N485" s="11"/>
    </row>
    <row r="486" ht="15.75" customHeight="1">
      <c r="A486" s="11" t="s">
        <v>402</v>
      </c>
      <c r="B486" s="11">
        <v>735.75</v>
      </c>
      <c r="C486" s="11">
        <v>-0.0049</v>
      </c>
      <c r="D486" s="13">
        <v>-0.0049</v>
      </c>
      <c r="E486" s="11" t="s">
        <v>402</v>
      </c>
      <c r="F486" s="12">
        <v>17392.6</v>
      </c>
      <c r="G486" s="11">
        <v>0.014941747</v>
      </c>
      <c r="H486" s="13">
        <v>0.0149</v>
      </c>
      <c r="J486" s="15"/>
      <c r="K486" s="11"/>
      <c r="L486" s="11"/>
      <c r="M486" s="11"/>
      <c r="N486" s="11"/>
    </row>
    <row r="487" ht="15.75" customHeight="1">
      <c r="A487" s="11" t="s">
        <v>403</v>
      </c>
      <c r="B487" s="11">
        <v>739.35</v>
      </c>
      <c r="C487" s="11">
        <v>0.0219</v>
      </c>
      <c r="D487" s="13">
        <v>0.0219</v>
      </c>
      <c r="E487" s="11" t="s">
        <v>403</v>
      </c>
      <c r="F487" s="12">
        <v>17136.55</v>
      </c>
      <c r="G487" s="11">
        <v>0.010490222</v>
      </c>
      <c r="H487" s="13">
        <v>0.0105</v>
      </c>
      <c r="J487" s="15"/>
      <c r="K487" s="11"/>
      <c r="L487" s="11"/>
      <c r="M487" s="11"/>
      <c r="N487" s="11"/>
    </row>
    <row r="488" ht="15.75" customHeight="1">
      <c r="A488" s="11" t="s">
        <v>404</v>
      </c>
      <c r="B488" s="11">
        <v>723.5</v>
      </c>
      <c r="C488" s="11">
        <v>-0.0082</v>
      </c>
      <c r="D488" s="13">
        <v>-0.0082</v>
      </c>
      <c r="E488" s="11" t="s">
        <v>404</v>
      </c>
      <c r="F488" s="12">
        <v>16958.65</v>
      </c>
      <c r="G488" s="11">
        <v>-0.012519179</v>
      </c>
      <c r="H488" s="13">
        <v>-0.0125</v>
      </c>
      <c r="J488" s="15"/>
      <c r="K488" s="11"/>
      <c r="L488" s="11"/>
      <c r="M488" s="11"/>
      <c r="N488" s="11"/>
    </row>
    <row r="489" ht="15.75" customHeight="1">
      <c r="A489" s="11" t="s">
        <v>405</v>
      </c>
      <c r="B489" s="11">
        <v>729.5</v>
      </c>
      <c r="C489" s="11">
        <v>-0.0151</v>
      </c>
      <c r="D489" s="13">
        <v>-0.0151</v>
      </c>
      <c r="E489" s="11" t="s">
        <v>405</v>
      </c>
      <c r="F489" s="12">
        <v>17173.65</v>
      </c>
      <c r="G489" s="11">
        <v>-0.017281188</v>
      </c>
      <c r="H489" s="13">
        <v>-0.0173</v>
      </c>
      <c r="J489" s="15"/>
      <c r="K489" s="11"/>
      <c r="L489" s="11"/>
      <c r="M489" s="11"/>
      <c r="N489" s="11"/>
    </row>
    <row r="490" ht="15.75" customHeight="1">
      <c r="A490" s="11" t="s">
        <v>406</v>
      </c>
      <c r="B490" s="11">
        <v>740.65</v>
      </c>
      <c r="C490" s="11">
        <v>-0.0013</v>
      </c>
      <c r="D490" s="13">
        <v>-0.0013</v>
      </c>
      <c r="E490" s="11" t="s">
        <v>406</v>
      </c>
      <c r="F490" s="12">
        <v>17475.65</v>
      </c>
      <c r="G490" s="11">
        <v>-0.003117459</v>
      </c>
      <c r="H490" s="13">
        <v>-0.0031</v>
      </c>
      <c r="J490" s="15"/>
      <c r="K490" s="11"/>
      <c r="L490" s="11"/>
      <c r="M490" s="11"/>
      <c r="N490" s="11"/>
    </row>
    <row r="491" ht="15.75" customHeight="1">
      <c r="A491" s="35">
        <v>44899.0</v>
      </c>
      <c r="B491" s="11">
        <v>741.65</v>
      </c>
      <c r="C491" s="11">
        <v>-0.0216</v>
      </c>
      <c r="D491" s="13">
        <v>-0.0216</v>
      </c>
      <c r="E491" s="35">
        <v>44899.0</v>
      </c>
      <c r="F491" s="12">
        <v>17530.3</v>
      </c>
      <c r="G491" s="11">
        <v>-0.008183899</v>
      </c>
      <c r="H491" s="13">
        <v>-0.0082</v>
      </c>
      <c r="J491" s="15"/>
      <c r="K491" s="11"/>
      <c r="L491" s="11"/>
      <c r="M491" s="11"/>
      <c r="N491" s="11"/>
    </row>
    <row r="492" ht="15.75" customHeight="1">
      <c r="A492" s="35">
        <v>44869.0</v>
      </c>
      <c r="B492" s="11">
        <v>758.05</v>
      </c>
      <c r="C492" s="11">
        <v>-0.0053</v>
      </c>
      <c r="D492" s="13">
        <v>-0.0053</v>
      </c>
      <c r="E492" s="35">
        <v>44869.0</v>
      </c>
      <c r="F492" s="12">
        <v>17674.95</v>
      </c>
      <c r="G492" s="11">
        <v>-0.006151476</v>
      </c>
      <c r="H492" s="13">
        <v>-0.0062</v>
      </c>
      <c r="J492" s="15"/>
      <c r="K492" s="11"/>
      <c r="L492" s="11"/>
      <c r="M492" s="11"/>
      <c r="N492" s="11"/>
    </row>
    <row r="493" ht="15.75" customHeight="1">
      <c r="A493" s="35">
        <v>44777.0</v>
      </c>
      <c r="B493" s="11">
        <v>762.1</v>
      </c>
      <c r="C493" s="11">
        <v>-4.0E-4</v>
      </c>
      <c r="D493" s="13">
        <v>-4.0E-4</v>
      </c>
      <c r="E493" s="35">
        <v>44777.0</v>
      </c>
      <c r="F493" s="12">
        <v>17784.35</v>
      </c>
      <c r="G493" s="11">
        <v>0.008208826</v>
      </c>
      <c r="H493" s="13">
        <v>0.0082</v>
      </c>
      <c r="J493" s="15"/>
      <c r="K493" s="11"/>
      <c r="L493" s="11"/>
      <c r="M493" s="11"/>
      <c r="N493" s="11"/>
    </row>
    <row r="494" ht="15.75" customHeight="1">
      <c r="A494" s="35">
        <v>44746.0</v>
      </c>
      <c r="B494" s="11">
        <v>762.4</v>
      </c>
      <c r="C494" s="11">
        <v>-0.0171</v>
      </c>
      <c r="D494" s="13">
        <v>-0.0171</v>
      </c>
      <c r="E494" s="35">
        <v>44746.0</v>
      </c>
      <c r="F494" s="12">
        <v>17639.55</v>
      </c>
      <c r="G494" s="11">
        <v>-0.009439763</v>
      </c>
      <c r="H494" s="13">
        <v>-0.0094</v>
      </c>
      <c r="J494" s="15"/>
      <c r="K494" s="11"/>
      <c r="L494" s="11"/>
      <c r="M494" s="11"/>
      <c r="N494" s="11"/>
    </row>
    <row r="495" ht="15.75" customHeight="1">
      <c r="A495" s="35">
        <v>44716.0</v>
      </c>
      <c r="B495" s="11">
        <v>775.65</v>
      </c>
      <c r="C495" s="11">
        <v>0.0118</v>
      </c>
      <c r="D495" s="13">
        <v>0.0118</v>
      </c>
      <c r="E495" s="35">
        <v>44716.0</v>
      </c>
      <c r="F495" s="12">
        <v>17807.65</v>
      </c>
      <c r="G495" s="11">
        <v>-0.008339181</v>
      </c>
      <c r="H495" s="13">
        <v>-0.0083</v>
      </c>
      <c r="J495" s="15"/>
      <c r="K495" s="11"/>
      <c r="L495" s="11"/>
      <c r="M495" s="11"/>
      <c r="N495" s="11"/>
    </row>
    <row r="496" ht="15.75" customHeight="1">
      <c r="A496" s="35">
        <v>44685.0</v>
      </c>
      <c r="B496" s="11">
        <v>766.6</v>
      </c>
      <c r="C496" s="11">
        <v>-0.0016</v>
      </c>
      <c r="D496" s="13">
        <v>-0.0016</v>
      </c>
      <c r="E496" s="35">
        <v>44685.0</v>
      </c>
      <c r="F496" s="12">
        <v>17957.4</v>
      </c>
      <c r="G496" s="11">
        <v>-0.005317558</v>
      </c>
      <c r="H496" s="13">
        <v>-0.0053</v>
      </c>
      <c r="J496" s="15"/>
      <c r="K496" s="11"/>
      <c r="L496" s="11"/>
      <c r="M496" s="11"/>
      <c r="N496" s="11"/>
    </row>
    <row r="497" ht="15.75" customHeight="1">
      <c r="A497" s="35">
        <v>44655.0</v>
      </c>
      <c r="B497" s="11">
        <v>767.8</v>
      </c>
      <c r="C497" s="11">
        <v>0.0123</v>
      </c>
      <c r="D497" s="13">
        <v>0.0123</v>
      </c>
      <c r="E497" s="35">
        <v>44655.0</v>
      </c>
      <c r="F497" s="12">
        <v>18053.4</v>
      </c>
      <c r="G497" s="11">
        <v>0.021671774</v>
      </c>
      <c r="H497" s="13">
        <v>0.0217</v>
      </c>
      <c r="J497" s="15"/>
      <c r="K497" s="11"/>
      <c r="L497" s="11"/>
      <c r="M497" s="11"/>
      <c r="N497" s="11"/>
    </row>
    <row r="498" ht="15.75" customHeight="1">
      <c r="A498" s="35">
        <v>44565.0</v>
      </c>
      <c r="B498" s="11">
        <v>758.5</v>
      </c>
      <c r="C498" s="11">
        <v>0.0047</v>
      </c>
      <c r="D498" s="13">
        <v>0.0047</v>
      </c>
      <c r="E498" s="35">
        <v>44565.0</v>
      </c>
      <c r="F498" s="12">
        <v>17670.45</v>
      </c>
      <c r="G498" s="11">
        <v>0.01177801</v>
      </c>
      <c r="H498" s="13">
        <v>0.0118</v>
      </c>
      <c r="J498" s="15"/>
      <c r="K498" s="11"/>
      <c r="L498" s="11"/>
      <c r="M498" s="11"/>
      <c r="N498" s="11"/>
    </row>
    <row r="499" ht="15.75" customHeight="1">
      <c r="A499" s="11" t="s">
        <v>407</v>
      </c>
      <c r="B499" s="11">
        <v>754.95</v>
      </c>
      <c r="C499" s="11">
        <v>0.0073</v>
      </c>
      <c r="D499" s="13">
        <v>0.0073</v>
      </c>
      <c r="E499" s="11" t="s">
        <v>407</v>
      </c>
      <c r="F499" s="12">
        <v>17464.75</v>
      </c>
      <c r="G499" s="11">
        <v>-0.001914477</v>
      </c>
      <c r="H499" s="13">
        <v>-0.0019</v>
      </c>
      <c r="J499" s="15"/>
      <c r="K499" s="11"/>
      <c r="L499" s="11"/>
      <c r="M499" s="11"/>
      <c r="N499" s="11"/>
    </row>
    <row r="500" ht="15.75" customHeight="1">
      <c r="A500" s="11" t="s">
        <v>408</v>
      </c>
      <c r="B500" s="11">
        <v>749.5</v>
      </c>
      <c r="C500" s="11">
        <v>-0.0072</v>
      </c>
      <c r="D500" s="13">
        <v>-0.0072</v>
      </c>
      <c r="E500" s="11" t="s">
        <v>408</v>
      </c>
      <c r="F500" s="12">
        <v>17498.25</v>
      </c>
      <c r="G500" s="11">
        <v>0.009982511</v>
      </c>
      <c r="H500" s="13">
        <v>0.01</v>
      </c>
      <c r="J500" s="15"/>
      <c r="K500" s="11"/>
      <c r="L500" s="11"/>
      <c r="M500" s="11"/>
      <c r="N500" s="11"/>
    </row>
    <row r="501" ht="15.75" customHeight="1">
      <c r="A501" s="11" t="s">
        <v>409</v>
      </c>
      <c r="B501" s="11">
        <v>754.95</v>
      </c>
      <c r="C501" s="11">
        <v>0.0299</v>
      </c>
      <c r="D501" s="13">
        <v>0.0299</v>
      </c>
      <c r="E501" s="11" t="s">
        <v>409</v>
      </c>
      <c r="F501" s="12">
        <v>17325.3</v>
      </c>
      <c r="G501" s="11">
        <v>0.005998142</v>
      </c>
      <c r="H501" s="13">
        <v>0.006</v>
      </c>
      <c r="J501" s="15"/>
      <c r="K501" s="11"/>
      <c r="L501" s="11"/>
      <c r="M501" s="11"/>
      <c r="N501" s="11"/>
    </row>
    <row r="502" ht="15.75" customHeight="1">
      <c r="A502" s="11" t="s">
        <v>410</v>
      </c>
      <c r="B502" s="11">
        <v>733.05</v>
      </c>
      <c r="C502" s="11">
        <v>0.0334</v>
      </c>
      <c r="D502" s="13">
        <v>0.0334</v>
      </c>
      <c r="E502" s="11" t="s">
        <v>410</v>
      </c>
      <c r="F502" s="12">
        <v>17222.0</v>
      </c>
      <c r="G502" s="11">
        <v>0.00402262</v>
      </c>
      <c r="H502" s="13">
        <v>0.004</v>
      </c>
      <c r="J502" s="15"/>
      <c r="K502" s="11"/>
      <c r="L502" s="11"/>
      <c r="M502" s="11"/>
      <c r="N502" s="11"/>
    </row>
    <row r="503" ht="15.75" customHeight="1">
      <c r="A503" s="11" t="s">
        <v>411</v>
      </c>
      <c r="B503" s="11">
        <v>709.35</v>
      </c>
      <c r="C503" s="11">
        <v>0.0042</v>
      </c>
      <c r="D503" s="13">
        <v>0.0042</v>
      </c>
      <c r="E503" s="11" t="s">
        <v>411</v>
      </c>
      <c r="F503" s="12">
        <v>17153.0</v>
      </c>
      <c r="G503" s="11">
        <v>-0.004049876</v>
      </c>
      <c r="H503" s="13">
        <v>-0.004</v>
      </c>
      <c r="J503" s="15"/>
      <c r="K503" s="11"/>
      <c r="L503" s="11"/>
      <c r="M503" s="11"/>
      <c r="N503" s="11"/>
    </row>
    <row r="504" ht="15.75" customHeight="1">
      <c r="A504" s="11" t="s">
        <v>412</v>
      </c>
      <c r="B504" s="11">
        <v>706.35</v>
      </c>
      <c r="C504" s="11">
        <v>0.002</v>
      </c>
      <c r="D504" s="13">
        <v>0.002</v>
      </c>
      <c r="E504" s="11" t="s">
        <v>412</v>
      </c>
      <c r="F504" s="12">
        <v>17222.75</v>
      </c>
      <c r="G504" s="11">
        <v>-0.001327871</v>
      </c>
      <c r="H504" s="13">
        <v>-0.0013</v>
      </c>
      <c r="J504" s="15"/>
      <c r="K504" s="11"/>
      <c r="L504" s="11"/>
      <c r="M504" s="11"/>
      <c r="N504" s="11"/>
    </row>
    <row r="505" ht="15.75" customHeight="1">
      <c r="A505" s="11" t="s">
        <v>413</v>
      </c>
      <c r="B505" s="11">
        <v>704.95</v>
      </c>
      <c r="C505" s="11">
        <v>-0.0199</v>
      </c>
      <c r="D505" s="13">
        <v>-0.0199</v>
      </c>
      <c r="E505" s="11" t="s">
        <v>413</v>
      </c>
      <c r="F505" s="12">
        <v>17245.65</v>
      </c>
      <c r="G505" s="11">
        <v>-0.004033958</v>
      </c>
      <c r="H505" s="13">
        <v>-0.004</v>
      </c>
      <c r="J505" s="15"/>
      <c r="K505" s="11"/>
      <c r="L505" s="11"/>
      <c r="M505" s="11"/>
      <c r="N505" s="11"/>
    </row>
    <row r="506" ht="15.75" customHeight="1">
      <c r="A506" s="11" t="s">
        <v>414</v>
      </c>
      <c r="B506" s="11">
        <v>719.25</v>
      </c>
      <c r="C506" s="11">
        <v>0.0156</v>
      </c>
      <c r="D506" s="13">
        <v>0.0156</v>
      </c>
      <c r="E506" s="11" t="s">
        <v>414</v>
      </c>
      <c r="F506" s="12">
        <v>17315.5</v>
      </c>
      <c r="G506" s="11">
        <v>0.0115612</v>
      </c>
      <c r="H506" s="13">
        <v>0.0116</v>
      </c>
      <c r="J506" s="15"/>
      <c r="K506" s="11"/>
      <c r="L506" s="11"/>
      <c r="M506" s="11"/>
      <c r="N506" s="11"/>
    </row>
    <row r="507" ht="15.75" customHeight="1">
      <c r="A507" s="11" t="s">
        <v>415</v>
      </c>
      <c r="B507" s="11">
        <v>708.2</v>
      </c>
      <c r="C507" s="11">
        <v>-0.0203</v>
      </c>
      <c r="D507" s="13">
        <v>-0.0203</v>
      </c>
      <c r="E507" s="11" t="s">
        <v>415</v>
      </c>
      <c r="F507" s="12">
        <v>17117.6</v>
      </c>
      <c r="G507" s="11">
        <v>-0.009802135</v>
      </c>
      <c r="H507" s="13">
        <v>-0.0098</v>
      </c>
      <c r="J507" s="15"/>
      <c r="K507" s="11"/>
      <c r="L507" s="11"/>
      <c r="M507" s="11"/>
      <c r="N507" s="11"/>
    </row>
    <row r="508" ht="15.75" customHeight="1">
      <c r="A508" s="11" t="s">
        <v>416</v>
      </c>
      <c r="B508" s="11">
        <v>722.9</v>
      </c>
      <c r="C508" s="11">
        <v>0.0153</v>
      </c>
      <c r="D508" s="13">
        <v>0.0153</v>
      </c>
      <c r="E508" s="11" t="s">
        <v>416</v>
      </c>
      <c r="F508" s="12">
        <v>17287.05</v>
      </c>
      <c r="G508" s="11">
        <v>0.018361919</v>
      </c>
      <c r="H508" s="13">
        <v>0.0184</v>
      </c>
      <c r="J508" s="15"/>
      <c r="K508" s="11"/>
      <c r="L508" s="11"/>
      <c r="M508" s="11"/>
      <c r="N508" s="11"/>
    </row>
    <row r="509" ht="15.75" customHeight="1">
      <c r="A509" s="11" t="s">
        <v>417</v>
      </c>
      <c r="B509" s="11">
        <v>712.0</v>
      </c>
      <c r="C509" s="11">
        <v>0.0127</v>
      </c>
      <c r="D509" s="13">
        <v>0.0127</v>
      </c>
      <c r="E509" s="11" t="s">
        <v>417</v>
      </c>
      <c r="F509" s="12">
        <v>16975.35</v>
      </c>
      <c r="G509" s="11">
        <v>0.018745124</v>
      </c>
      <c r="H509" s="13">
        <v>0.0187</v>
      </c>
      <c r="J509" s="15"/>
      <c r="K509" s="11"/>
      <c r="L509" s="11"/>
      <c r="M509" s="11"/>
      <c r="N509" s="11"/>
    </row>
    <row r="510" ht="15.75" customHeight="1">
      <c r="A510" s="11" t="s">
        <v>418</v>
      </c>
      <c r="B510" s="11">
        <v>703.1</v>
      </c>
      <c r="C510" s="11">
        <v>0.0039</v>
      </c>
      <c r="D510" s="13">
        <v>0.0039</v>
      </c>
      <c r="E510" s="11" t="s">
        <v>418</v>
      </c>
      <c r="F510" s="12">
        <v>16663.0</v>
      </c>
      <c r="G510" s="11">
        <v>-0.012346411</v>
      </c>
      <c r="H510" s="13">
        <v>-0.0123</v>
      </c>
      <c r="J510" s="15"/>
      <c r="K510" s="11"/>
      <c r="L510" s="11"/>
      <c r="M510" s="11"/>
      <c r="N510" s="11"/>
    </row>
    <row r="511" ht="15.75" customHeight="1">
      <c r="A511" s="11" t="s">
        <v>419</v>
      </c>
      <c r="B511" s="11">
        <v>700.4</v>
      </c>
      <c r="C511" s="11">
        <v>0.008</v>
      </c>
      <c r="D511" s="13">
        <v>0.008</v>
      </c>
      <c r="E511" s="11" t="s">
        <v>419</v>
      </c>
      <c r="F511" s="12">
        <v>16871.3</v>
      </c>
      <c r="G511" s="11">
        <v>0.01448247</v>
      </c>
      <c r="H511" s="13">
        <v>0.0145</v>
      </c>
      <c r="J511" s="15"/>
      <c r="K511" s="11"/>
      <c r="L511" s="11"/>
      <c r="M511" s="11"/>
      <c r="N511" s="11"/>
    </row>
    <row r="512" ht="15.75" customHeight="1">
      <c r="A512" s="35">
        <v>44868.0</v>
      </c>
      <c r="B512" s="11">
        <v>694.85</v>
      </c>
      <c r="C512" s="11">
        <v>-0.0042</v>
      </c>
      <c r="D512" s="13">
        <v>-0.0042</v>
      </c>
      <c r="E512" s="35">
        <v>44868.0</v>
      </c>
      <c r="F512" s="12">
        <v>16630.45</v>
      </c>
      <c r="G512" s="11">
        <v>0.002142224</v>
      </c>
      <c r="H512" s="13">
        <v>0.0021</v>
      </c>
      <c r="J512" s="15"/>
      <c r="K512" s="11"/>
      <c r="L512" s="11"/>
      <c r="M512" s="11"/>
      <c r="N512" s="11"/>
    </row>
    <row r="513" ht="15.75" customHeight="1">
      <c r="A513" s="35">
        <v>44837.0</v>
      </c>
      <c r="B513" s="11">
        <v>697.75</v>
      </c>
      <c r="C513" s="11">
        <v>0.009</v>
      </c>
      <c r="D513" s="13">
        <v>0.009</v>
      </c>
      <c r="E513" s="35">
        <v>44837.0</v>
      </c>
      <c r="F513" s="12">
        <v>16594.9</v>
      </c>
      <c r="G513" s="11">
        <v>0.015267339</v>
      </c>
      <c r="H513" s="13">
        <v>0.0153</v>
      </c>
      <c r="J513" s="15"/>
      <c r="K513" s="11"/>
      <c r="L513" s="11"/>
      <c r="M513" s="11"/>
      <c r="N513" s="11"/>
    </row>
    <row r="514" ht="15.75" customHeight="1">
      <c r="A514" s="35">
        <v>44807.0</v>
      </c>
      <c r="B514" s="11">
        <v>691.5</v>
      </c>
      <c r="C514" s="11">
        <v>0.0124</v>
      </c>
      <c r="D514" s="13">
        <v>0.0124</v>
      </c>
      <c r="E514" s="35">
        <v>44807.0</v>
      </c>
      <c r="F514" s="12">
        <v>16345.35</v>
      </c>
      <c r="G514" s="11">
        <v>0.020726327</v>
      </c>
      <c r="H514" s="13">
        <v>0.0207</v>
      </c>
      <c r="J514" s="15"/>
      <c r="K514" s="11"/>
      <c r="L514" s="11"/>
      <c r="M514" s="11"/>
      <c r="N514" s="11"/>
    </row>
    <row r="515" ht="15.75" customHeight="1">
      <c r="A515" s="35">
        <v>44776.0</v>
      </c>
      <c r="B515" s="11">
        <v>683.0</v>
      </c>
      <c r="C515" s="11">
        <v>0.0113</v>
      </c>
      <c r="D515" s="13">
        <v>0.0113</v>
      </c>
      <c r="E515" s="35">
        <v>44776.0</v>
      </c>
      <c r="F515" s="12">
        <v>16013.45</v>
      </c>
      <c r="G515" s="11">
        <v>0.009474789</v>
      </c>
      <c r="H515" s="13">
        <v>0.0095</v>
      </c>
      <c r="J515" s="15"/>
      <c r="K515" s="11"/>
      <c r="L515" s="11"/>
      <c r="M515" s="11"/>
      <c r="N515" s="11"/>
    </row>
    <row r="516" ht="15.75" customHeight="1">
      <c r="A516" s="35">
        <v>44745.0</v>
      </c>
      <c r="B516" s="11">
        <v>675.4</v>
      </c>
      <c r="C516" s="11">
        <v>0.0332</v>
      </c>
      <c r="D516" s="13">
        <v>0.0332</v>
      </c>
      <c r="E516" s="35">
        <v>44745.0</v>
      </c>
      <c r="F516" s="12">
        <v>15863.15</v>
      </c>
      <c r="G516" s="11">
        <v>-0.023526732</v>
      </c>
      <c r="H516" s="13">
        <v>-0.0235</v>
      </c>
      <c r="J516" s="15"/>
      <c r="K516" s="11"/>
      <c r="L516" s="11"/>
      <c r="M516" s="11"/>
      <c r="N516" s="11"/>
    </row>
    <row r="517" ht="15.75" customHeight="1">
      <c r="A517" s="35">
        <v>44654.0</v>
      </c>
      <c r="B517" s="11">
        <v>653.7</v>
      </c>
      <c r="C517" s="11">
        <v>-0.0273</v>
      </c>
      <c r="D517" s="13">
        <v>-0.0273</v>
      </c>
      <c r="E517" s="35">
        <v>44654.0</v>
      </c>
      <c r="F517" s="12">
        <v>16245.35</v>
      </c>
      <c r="G517" s="11">
        <v>-0.015316962</v>
      </c>
      <c r="H517" s="13">
        <v>-0.0153</v>
      </c>
      <c r="J517" s="15"/>
      <c r="K517" s="11"/>
      <c r="L517" s="11"/>
      <c r="M517" s="11"/>
      <c r="N517" s="11"/>
    </row>
    <row r="518" ht="15.75" customHeight="1">
      <c r="A518" s="35">
        <v>44623.0</v>
      </c>
      <c r="B518" s="11">
        <v>672.05</v>
      </c>
      <c r="C518" s="11">
        <v>-0.0033</v>
      </c>
      <c r="D518" s="13">
        <v>-0.0033</v>
      </c>
      <c r="E518" s="35">
        <v>44623.0</v>
      </c>
      <c r="F518" s="12">
        <v>16498.05</v>
      </c>
      <c r="G518" s="11">
        <v>-0.006497671</v>
      </c>
      <c r="H518" s="13">
        <v>-0.0065</v>
      </c>
      <c r="J518" s="15"/>
      <c r="K518" s="11"/>
      <c r="L518" s="11"/>
      <c r="M518" s="11"/>
      <c r="N518" s="11"/>
    </row>
    <row r="519" ht="15.75" customHeight="1">
      <c r="A519" s="35">
        <v>44595.0</v>
      </c>
      <c r="B519" s="11">
        <v>674.25</v>
      </c>
      <c r="C519" s="11">
        <v>-0.0178</v>
      </c>
      <c r="D519" s="13">
        <v>-0.0178</v>
      </c>
      <c r="E519" s="35">
        <v>44595.0</v>
      </c>
      <c r="F519" s="12">
        <v>16605.95</v>
      </c>
      <c r="G519" s="11">
        <v>-0.011191564</v>
      </c>
      <c r="H519" s="13">
        <v>-0.0112</v>
      </c>
      <c r="J519" s="15"/>
      <c r="K519" s="11"/>
      <c r="L519" s="11"/>
      <c r="M519" s="11"/>
      <c r="N519" s="11"/>
    </row>
    <row r="520" ht="15.75" customHeight="1">
      <c r="A520" s="11" t="s">
        <v>420</v>
      </c>
      <c r="B520" s="11">
        <v>686.5</v>
      </c>
      <c r="C520" s="11">
        <v>-0.0031</v>
      </c>
      <c r="D520" s="13">
        <v>-0.0031</v>
      </c>
      <c r="E520" s="11" t="s">
        <v>420</v>
      </c>
      <c r="F520" s="12">
        <v>16793.9</v>
      </c>
      <c r="G520" s="11">
        <v>0.008134034</v>
      </c>
      <c r="H520" s="13">
        <v>0.0081</v>
      </c>
      <c r="J520" s="15"/>
      <c r="K520" s="11"/>
      <c r="L520" s="11"/>
      <c r="M520" s="11"/>
      <c r="N520" s="11"/>
    </row>
    <row r="521" ht="15.75" customHeight="1">
      <c r="A521" s="11" t="s">
        <v>421</v>
      </c>
      <c r="B521" s="11">
        <v>688.65</v>
      </c>
      <c r="C521" s="11">
        <v>0.0265</v>
      </c>
      <c r="D521" s="13">
        <v>0.0265</v>
      </c>
      <c r="E521" s="11" t="s">
        <v>421</v>
      </c>
      <c r="F521" s="12">
        <v>16658.4</v>
      </c>
      <c r="G521" s="11">
        <v>0.025261648</v>
      </c>
      <c r="H521" s="13">
        <v>0.0253</v>
      </c>
      <c r="J521" s="15"/>
      <c r="K521" s="11"/>
      <c r="L521" s="11"/>
      <c r="M521" s="11"/>
      <c r="N521" s="11"/>
    </row>
    <row r="522" ht="15.75" customHeight="1">
      <c r="A522" s="11" t="s">
        <v>422</v>
      </c>
      <c r="B522" s="11">
        <v>670.9</v>
      </c>
      <c r="C522" s="11">
        <v>-0.0476</v>
      </c>
      <c r="D522" s="13">
        <v>-0.0476</v>
      </c>
      <c r="E522" s="11" t="s">
        <v>422</v>
      </c>
      <c r="F522" s="12">
        <v>16247.95</v>
      </c>
      <c r="G522" s="11">
        <v>-0.04778105</v>
      </c>
      <c r="H522" s="13">
        <v>-0.0478</v>
      </c>
      <c r="J522" s="15"/>
      <c r="K522" s="11"/>
      <c r="L522" s="11"/>
      <c r="M522" s="11"/>
      <c r="N522" s="11"/>
    </row>
    <row r="523" ht="15.75" customHeight="1">
      <c r="A523" s="11" t="s">
        <v>423</v>
      </c>
      <c r="B523" s="11">
        <v>704.4</v>
      </c>
      <c r="C523" s="11">
        <v>0.0074</v>
      </c>
      <c r="D523" s="13">
        <v>0.0074</v>
      </c>
      <c r="E523" s="11" t="s">
        <v>423</v>
      </c>
      <c r="F523" s="12">
        <v>17063.25</v>
      </c>
      <c r="G523" s="11">
        <v>-0.001693755</v>
      </c>
      <c r="H523" s="13">
        <v>-0.0017</v>
      </c>
      <c r="J523" s="15"/>
      <c r="K523" s="11"/>
      <c r="L523" s="11"/>
      <c r="M523" s="11"/>
      <c r="N523" s="11"/>
    </row>
    <row r="524" ht="15.75" customHeight="1">
      <c r="A524" s="11" t="s">
        <v>424</v>
      </c>
      <c r="B524" s="11">
        <v>699.25</v>
      </c>
      <c r="C524" s="11">
        <v>-0.0151</v>
      </c>
      <c r="D524" s="13">
        <v>-0.0151</v>
      </c>
      <c r="E524" s="11" t="s">
        <v>424</v>
      </c>
      <c r="F524" s="12">
        <v>17092.2</v>
      </c>
      <c r="G524" s="11">
        <v>-0.006651498</v>
      </c>
      <c r="H524" s="13">
        <v>-0.0067</v>
      </c>
      <c r="J524" s="15"/>
      <c r="K524" s="11"/>
      <c r="L524" s="11"/>
      <c r="M524" s="11"/>
      <c r="N524" s="11"/>
    </row>
    <row r="525" ht="15.75" customHeight="1">
      <c r="A525" s="11" t="s">
        <v>425</v>
      </c>
      <c r="B525" s="11">
        <v>709.95</v>
      </c>
      <c r="C525" s="11">
        <v>-0.0036</v>
      </c>
      <c r="D525" s="13">
        <v>-0.0036</v>
      </c>
      <c r="E525" s="11" t="s">
        <v>425</v>
      </c>
      <c r="F525" s="12">
        <v>17206.65</v>
      </c>
      <c r="G525" s="11">
        <v>-0.004031535</v>
      </c>
      <c r="H525" s="13">
        <v>-0.004</v>
      </c>
      <c r="J525" s="15"/>
      <c r="K525" s="11"/>
      <c r="L525" s="11"/>
      <c r="M525" s="11"/>
      <c r="N525" s="11"/>
    </row>
    <row r="526" ht="15.75" customHeight="1">
      <c r="A526" s="11" t="s">
        <v>426</v>
      </c>
      <c r="B526" s="11">
        <v>712.55</v>
      </c>
      <c r="C526" s="11">
        <v>-0.0062</v>
      </c>
      <c r="D526" s="13">
        <v>-0.0062</v>
      </c>
      <c r="E526" s="11" t="s">
        <v>426</v>
      </c>
      <c r="F526" s="12">
        <v>17276.3</v>
      </c>
      <c r="G526" s="11">
        <v>-0.001635403</v>
      </c>
      <c r="H526" s="13">
        <v>-0.0016</v>
      </c>
      <c r="J526" s="15"/>
      <c r="K526" s="11"/>
      <c r="L526" s="11"/>
      <c r="M526" s="11"/>
      <c r="N526" s="11"/>
    </row>
    <row r="527" ht="15.75" customHeight="1">
      <c r="A527" s="11" t="s">
        <v>427</v>
      </c>
      <c r="B527" s="11">
        <v>717.0</v>
      </c>
      <c r="C527" s="11">
        <v>-0.0067</v>
      </c>
      <c r="D527" s="13">
        <v>-0.0067</v>
      </c>
      <c r="E527" s="11" t="s">
        <v>427</v>
      </c>
      <c r="F527" s="12">
        <v>17304.6</v>
      </c>
      <c r="G527" s="11">
        <v>-0.001016037</v>
      </c>
      <c r="H527" s="13">
        <v>-0.001</v>
      </c>
      <c r="J527" s="15"/>
      <c r="K527" s="11"/>
      <c r="L527" s="11"/>
      <c r="M527" s="11"/>
      <c r="N527" s="11"/>
    </row>
    <row r="528" ht="15.75" customHeight="1">
      <c r="A528" s="11" t="s">
        <v>428</v>
      </c>
      <c r="B528" s="11">
        <v>721.8</v>
      </c>
      <c r="C528" s="11">
        <v>0.0144</v>
      </c>
      <c r="D528" s="13">
        <v>0.0144</v>
      </c>
      <c r="E528" s="11" t="s">
        <v>428</v>
      </c>
      <c r="F528" s="12">
        <v>17322.2</v>
      </c>
      <c r="G528" s="11">
        <v>-0.00174327</v>
      </c>
      <c r="H528" s="13">
        <v>-0.0017</v>
      </c>
      <c r="J528" s="15"/>
      <c r="K528" s="11"/>
      <c r="L528" s="11"/>
      <c r="M528" s="11"/>
      <c r="N528" s="11"/>
    </row>
    <row r="529" ht="15.75" customHeight="1">
      <c r="A529" s="11" t="s">
        <v>429</v>
      </c>
      <c r="B529" s="11">
        <v>711.55</v>
      </c>
      <c r="C529" s="11">
        <v>0.0317</v>
      </c>
      <c r="D529" s="13">
        <v>0.0317</v>
      </c>
      <c r="E529" s="11" t="s">
        <v>429</v>
      </c>
      <c r="F529" s="12">
        <v>17352.45</v>
      </c>
      <c r="G529" s="11">
        <v>0.030259221</v>
      </c>
      <c r="H529" s="13">
        <v>0.0303</v>
      </c>
      <c r="J529" s="15"/>
      <c r="K529" s="11"/>
      <c r="L529" s="11"/>
      <c r="M529" s="11"/>
      <c r="N529" s="11"/>
    </row>
    <row r="530" ht="15.75" customHeight="1">
      <c r="A530" s="11" t="s">
        <v>430</v>
      </c>
      <c r="B530" s="11">
        <v>689.7</v>
      </c>
      <c r="C530" s="11">
        <v>-0.0356</v>
      </c>
      <c r="D530" s="13">
        <v>-0.0356</v>
      </c>
      <c r="E530" s="11" t="s">
        <v>430</v>
      </c>
      <c r="F530" s="12">
        <v>16842.8</v>
      </c>
      <c r="G530" s="11">
        <v>-0.030616268</v>
      </c>
      <c r="H530" s="13">
        <v>-0.0306</v>
      </c>
      <c r="J530" s="15"/>
      <c r="K530" s="11"/>
      <c r="L530" s="11"/>
      <c r="M530" s="11"/>
      <c r="N530" s="11"/>
    </row>
    <row r="531" ht="15.75" customHeight="1">
      <c r="A531" s="35">
        <v>44867.0</v>
      </c>
      <c r="B531" s="11">
        <v>715.15</v>
      </c>
      <c r="C531" s="11">
        <v>-0.0123</v>
      </c>
      <c r="D531" s="13">
        <v>-0.0123</v>
      </c>
      <c r="E531" s="35">
        <v>44867.0</v>
      </c>
      <c r="F531" s="12">
        <v>17374.75</v>
      </c>
      <c r="G531" s="11">
        <v>-0.013126319</v>
      </c>
      <c r="H531" s="13">
        <v>-0.0131</v>
      </c>
      <c r="J531" s="15"/>
      <c r="K531" s="11"/>
      <c r="L531" s="11"/>
      <c r="M531" s="11"/>
      <c r="N531" s="11"/>
    </row>
    <row r="532" ht="15.75" customHeight="1">
      <c r="A532" s="35">
        <v>44836.0</v>
      </c>
      <c r="B532" s="11">
        <v>724.05</v>
      </c>
      <c r="C532" s="11">
        <v>0.0065</v>
      </c>
      <c r="D532" s="13">
        <v>0.0065</v>
      </c>
      <c r="E532" s="35">
        <v>44836.0</v>
      </c>
      <c r="F532" s="12">
        <v>17605.85</v>
      </c>
      <c r="G532" s="11">
        <v>0.008133969</v>
      </c>
      <c r="H532" s="13">
        <v>0.0081</v>
      </c>
      <c r="J532" s="15"/>
      <c r="K532" s="11"/>
      <c r="L532" s="11"/>
      <c r="M532" s="11"/>
      <c r="N532" s="11"/>
    </row>
    <row r="533" ht="15.75" customHeight="1">
      <c r="A533" s="35">
        <v>44806.0</v>
      </c>
      <c r="B533" s="11">
        <v>719.35</v>
      </c>
      <c r="C533" s="11">
        <v>0.0147</v>
      </c>
      <c r="D533" s="13">
        <v>0.0147</v>
      </c>
      <c r="E533" s="35">
        <v>44806.0</v>
      </c>
      <c r="F533" s="12">
        <v>17463.8</v>
      </c>
      <c r="G533" s="11">
        <v>0.011412107</v>
      </c>
      <c r="H533" s="13">
        <v>0.0114</v>
      </c>
      <c r="J533" s="15"/>
      <c r="K533" s="11"/>
      <c r="L533" s="11"/>
      <c r="M533" s="11"/>
      <c r="N533" s="11"/>
    </row>
    <row r="534" ht="15.75" customHeight="1">
      <c r="A534" s="35">
        <v>44775.0</v>
      </c>
      <c r="B534" s="11">
        <v>708.9</v>
      </c>
      <c r="C534" s="11">
        <v>0.0034</v>
      </c>
      <c r="D534" s="13">
        <v>0.0034</v>
      </c>
      <c r="E534" s="35">
        <v>44775.0</v>
      </c>
      <c r="F534" s="12">
        <v>17266.75</v>
      </c>
      <c r="G534" s="11">
        <v>0.003087675</v>
      </c>
      <c r="H534" s="13">
        <v>0.0031</v>
      </c>
      <c r="J534" s="15"/>
      <c r="K534" s="11"/>
      <c r="L534" s="11"/>
      <c r="M534" s="11"/>
      <c r="N534" s="11"/>
    </row>
    <row r="535" ht="15.75" customHeight="1">
      <c r="A535" s="35">
        <v>44744.0</v>
      </c>
      <c r="B535" s="11">
        <v>706.5</v>
      </c>
      <c r="C535" s="11">
        <v>-0.019</v>
      </c>
      <c r="D535" s="13">
        <v>-0.019</v>
      </c>
      <c r="E535" s="35">
        <v>44744.0</v>
      </c>
      <c r="F535" s="12">
        <v>17213.6</v>
      </c>
      <c r="G535" s="11">
        <v>-0.017281047</v>
      </c>
      <c r="H535" s="13">
        <v>-0.0173</v>
      </c>
      <c r="J535" s="15"/>
      <c r="K535" s="11"/>
      <c r="L535" s="11"/>
      <c r="M535" s="11"/>
      <c r="N535" s="11"/>
    </row>
    <row r="536" ht="15.75" customHeight="1">
      <c r="A536" s="35">
        <v>44653.0</v>
      </c>
      <c r="B536" s="11">
        <v>720.2</v>
      </c>
      <c r="C536" s="11">
        <v>-0.002</v>
      </c>
      <c r="D536" s="13">
        <v>-0.002</v>
      </c>
      <c r="E536" s="35">
        <v>44653.0</v>
      </c>
      <c r="F536" s="12">
        <v>17516.3</v>
      </c>
      <c r="G536" s="11">
        <v>-0.002499972</v>
      </c>
      <c r="H536" s="13">
        <v>-0.0025</v>
      </c>
      <c r="J536" s="15"/>
      <c r="K536" s="11"/>
      <c r="L536" s="11"/>
      <c r="M536" s="11"/>
      <c r="N536" s="11"/>
    </row>
    <row r="537" ht="15.75" customHeight="1">
      <c r="A537" s="35">
        <v>44622.0</v>
      </c>
      <c r="B537" s="11">
        <v>721.65</v>
      </c>
      <c r="C537" s="11">
        <v>-0.0047</v>
      </c>
      <c r="D537" s="13">
        <v>-0.0047</v>
      </c>
      <c r="E537" s="35">
        <v>44622.0</v>
      </c>
      <c r="F537" s="12">
        <v>17560.2</v>
      </c>
      <c r="G537" s="11">
        <v>-0.012362205</v>
      </c>
      <c r="H537" s="13">
        <v>-0.0124</v>
      </c>
      <c r="J537" s="15"/>
      <c r="K537" s="11"/>
      <c r="L537" s="11"/>
      <c r="M537" s="11"/>
      <c r="N537" s="11"/>
    </row>
    <row r="538" ht="15.75" customHeight="1">
      <c r="A538" s="35">
        <v>44594.0</v>
      </c>
      <c r="B538" s="11">
        <v>725.05</v>
      </c>
      <c r="C538" s="11">
        <v>0.0028</v>
      </c>
      <c r="D538" s="13">
        <v>0.0028</v>
      </c>
      <c r="E538" s="35">
        <v>44594.0</v>
      </c>
      <c r="F538" s="12">
        <v>17780.0</v>
      </c>
      <c r="G538" s="11">
        <v>0.011557816</v>
      </c>
      <c r="H538" s="13">
        <v>0.0116</v>
      </c>
      <c r="J538" s="15"/>
      <c r="K538" s="11"/>
      <c r="L538" s="11"/>
      <c r="M538" s="11"/>
      <c r="N538" s="11"/>
    </row>
    <row r="539" ht="15.75" customHeight="1">
      <c r="A539" s="35">
        <v>44563.0</v>
      </c>
      <c r="B539" s="11">
        <v>723.05</v>
      </c>
      <c r="C539" s="11">
        <v>-0.0086</v>
      </c>
      <c r="D539" s="13">
        <v>-0.0086</v>
      </c>
      <c r="E539" s="35">
        <v>44563.0</v>
      </c>
      <c r="F539" s="12">
        <v>17576.85</v>
      </c>
      <c r="G539" s="11">
        <v>0.013667938</v>
      </c>
      <c r="H539" s="13">
        <v>0.0137</v>
      </c>
      <c r="J539" s="15"/>
      <c r="K539" s="11"/>
      <c r="L539" s="11"/>
      <c r="M539" s="11"/>
      <c r="N539" s="11"/>
    </row>
    <row r="540" ht="15.75" customHeight="1">
      <c r="A540" s="11" t="s">
        <v>431</v>
      </c>
      <c r="B540" s="11">
        <v>729.3</v>
      </c>
      <c r="C540" s="11">
        <v>0.0189</v>
      </c>
      <c r="D540" s="13">
        <v>0.0189</v>
      </c>
      <c r="E540" s="11" t="s">
        <v>431</v>
      </c>
      <c r="F540" s="12">
        <v>17339.85</v>
      </c>
      <c r="G540" s="11">
        <v>0.013910694</v>
      </c>
      <c r="H540" s="13">
        <v>0.0139</v>
      </c>
      <c r="J540" s="15"/>
      <c r="K540" s="11"/>
      <c r="L540" s="11"/>
      <c r="M540" s="11"/>
      <c r="N540" s="11"/>
    </row>
    <row r="541" ht="15.75" customHeight="1">
      <c r="A541" s="11" t="s">
        <v>432</v>
      </c>
      <c r="B541" s="11">
        <v>715.8</v>
      </c>
      <c r="C541" s="11">
        <v>0.0121</v>
      </c>
      <c r="D541" s="13">
        <v>0.0121</v>
      </c>
      <c r="E541" s="11" t="s">
        <v>432</v>
      </c>
      <c r="F541" s="12">
        <v>17101.95</v>
      </c>
      <c r="G541" s="11">
        <v>-4.79248E-4</v>
      </c>
      <c r="H541" s="13">
        <v>-5.0E-4</v>
      </c>
      <c r="J541" s="15"/>
      <c r="K541" s="11"/>
      <c r="L541" s="11"/>
      <c r="M541" s="11"/>
      <c r="N541" s="11"/>
    </row>
    <row r="542" ht="15.75" customHeight="1">
      <c r="A542" s="11" t="s">
        <v>433</v>
      </c>
      <c r="B542" s="11">
        <v>707.25</v>
      </c>
      <c r="C542" s="11">
        <v>-0.0065</v>
      </c>
      <c r="D542" s="13">
        <v>-0.0065</v>
      </c>
      <c r="E542" s="11" t="s">
        <v>433</v>
      </c>
      <c r="F542" s="12">
        <v>17110.15</v>
      </c>
      <c r="G542" s="11">
        <v>-0.0097118</v>
      </c>
      <c r="H542" s="13">
        <v>-0.0097</v>
      </c>
      <c r="J542" s="15"/>
      <c r="K542" s="11"/>
      <c r="L542" s="11"/>
      <c r="M542" s="11"/>
      <c r="N542" s="11"/>
    </row>
    <row r="543" ht="15.75" customHeight="1">
      <c r="A543" s="11" t="s">
        <v>434</v>
      </c>
      <c r="B543" s="11">
        <v>711.85</v>
      </c>
      <c r="C543" s="11">
        <v>0.0318</v>
      </c>
      <c r="D543" s="13">
        <v>0.0318</v>
      </c>
      <c r="E543" s="11" t="s">
        <v>434</v>
      </c>
      <c r="F543" s="12">
        <v>17277.95</v>
      </c>
      <c r="G543" s="11">
        <v>0.007513514</v>
      </c>
      <c r="H543" s="13">
        <v>0.0075</v>
      </c>
      <c r="J543" s="15"/>
      <c r="K543" s="11"/>
      <c r="L543" s="11"/>
      <c r="M543" s="11"/>
      <c r="N543" s="11"/>
    </row>
    <row r="544" ht="15.75" customHeight="1">
      <c r="A544" s="11" t="s">
        <v>435</v>
      </c>
      <c r="B544" s="11">
        <v>689.9</v>
      </c>
      <c r="C544" s="11">
        <v>-0.0077</v>
      </c>
      <c r="D544" s="13">
        <v>-0.0077</v>
      </c>
      <c r="E544" s="11" t="s">
        <v>435</v>
      </c>
      <c r="F544" s="12">
        <v>17149.1</v>
      </c>
      <c r="G544" s="11">
        <v>-0.026567861</v>
      </c>
      <c r="H544" s="13">
        <v>-0.0266</v>
      </c>
      <c r="J544" s="15"/>
      <c r="K544" s="11"/>
      <c r="L544" s="11"/>
      <c r="M544" s="11"/>
      <c r="N544" s="11"/>
    </row>
    <row r="545" ht="15.75" customHeight="1">
      <c r="A545" s="11" t="s">
        <v>436</v>
      </c>
      <c r="B545" s="11">
        <v>695.25</v>
      </c>
      <c r="C545" s="11">
        <v>-0.0282</v>
      </c>
      <c r="D545" s="13">
        <v>-0.0282</v>
      </c>
      <c r="E545" s="11" t="s">
        <v>436</v>
      </c>
      <c r="F545" s="12">
        <v>17617.15</v>
      </c>
      <c r="G545" s="11">
        <v>-0.007875767</v>
      </c>
      <c r="H545" s="13">
        <v>-0.0079</v>
      </c>
      <c r="J545" s="15"/>
      <c r="K545" s="11"/>
      <c r="L545" s="11"/>
      <c r="M545" s="11"/>
      <c r="N545" s="11"/>
    </row>
    <row r="546" ht="15.75" customHeight="1">
      <c r="A546" s="11" t="s">
        <v>437</v>
      </c>
      <c r="B546" s="11">
        <v>715.4</v>
      </c>
      <c r="C546" s="11">
        <v>0.0166</v>
      </c>
      <c r="D546" s="13">
        <v>0.0166</v>
      </c>
      <c r="E546" s="11" t="s">
        <v>437</v>
      </c>
      <c r="F546" s="12">
        <v>17757.0</v>
      </c>
      <c r="G546" s="11">
        <v>-0.010112385</v>
      </c>
      <c r="H546" s="13">
        <v>-0.0101</v>
      </c>
      <c r="J546" s="15"/>
      <c r="K546" s="11"/>
      <c r="L546" s="11"/>
      <c r="M546" s="11"/>
      <c r="N546" s="11"/>
    </row>
    <row r="547" ht="15.75" customHeight="1">
      <c r="A547" s="11" t="s">
        <v>438</v>
      </c>
      <c r="B547" s="11">
        <v>703.7</v>
      </c>
      <c r="C547" s="11">
        <v>-0.0149</v>
      </c>
      <c r="D547" s="13">
        <v>-0.0149</v>
      </c>
      <c r="E547" s="11" t="s">
        <v>438</v>
      </c>
      <c r="F547" s="12">
        <v>17938.4</v>
      </c>
      <c r="G547" s="11">
        <v>-0.009642219</v>
      </c>
      <c r="H547" s="13">
        <v>-0.0096</v>
      </c>
      <c r="J547" s="15"/>
      <c r="K547" s="11"/>
      <c r="L547" s="11"/>
      <c r="M547" s="11"/>
      <c r="N547" s="11"/>
    </row>
    <row r="548" ht="15.75" customHeight="1">
      <c r="A548" s="11" t="s">
        <v>439</v>
      </c>
      <c r="B548" s="11">
        <v>714.35</v>
      </c>
      <c r="C548" s="11">
        <v>-0.0196</v>
      </c>
      <c r="D548" s="13">
        <v>-0.0196</v>
      </c>
      <c r="E548" s="11" t="s">
        <v>439</v>
      </c>
      <c r="F548" s="12">
        <v>18113.05</v>
      </c>
      <c r="G548" s="11">
        <v>-0.010653754</v>
      </c>
      <c r="H548" s="13">
        <v>-0.0107</v>
      </c>
      <c r="J548" s="15"/>
      <c r="K548" s="11"/>
      <c r="L548" s="11"/>
      <c r="M548" s="11"/>
      <c r="N548" s="11"/>
    </row>
    <row r="549" ht="15.75" customHeight="1">
      <c r="A549" s="11" t="s">
        <v>440</v>
      </c>
      <c r="B549" s="11">
        <v>728.6</v>
      </c>
      <c r="C549" s="11">
        <v>0.0111</v>
      </c>
      <c r="D549" s="13">
        <v>0.0111</v>
      </c>
      <c r="E549" s="11" t="s">
        <v>440</v>
      </c>
      <c r="F549" s="12">
        <v>18308.1</v>
      </c>
      <c r="G549" s="11">
        <v>0.00286759</v>
      </c>
      <c r="H549" s="13">
        <v>0.0029</v>
      </c>
      <c r="J549" s="15"/>
      <c r="K549" s="11"/>
      <c r="L549" s="11"/>
      <c r="M549" s="11"/>
      <c r="N549" s="11"/>
    </row>
    <row r="550" ht="15.75" customHeight="1">
      <c r="A550" s="11" t="s">
        <v>441</v>
      </c>
      <c r="B550" s="11">
        <v>720.6</v>
      </c>
      <c r="C550" s="11">
        <v>-0.0153</v>
      </c>
      <c r="D550" s="13">
        <v>-0.0153</v>
      </c>
      <c r="E550" s="11" t="s">
        <v>441</v>
      </c>
      <c r="F550" s="12">
        <v>18255.75</v>
      </c>
      <c r="G550" s="11">
        <v>-1.12281E-4</v>
      </c>
      <c r="H550" s="13">
        <v>-1.0E-4</v>
      </c>
      <c r="J550" s="15"/>
      <c r="K550" s="11"/>
      <c r="L550" s="11"/>
      <c r="M550" s="11"/>
      <c r="N550" s="11"/>
    </row>
    <row r="551" ht="15.75" customHeight="1">
      <c r="A551" s="11" t="s">
        <v>442</v>
      </c>
      <c r="B551" s="11">
        <v>731.8</v>
      </c>
      <c r="C551" s="11">
        <v>0.0022</v>
      </c>
      <c r="D551" s="13">
        <v>0.0022</v>
      </c>
      <c r="E551" s="11" t="s">
        <v>442</v>
      </c>
      <c r="F551" s="12">
        <v>18257.8</v>
      </c>
      <c r="G551" s="11">
        <v>0.002495559</v>
      </c>
      <c r="H551" s="13">
        <v>0.0025</v>
      </c>
      <c r="J551" s="15"/>
      <c r="K551" s="11"/>
      <c r="L551" s="11"/>
      <c r="M551" s="11"/>
      <c r="N551" s="11"/>
    </row>
    <row r="552" ht="15.75" customHeight="1">
      <c r="A552" s="35">
        <v>44896.0</v>
      </c>
      <c r="B552" s="11">
        <v>730.2</v>
      </c>
      <c r="C552" s="11">
        <v>0.038</v>
      </c>
      <c r="D552" s="13">
        <v>0.038</v>
      </c>
      <c r="E552" s="35">
        <v>44896.0</v>
      </c>
      <c r="F552" s="12">
        <v>18212.35</v>
      </c>
      <c r="G552" s="11">
        <v>0.008673137</v>
      </c>
      <c r="H552" s="13">
        <v>0.0087</v>
      </c>
      <c r="J552" s="15"/>
      <c r="K552" s="11"/>
      <c r="L552" s="11"/>
      <c r="M552" s="11"/>
      <c r="N552" s="11"/>
    </row>
    <row r="553" ht="15.75" customHeight="1">
      <c r="A553" s="35">
        <v>44866.0</v>
      </c>
      <c r="B553" s="11">
        <v>703.45</v>
      </c>
      <c r="C553" s="11">
        <v>-0.0021</v>
      </c>
      <c r="D553" s="13">
        <v>-0.0021</v>
      </c>
      <c r="E553" s="35">
        <v>44866.0</v>
      </c>
      <c r="F553" s="12">
        <v>18055.75</v>
      </c>
      <c r="G553" s="11">
        <v>0.002913355</v>
      </c>
      <c r="H553" s="13">
        <v>0.0029</v>
      </c>
      <c r="J553" s="15"/>
      <c r="K553" s="11"/>
      <c r="L553" s="11"/>
      <c r="M553" s="11"/>
      <c r="N553" s="11"/>
    </row>
    <row r="554" ht="15.75" customHeight="1">
      <c r="A554" s="35">
        <v>44835.0</v>
      </c>
      <c r="B554" s="11">
        <v>704.95</v>
      </c>
      <c r="C554" s="11">
        <v>4.0E-4</v>
      </c>
      <c r="D554" s="13">
        <v>4.0E-4</v>
      </c>
      <c r="E554" s="35">
        <v>44835.0</v>
      </c>
      <c r="F554" s="12">
        <v>18003.3</v>
      </c>
      <c r="G554" s="11">
        <v>0.010700231</v>
      </c>
      <c r="H554" s="13">
        <v>0.0107</v>
      </c>
      <c r="J554" s="15"/>
      <c r="K554" s="11"/>
      <c r="L554" s="11"/>
      <c r="M554" s="11"/>
      <c r="N554" s="11"/>
    </row>
    <row r="555" ht="15.75" customHeight="1">
      <c r="A555" s="35">
        <v>44743.0</v>
      </c>
      <c r="B555" s="11">
        <v>704.7</v>
      </c>
      <c r="C555" s="11">
        <v>-0.008</v>
      </c>
      <c r="D555" s="13">
        <v>-0.008</v>
      </c>
      <c r="E555" s="35">
        <v>44743.0</v>
      </c>
      <c r="F555" s="12">
        <v>17812.7</v>
      </c>
      <c r="G555" s="11">
        <v>0.00376425</v>
      </c>
      <c r="H555" s="13">
        <v>0.0038</v>
      </c>
      <c r="J555" s="15"/>
      <c r="K555" s="11"/>
      <c r="L555" s="11"/>
      <c r="M555" s="11"/>
      <c r="N555" s="11"/>
    </row>
    <row r="556" ht="15.75" customHeight="1">
      <c r="A556" s="35">
        <v>44713.0</v>
      </c>
      <c r="B556" s="11">
        <v>710.4</v>
      </c>
      <c r="C556" s="11">
        <v>0.0149</v>
      </c>
      <c r="D556" s="13">
        <v>0.0149</v>
      </c>
      <c r="E556" s="35">
        <v>44713.0</v>
      </c>
      <c r="F556" s="12">
        <v>17745.9</v>
      </c>
      <c r="G556" s="11">
        <v>-0.010005439</v>
      </c>
      <c r="H556" s="13">
        <v>-0.01</v>
      </c>
      <c r="J556" s="15"/>
      <c r="K556" s="11"/>
      <c r="L556" s="11"/>
      <c r="M556" s="11"/>
      <c r="N556" s="11"/>
    </row>
    <row r="557" ht="15.75" customHeight="1">
      <c r="A557" s="35">
        <v>44682.0</v>
      </c>
      <c r="B557" s="11">
        <v>700.0</v>
      </c>
      <c r="C557" s="11">
        <v>0.0037</v>
      </c>
      <c r="D557" s="13">
        <v>0.0037</v>
      </c>
      <c r="E557" s="35">
        <v>44682.0</v>
      </c>
      <c r="F557" s="12">
        <v>17925.25</v>
      </c>
      <c r="G557" s="11">
        <v>0.006739585</v>
      </c>
      <c r="H557" s="13">
        <v>0.0067</v>
      </c>
      <c r="J557" s="15"/>
      <c r="K557" s="11"/>
      <c r="L557" s="11"/>
      <c r="M557" s="11"/>
      <c r="N557" s="11"/>
    </row>
    <row r="558" ht="15.75" customHeight="1">
      <c r="A558" s="35">
        <v>44652.0</v>
      </c>
      <c r="B558" s="11">
        <v>697.45</v>
      </c>
      <c r="C558" s="11">
        <v>0.0089</v>
      </c>
      <c r="D558" s="13">
        <v>0.0089</v>
      </c>
      <c r="E558" s="35">
        <v>44652.0</v>
      </c>
      <c r="F558" s="12">
        <v>17805.25</v>
      </c>
      <c r="G558" s="11">
        <v>0.010186829</v>
      </c>
      <c r="H558" s="13">
        <v>0.0102</v>
      </c>
      <c r="J558" s="15"/>
      <c r="K558" s="11"/>
      <c r="L558" s="11"/>
      <c r="M558" s="11"/>
      <c r="N558" s="11"/>
    </row>
    <row r="559" ht="15.75" customHeight="1">
      <c r="A559" s="35">
        <v>44621.0</v>
      </c>
      <c r="B559" s="11">
        <v>691.3</v>
      </c>
      <c r="C559" s="11">
        <v>0.011</v>
      </c>
      <c r="D559" s="13">
        <v>0.011</v>
      </c>
      <c r="E559" s="35">
        <v>44621.0</v>
      </c>
      <c r="F559" s="12">
        <v>17625.7</v>
      </c>
      <c r="G559" s="11">
        <v>0.015653407</v>
      </c>
      <c r="H559" s="13">
        <v>0.0157</v>
      </c>
      <c r="J559" s="15"/>
      <c r="K559" s="11"/>
      <c r="L559" s="11"/>
      <c r="M559" s="11"/>
      <c r="N559" s="11"/>
    </row>
    <row r="560" ht="15.75" customHeight="1">
      <c r="A560" s="11" t="s">
        <v>443</v>
      </c>
      <c r="B560" s="11">
        <v>683.8</v>
      </c>
      <c r="C560" s="11">
        <v>0.0066</v>
      </c>
      <c r="D560" s="13">
        <v>0.0066</v>
      </c>
      <c r="E560" s="11" t="s">
        <v>443</v>
      </c>
      <c r="F560" s="12">
        <v>17354.05</v>
      </c>
      <c r="G560" s="11">
        <v>0.008724741</v>
      </c>
      <c r="H560" s="13">
        <v>0.0087</v>
      </c>
      <c r="J560" s="15"/>
      <c r="K560" s="11"/>
      <c r="L560" s="11"/>
      <c r="M560" s="11"/>
      <c r="N560" s="11"/>
    </row>
    <row r="561" ht="15.75" customHeight="1">
      <c r="A561" s="11" t="s">
        <v>444</v>
      </c>
      <c r="B561" s="11">
        <v>679.35</v>
      </c>
      <c r="C561" s="11">
        <v>0.0037</v>
      </c>
      <c r="D561" s="13">
        <v>0.0037</v>
      </c>
      <c r="E561" s="11" t="s">
        <v>444</v>
      </c>
      <c r="F561" s="12">
        <v>17203.95</v>
      </c>
      <c r="G561" s="11">
        <v>-5.60603E-4</v>
      </c>
      <c r="H561" s="13">
        <v>-6.0E-4</v>
      </c>
      <c r="J561" s="15"/>
      <c r="K561" s="11"/>
      <c r="L561" s="11"/>
      <c r="M561" s="11"/>
      <c r="N561" s="11"/>
    </row>
    <row r="562" ht="15.75" customHeight="1">
      <c r="A562" s="11" t="s">
        <v>445</v>
      </c>
      <c r="B562" s="11">
        <v>676.85</v>
      </c>
      <c r="C562" s="11">
        <v>-0.0047</v>
      </c>
      <c r="D562" s="13">
        <v>-0.0047</v>
      </c>
      <c r="E562" s="11" t="s">
        <v>445</v>
      </c>
      <c r="F562" s="12">
        <v>17213.6</v>
      </c>
      <c r="G562" s="11">
        <v>-0.001140238</v>
      </c>
      <c r="H562" s="13">
        <v>-0.0011</v>
      </c>
      <c r="J562" s="15"/>
      <c r="K562" s="11"/>
      <c r="L562" s="11"/>
      <c r="M562" s="11"/>
      <c r="N562" s="11"/>
    </row>
    <row r="563" ht="15.75" customHeight="1">
      <c r="A563" s="11" t="s">
        <v>446</v>
      </c>
      <c r="B563" s="11">
        <v>680.05</v>
      </c>
      <c r="C563" s="11">
        <v>0.0064</v>
      </c>
      <c r="D563" s="13">
        <v>0.0064</v>
      </c>
      <c r="E563" s="11" t="s">
        <v>446</v>
      </c>
      <c r="F563" s="12">
        <v>17233.25</v>
      </c>
      <c r="G563" s="11">
        <v>0.008603409</v>
      </c>
      <c r="H563" s="13">
        <v>0.0086</v>
      </c>
      <c r="J563" s="15"/>
      <c r="K563" s="11"/>
      <c r="L563" s="11"/>
      <c r="M563" s="11"/>
      <c r="N563" s="11"/>
    </row>
    <row r="564" ht="15.75" customHeight="1">
      <c r="A564" s="11" t="s">
        <v>447</v>
      </c>
      <c r="B564" s="11">
        <v>675.75</v>
      </c>
      <c r="C564" s="11">
        <v>-0.0019</v>
      </c>
      <c r="D564" s="13">
        <v>-0.0019</v>
      </c>
      <c r="E564" s="11" t="s">
        <v>447</v>
      </c>
      <c r="F564" s="12">
        <v>17086.25</v>
      </c>
      <c r="G564" s="11">
        <v>0.004851871</v>
      </c>
      <c r="H564" s="13">
        <v>0.0049</v>
      </c>
      <c r="J564" s="15"/>
      <c r="K564" s="11"/>
      <c r="L564" s="11"/>
      <c r="M564" s="11"/>
      <c r="N564" s="11"/>
    </row>
    <row r="565" ht="15.75" customHeight="1">
      <c r="A565" s="11" t="s">
        <v>448</v>
      </c>
      <c r="B565" s="11">
        <v>677.05</v>
      </c>
      <c r="C565" s="11">
        <v>-0.0025</v>
      </c>
      <c r="D565" s="13">
        <v>-0.0025</v>
      </c>
      <c r="E565" s="11" t="s">
        <v>448</v>
      </c>
      <c r="F565" s="12">
        <v>17003.75</v>
      </c>
      <c r="G565" s="11">
        <v>-0.004032778</v>
      </c>
      <c r="H565" s="13">
        <v>-0.004</v>
      </c>
      <c r="J565" s="15"/>
      <c r="K565" s="11"/>
      <c r="L565" s="11"/>
      <c r="M565" s="11"/>
      <c r="N565" s="11"/>
    </row>
    <row r="566" ht="15.75" customHeight="1">
      <c r="A566" s="11" t="s">
        <v>449</v>
      </c>
      <c r="B566" s="11">
        <v>678.75</v>
      </c>
      <c r="C566" s="11">
        <v>-0.0088</v>
      </c>
      <c r="D566" s="13">
        <v>-0.0088</v>
      </c>
      <c r="E566" s="11" t="s">
        <v>449</v>
      </c>
      <c r="F566" s="12">
        <v>17072.6</v>
      </c>
      <c r="G566" s="11">
        <v>0.006909283</v>
      </c>
      <c r="H566" s="13">
        <v>0.0069</v>
      </c>
      <c r="J566" s="15"/>
      <c r="K566" s="11"/>
      <c r="L566" s="11"/>
      <c r="M566" s="11"/>
      <c r="N566" s="11"/>
    </row>
    <row r="567" ht="15.75" customHeight="1">
      <c r="A567" s="11" t="s">
        <v>450</v>
      </c>
      <c r="B567" s="11">
        <v>684.75</v>
      </c>
      <c r="C567" s="11">
        <v>0.0266</v>
      </c>
      <c r="D567" s="13">
        <v>0.0266</v>
      </c>
      <c r="E567" s="11" t="s">
        <v>450</v>
      </c>
      <c r="F567" s="12">
        <v>16955.45</v>
      </c>
      <c r="G567" s="11">
        <v>0.011007194</v>
      </c>
      <c r="H567" s="13">
        <v>0.011</v>
      </c>
      <c r="J567" s="15"/>
      <c r="K567" s="11"/>
      <c r="L567" s="11"/>
      <c r="M567" s="11"/>
      <c r="N567" s="11"/>
    </row>
    <row r="568" ht="15.75" customHeight="1">
      <c r="A568" s="11" t="s">
        <v>451</v>
      </c>
      <c r="B568" s="11">
        <v>667.0</v>
      </c>
      <c r="C568" s="11">
        <v>0.0133</v>
      </c>
      <c r="D568" s="13">
        <v>0.0133</v>
      </c>
      <c r="E568" s="11" t="s">
        <v>451</v>
      </c>
      <c r="F568" s="12">
        <v>16770.85</v>
      </c>
      <c r="G568" s="11">
        <v>0.009428681</v>
      </c>
      <c r="H568" s="13">
        <v>0.0094</v>
      </c>
      <c r="J568" s="15"/>
      <c r="K568" s="11"/>
      <c r="L568" s="11"/>
      <c r="M568" s="11"/>
      <c r="N568" s="11"/>
    </row>
    <row r="569" ht="15.75" customHeight="1">
      <c r="A569" s="11" t="s">
        <v>452</v>
      </c>
      <c r="B569" s="11">
        <v>658.25</v>
      </c>
      <c r="C569" s="11">
        <v>-0.0117</v>
      </c>
      <c r="D569" s="13">
        <v>-0.0117</v>
      </c>
      <c r="E569" s="11" t="s">
        <v>452</v>
      </c>
      <c r="F569" s="12">
        <v>16614.2</v>
      </c>
      <c r="G569" s="11">
        <v>-0.021842545</v>
      </c>
      <c r="H569" s="13">
        <v>-0.0218</v>
      </c>
      <c r="J569" s="15"/>
      <c r="K569" s="11"/>
      <c r="L569" s="11"/>
      <c r="M569" s="11"/>
      <c r="N569" s="11"/>
    </row>
    <row r="570" ht="15.75" customHeight="1">
      <c r="A570" s="11" t="s">
        <v>453</v>
      </c>
      <c r="B570" s="11">
        <v>666.05</v>
      </c>
      <c r="C570" s="11">
        <v>-0.0225</v>
      </c>
      <c r="D570" s="13">
        <v>-0.0225</v>
      </c>
      <c r="E570" s="11" t="s">
        <v>453</v>
      </c>
      <c r="F570" s="12">
        <v>16985.2</v>
      </c>
      <c r="G570" s="11">
        <v>-0.015259386</v>
      </c>
      <c r="H570" s="13">
        <v>-0.0153</v>
      </c>
      <c r="J570" s="15"/>
      <c r="K570" s="11"/>
      <c r="L570" s="11"/>
      <c r="M570" s="11"/>
      <c r="N570" s="11"/>
    </row>
    <row r="571" ht="15.75" customHeight="1">
      <c r="A571" s="11" t="s">
        <v>454</v>
      </c>
      <c r="B571" s="11">
        <v>681.4</v>
      </c>
      <c r="C571" s="11">
        <v>-0.0059</v>
      </c>
      <c r="D571" s="13">
        <v>-0.0059</v>
      </c>
      <c r="E571" s="11" t="s">
        <v>454</v>
      </c>
      <c r="F571" s="12">
        <v>17248.4</v>
      </c>
      <c r="G571" s="11">
        <v>0.001567817</v>
      </c>
      <c r="H571" s="13">
        <v>0.0016</v>
      </c>
      <c r="J571" s="15"/>
      <c r="K571" s="11"/>
      <c r="L571" s="11"/>
      <c r="M571" s="11"/>
      <c r="N571" s="11"/>
    </row>
    <row r="572" ht="15.75" customHeight="1">
      <c r="A572" s="11" t="s">
        <v>455</v>
      </c>
      <c r="B572" s="11">
        <v>685.45</v>
      </c>
      <c r="C572" s="11">
        <v>-0.0089</v>
      </c>
      <c r="D572" s="13">
        <v>-0.0089</v>
      </c>
      <c r="E572" s="11" t="s">
        <v>455</v>
      </c>
      <c r="F572" s="12">
        <v>17221.4</v>
      </c>
      <c r="G572" s="11">
        <v>-0.00597406</v>
      </c>
      <c r="H572" s="13">
        <v>-0.006</v>
      </c>
      <c r="J572" s="15"/>
      <c r="K572" s="11"/>
      <c r="L572" s="11"/>
      <c r="M572" s="11"/>
      <c r="N572" s="11"/>
    </row>
    <row r="573" ht="15.75" customHeight="1">
      <c r="A573" s="11" t="s">
        <v>456</v>
      </c>
      <c r="B573" s="11">
        <v>691.6</v>
      </c>
      <c r="C573" s="11">
        <v>-0.0164</v>
      </c>
      <c r="D573" s="13">
        <v>-0.0164</v>
      </c>
      <c r="E573" s="11" t="s">
        <v>456</v>
      </c>
      <c r="F573" s="12">
        <v>17324.9</v>
      </c>
      <c r="G573" s="11">
        <v>-0.002495934</v>
      </c>
      <c r="H573" s="13">
        <v>-0.0025</v>
      </c>
      <c r="J573" s="15"/>
      <c r="K573" s="11"/>
      <c r="L573" s="11"/>
      <c r="M573" s="11"/>
      <c r="N573" s="11"/>
    </row>
    <row r="574" ht="15.75" customHeight="1">
      <c r="A574" s="11" t="s">
        <v>457</v>
      </c>
      <c r="B574" s="11">
        <v>703.1</v>
      </c>
      <c r="C574" s="11">
        <v>-0.0107</v>
      </c>
      <c r="D574" s="13">
        <v>-0.0107</v>
      </c>
      <c r="E574" s="11" t="s">
        <v>457</v>
      </c>
      <c r="F574" s="12">
        <v>17368.25</v>
      </c>
      <c r="G574" s="11">
        <v>-0.008169011</v>
      </c>
      <c r="H574" s="13">
        <v>-0.0082</v>
      </c>
      <c r="J574" s="15"/>
      <c r="K574" s="11"/>
      <c r="L574" s="11"/>
      <c r="M574" s="11"/>
      <c r="N574" s="11"/>
    </row>
    <row r="575" ht="15.75" customHeight="1">
      <c r="A575" s="55">
        <v>44481.0</v>
      </c>
      <c r="B575" s="11">
        <v>710.7</v>
      </c>
      <c r="C575" s="11">
        <v>-0.0046</v>
      </c>
      <c r="D575" s="13">
        <v>-0.0046</v>
      </c>
      <c r="E575" s="55">
        <v>44481.0</v>
      </c>
      <c r="F575" s="12">
        <v>17511.3</v>
      </c>
      <c r="G575" s="11">
        <v>-3.16838E-4</v>
      </c>
      <c r="H575" s="13">
        <v>-3.0E-4</v>
      </c>
      <c r="J575" s="15"/>
      <c r="K575" s="11"/>
      <c r="L575" s="11"/>
      <c r="M575" s="11"/>
      <c r="N575" s="11"/>
    </row>
    <row r="576" ht="15.75" customHeight="1">
      <c r="A576" s="35">
        <v>44451.0</v>
      </c>
      <c r="B576" s="11">
        <v>713.95</v>
      </c>
      <c r="C576" s="11">
        <v>-0.0017</v>
      </c>
      <c r="D576" s="13">
        <v>-0.0017</v>
      </c>
      <c r="E576" s="35">
        <v>44451.0</v>
      </c>
      <c r="F576" s="12">
        <v>17516.85</v>
      </c>
      <c r="G576" s="11">
        <v>0.002696089</v>
      </c>
      <c r="H576" s="13">
        <v>0.0027</v>
      </c>
      <c r="J576" s="15"/>
      <c r="K576" s="11"/>
      <c r="L576" s="11"/>
      <c r="M576" s="11"/>
      <c r="N576" s="11"/>
    </row>
    <row r="577" ht="15.75" customHeight="1">
      <c r="A577" s="35">
        <v>44420.0</v>
      </c>
      <c r="B577" s="11">
        <v>715.15</v>
      </c>
      <c r="C577" s="11">
        <v>0.0233</v>
      </c>
      <c r="D577" s="13">
        <v>0.0233</v>
      </c>
      <c r="E577" s="35">
        <v>44420.0</v>
      </c>
      <c r="F577" s="12">
        <v>17469.75</v>
      </c>
      <c r="G577" s="11">
        <v>0.017060902</v>
      </c>
      <c r="H577" s="13">
        <v>0.0171</v>
      </c>
      <c r="J577" s="15"/>
      <c r="K577" s="11"/>
      <c r="L577" s="11"/>
      <c r="M577" s="11"/>
      <c r="N577" s="11"/>
    </row>
    <row r="578" ht="15.75" customHeight="1">
      <c r="A578" s="35">
        <v>44389.0</v>
      </c>
      <c r="B578" s="11">
        <v>698.85</v>
      </c>
      <c r="C578" s="11">
        <v>0.0018</v>
      </c>
      <c r="D578" s="13">
        <v>0.0018</v>
      </c>
      <c r="E578" s="35">
        <v>44389.0</v>
      </c>
      <c r="F578" s="12">
        <v>17176.7</v>
      </c>
      <c r="G578" s="11">
        <v>0.015636595</v>
      </c>
      <c r="H578" s="13">
        <v>0.0156</v>
      </c>
      <c r="J578" s="15"/>
      <c r="K578" s="11"/>
      <c r="L578" s="11"/>
      <c r="M578" s="11"/>
      <c r="N578" s="11"/>
    </row>
    <row r="579" ht="15.75" customHeight="1">
      <c r="A579" s="35">
        <v>44359.0</v>
      </c>
      <c r="B579" s="11">
        <v>697.6</v>
      </c>
      <c r="C579" s="11">
        <v>-0.0289</v>
      </c>
      <c r="D579" s="13">
        <v>-0.0289</v>
      </c>
      <c r="E579" s="35">
        <v>44359.0</v>
      </c>
      <c r="F579" s="12">
        <v>16912.25</v>
      </c>
      <c r="G579" s="11">
        <v>-0.016540964</v>
      </c>
      <c r="H579" s="13">
        <v>-0.0165</v>
      </c>
      <c r="J579" s="15"/>
      <c r="K579" s="11"/>
      <c r="L579" s="11"/>
      <c r="M579" s="11"/>
      <c r="N579" s="11"/>
    </row>
    <row r="580" ht="15.75" customHeight="1">
      <c r="A580" s="35">
        <v>44267.0</v>
      </c>
      <c r="B580" s="11">
        <v>718.35</v>
      </c>
      <c r="C580" s="11">
        <v>-0.0194</v>
      </c>
      <c r="D580" s="13">
        <v>-0.0194</v>
      </c>
      <c r="E580" s="35">
        <v>44267.0</v>
      </c>
      <c r="F580" s="12">
        <v>17196.7</v>
      </c>
      <c r="G580" s="11">
        <v>-0.011777619</v>
      </c>
      <c r="H580" s="13">
        <v>-0.0118</v>
      </c>
      <c r="J580" s="15"/>
      <c r="K580" s="11"/>
      <c r="L580" s="11"/>
      <c r="M580" s="11"/>
      <c r="N580" s="11"/>
    </row>
    <row r="581" ht="15.75" customHeight="1">
      <c r="A581" s="35">
        <v>44239.0</v>
      </c>
      <c r="B581" s="11">
        <v>732.55</v>
      </c>
      <c r="C581" s="11">
        <v>0.0143</v>
      </c>
      <c r="D581" s="13">
        <v>0.0143</v>
      </c>
      <c r="E581" s="35">
        <v>44239.0</v>
      </c>
      <c r="F581" s="12">
        <v>17401.65</v>
      </c>
      <c r="G581" s="11">
        <v>0.013674571</v>
      </c>
      <c r="H581" s="13">
        <v>0.0137</v>
      </c>
      <c r="J581" s="15"/>
      <c r="K581" s="11"/>
      <c r="L581" s="11"/>
      <c r="M581" s="11"/>
      <c r="N581" s="11"/>
    </row>
    <row r="582" ht="15.75" customHeight="1">
      <c r="A582" s="35">
        <v>44208.0</v>
      </c>
      <c r="B582" s="11">
        <v>722.25</v>
      </c>
      <c r="C582" s="11">
        <v>-0.0082</v>
      </c>
      <c r="D582" s="13">
        <v>-0.0082</v>
      </c>
      <c r="E582" s="35">
        <v>44208.0</v>
      </c>
      <c r="F582" s="12">
        <v>17166.9</v>
      </c>
      <c r="G582" s="11">
        <v>0.010816572</v>
      </c>
      <c r="H582" s="13">
        <v>0.0108</v>
      </c>
      <c r="J582" s="15"/>
      <c r="K582" s="11"/>
      <c r="L582" s="11"/>
      <c r="M582" s="11"/>
      <c r="N582" s="11"/>
    </row>
    <row r="583" ht="15.75" customHeight="1">
      <c r="A583" s="11" t="s">
        <v>458</v>
      </c>
      <c r="B583" s="11">
        <v>728.25</v>
      </c>
      <c r="C583" s="11">
        <v>-0.015</v>
      </c>
      <c r="D583" s="13">
        <v>-0.015</v>
      </c>
      <c r="E583" s="11" t="s">
        <v>458</v>
      </c>
      <c r="F583" s="12">
        <v>16983.2</v>
      </c>
      <c r="G583" s="11">
        <v>-0.004148599</v>
      </c>
      <c r="H583" s="13">
        <v>-0.0041</v>
      </c>
      <c r="J583" s="15"/>
      <c r="K583" s="11"/>
      <c r="L583" s="11"/>
      <c r="M583" s="11"/>
      <c r="N583" s="11"/>
    </row>
    <row r="584" ht="15.75" customHeight="1">
      <c r="A584" s="11" t="s">
        <v>459</v>
      </c>
      <c r="B584" s="11">
        <v>739.35</v>
      </c>
      <c r="C584" s="11">
        <v>8.0E-4</v>
      </c>
      <c r="D584" s="13">
        <v>8.0E-4</v>
      </c>
      <c r="E584" s="11" t="s">
        <v>459</v>
      </c>
      <c r="F584" s="12">
        <v>17053.95</v>
      </c>
      <c r="G584" s="11">
        <v>0.001615134</v>
      </c>
      <c r="H584" s="13">
        <v>0.0016</v>
      </c>
      <c r="J584" s="15"/>
      <c r="K584" s="11"/>
      <c r="L584" s="11"/>
      <c r="M584" s="11"/>
      <c r="N584" s="11"/>
    </row>
    <row r="585" ht="15.75" customHeight="1">
      <c r="A585" s="11" t="s">
        <v>460</v>
      </c>
      <c r="B585" s="11">
        <v>738.75</v>
      </c>
      <c r="C585" s="11">
        <v>-0.0345</v>
      </c>
      <c r="D585" s="13">
        <v>-0.0345</v>
      </c>
      <c r="E585" s="11" t="s">
        <v>460</v>
      </c>
      <c r="F585" s="12">
        <v>17026.45</v>
      </c>
      <c r="G585" s="11">
        <v>-0.02907121</v>
      </c>
      <c r="H585" s="13">
        <v>-0.0291</v>
      </c>
      <c r="J585" s="15"/>
      <c r="K585" s="11"/>
      <c r="L585" s="11"/>
      <c r="M585" s="11"/>
      <c r="N585" s="11"/>
    </row>
    <row r="586" ht="15.75" customHeight="1">
      <c r="A586" s="11" t="s">
        <v>461</v>
      </c>
      <c r="B586" s="11">
        <v>765.15</v>
      </c>
      <c r="C586" s="11">
        <v>0.0082</v>
      </c>
      <c r="D586" s="13">
        <v>0.0082</v>
      </c>
      <c r="E586" s="11" t="s">
        <v>461</v>
      </c>
      <c r="F586" s="12">
        <v>17536.25</v>
      </c>
      <c r="G586" s="11">
        <v>0.006959498</v>
      </c>
      <c r="H586" s="13">
        <v>0.007</v>
      </c>
      <c r="J586" s="15"/>
      <c r="K586" s="11"/>
      <c r="L586" s="11"/>
      <c r="M586" s="11"/>
      <c r="N586" s="11"/>
    </row>
    <row r="587" ht="15.75" customHeight="1">
      <c r="A587" s="11" t="s">
        <v>462</v>
      </c>
      <c r="B587" s="11">
        <v>758.9</v>
      </c>
      <c r="C587" s="11">
        <v>0.0</v>
      </c>
      <c r="D587" s="13">
        <v>0.0</v>
      </c>
      <c r="E587" s="11" t="s">
        <v>462</v>
      </c>
      <c r="F587" s="12">
        <v>17415.05</v>
      </c>
      <c r="G587" s="11">
        <v>-0.005044749</v>
      </c>
      <c r="H587" s="13">
        <v>-0.005</v>
      </c>
      <c r="J587" s="15"/>
      <c r="K587" s="11"/>
      <c r="L587" s="11"/>
      <c r="M587" s="11"/>
      <c r="N587" s="11"/>
    </row>
    <row r="588" ht="15.75" customHeight="1">
      <c r="A588" s="11" t="s">
        <v>463</v>
      </c>
      <c r="B588" s="11">
        <v>758.9</v>
      </c>
      <c r="C588" s="11">
        <v>0.0226</v>
      </c>
      <c r="D588" s="13">
        <v>0.0226</v>
      </c>
      <c r="E588" s="11" t="s">
        <v>463</v>
      </c>
      <c r="F588" s="12">
        <v>17503.35</v>
      </c>
      <c r="G588" s="11">
        <v>0.004983765</v>
      </c>
      <c r="H588" s="13">
        <v>0.005</v>
      </c>
      <c r="J588" s="15"/>
      <c r="K588" s="11"/>
      <c r="L588" s="11"/>
      <c r="M588" s="11"/>
      <c r="N588" s="11"/>
    </row>
    <row r="589" ht="15.75" customHeight="1">
      <c r="A589" s="11" t="s">
        <v>464</v>
      </c>
      <c r="B589" s="11">
        <v>742.1</v>
      </c>
      <c r="C589" s="11">
        <v>0.0388</v>
      </c>
      <c r="D589" s="13">
        <v>0.0388</v>
      </c>
      <c r="E589" s="11" t="s">
        <v>464</v>
      </c>
      <c r="F589" s="12">
        <v>17416.55</v>
      </c>
      <c r="G589" s="11">
        <v>-0.019603373</v>
      </c>
      <c r="H589" s="13">
        <v>-0.0196</v>
      </c>
      <c r="J589" s="15"/>
      <c r="K589" s="11"/>
      <c r="L589" s="11"/>
      <c r="M589" s="11"/>
      <c r="N589" s="11"/>
    </row>
    <row r="590" ht="15.75" customHeight="1">
      <c r="A590" s="11" t="s">
        <v>465</v>
      </c>
      <c r="B590" s="11">
        <v>714.35</v>
      </c>
      <c r="C590" s="11">
        <v>-0.0079</v>
      </c>
      <c r="D590" s="13">
        <v>-0.0079</v>
      </c>
      <c r="E590" s="11" t="s">
        <v>465</v>
      </c>
      <c r="F590" s="12">
        <v>17764.8</v>
      </c>
      <c r="G590" s="11">
        <v>-0.007478218</v>
      </c>
      <c r="H590" s="13">
        <v>-0.0075</v>
      </c>
      <c r="J590" s="15"/>
      <c r="K590" s="11"/>
      <c r="L590" s="11"/>
      <c r="M590" s="11"/>
      <c r="N590" s="11"/>
    </row>
    <row r="591" ht="15.75" customHeight="1">
      <c r="A591" s="11" t="s">
        <v>466</v>
      </c>
      <c r="B591" s="11">
        <v>720.05</v>
      </c>
      <c r="C591" s="11">
        <v>-0.014</v>
      </c>
      <c r="D591" s="13">
        <v>-0.014</v>
      </c>
      <c r="E591" s="11" t="s">
        <v>466</v>
      </c>
      <c r="F591" s="12">
        <v>17898.65</v>
      </c>
      <c r="G591" s="11">
        <v>-0.005586359</v>
      </c>
      <c r="H591" s="13">
        <v>-0.0056</v>
      </c>
      <c r="J591" s="15"/>
      <c r="K591" s="11"/>
      <c r="L591" s="11"/>
      <c r="M591" s="11"/>
      <c r="N591" s="11"/>
    </row>
    <row r="592" ht="15.75" customHeight="1">
      <c r="A592" s="11" t="s">
        <v>467</v>
      </c>
      <c r="B592" s="11">
        <v>730.3</v>
      </c>
      <c r="C592" s="11">
        <v>-0.0098</v>
      </c>
      <c r="D592" s="13">
        <v>-0.0098</v>
      </c>
      <c r="E592" s="11" t="s">
        <v>467</v>
      </c>
      <c r="F592" s="12">
        <v>17999.2</v>
      </c>
      <c r="G592" s="11">
        <v>-0.006087982</v>
      </c>
      <c r="H592" s="13">
        <v>-0.0061</v>
      </c>
      <c r="J592" s="15"/>
      <c r="K592" s="11"/>
      <c r="L592" s="11"/>
      <c r="M592" s="11"/>
      <c r="N592" s="11"/>
    </row>
    <row r="593" ht="15.75" customHeight="1">
      <c r="A593" s="11" t="s">
        <v>468</v>
      </c>
      <c r="B593" s="11">
        <v>737.55</v>
      </c>
      <c r="C593" s="11">
        <v>-0.008</v>
      </c>
      <c r="D593" s="13">
        <v>-0.008</v>
      </c>
      <c r="E593" s="11" t="s">
        <v>468</v>
      </c>
      <c r="F593" s="12">
        <v>18109.45</v>
      </c>
      <c r="G593" s="11">
        <v>3.7011E-4</v>
      </c>
      <c r="H593" s="13">
        <v>4.0E-4</v>
      </c>
      <c r="J593" s="15"/>
      <c r="K593" s="11"/>
      <c r="L593" s="11"/>
      <c r="M593" s="11"/>
      <c r="N593" s="11"/>
    </row>
    <row r="594" ht="15.75" customHeight="1">
      <c r="A594" s="55">
        <v>44541.0</v>
      </c>
      <c r="B594" s="11">
        <v>743.5</v>
      </c>
      <c r="C594" s="11">
        <v>0.0205</v>
      </c>
      <c r="D594" s="13">
        <v>0.0205</v>
      </c>
      <c r="E594" s="55">
        <v>44541.0</v>
      </c>
      <c r="F594" s="12">
        <v>18102.75</v>
      </c>
      <c r="G594" s="11">
        <v>0.012820585</v>
      </c>
      <c r="H594" s="13">
        <v>0.0128</v>
      </c>
      <c r="J594" s="15"/>
      <c r="K594" s="11"/>
      <c r="L594" s="11"/>
      <c r="M594" s="11"/>
      <c r="N594" s="11"/>
    </row>
    <row r="595" ht="15.75" customHeight="1">
      <c r="A595" s="55">
        <v>44511.0</v>
      </c>
      <c r="B595" s="11">
        <v>728.6</v>
      </c>
      <c r="C595" s="11">
        <v>-0.0093</v>
      </c>
      <c r="D595" s="13">
        <v>-0.0093</v>
      </c>
      <c r="E595" s="55">
        <v>44511.0</v>
      </c>
      <c r="F595" s="12">
        <v>17873.6</v>
      </c>
      <c r="G595" s="11">
        <v>-0.007970162</v>
      </c>
      <c r="H595" s="13">
        <v>-0.008</v>
      </c>
      <c r="J595" s="15"/>
      <c r="K595" s="11"/>
      <c r="L595" s="11"/>
      <c r="M595" s="11"/>
      <c r="N595" s="11"/>
    </row>
    <row r="596" ht="15.75" customHeight="1">
      <c r="A596" s="55">
        <v>44480.0</v>
      </c>
      <c r="B596" s="11">
        <v>735.45</v>
      </c>
      <c r="C596" s="11">
        <v>0.0312</v>
      </c>
      <c r="D596" s="13">
        <v>0.0312</v>
      </c>
      <c r="E596" s="55">
        <v>44480.0</v>
      </c>
      <c r="F596" s="12">
        <v>18017.2</v>
      </c>
      <c r="G596" s="11">
        <v>-0.001499093</v>
      </c>
      <c r="H596" s="13">
        <v>-0.0015</v>
      </c>
      <c r="J596" s="15"/>
      <c r="K596" s="11"/>
      <c r="L596" s="11"/>
      <c r="M596" s="11"/>
      <c r="N596" s="11"/>
    </row>
    <row r="597" ht="15.75" customHeight="1">
      <c r="A597" s="35">
        <v>44450.0</v>
      </c>
      <c r="B597" s="11">
        <v>713.2</v>
      </c>
      <c r="C597" s="11">
        <v>0.0059</v>
      </c>
      <c r="D597" s="13">
        <v>0.0059</v>
      </c>
      <c r="E597" s="35">
        <v>44450.0</v>
      </c>
      <c r="F597" s="12">
        <v>18044.25</v>
      </c>
      <c r="G597" s="11">
        <v>-0.001344878</v>
      </c>
      <c r="H597" s="13">
        <v>-0.0013</v>
      </c>
      <c r="J597" s="15"/>
      <c r="K597" s="11"/>
      <c r="L597" s="11"/>
      <c r="M597" s="11"/>
      <c r="N597" s="11"/>
    </row>
    <row r="598" ht="15.75" customHeight="1">
      <c r="A598" s="35">
        <v>44419.0</v>
      </c>
      <c r="B598" s="11">
        <v>709.0</v>
      </c>
      <c r="C598" s="11">
        <v>0.0113</v>
      </c>
      <c r="D598" s="13">
        <v>0.0113</v>
      </c>
      <c r="E598" s="35">
        <v>44419.0</v>
      </c>
      <c r="F598" s="12">
        <v>18068.55</v>
      </c>
      <c r="G598" s="11">
        <v>0.008469704</v>
      </c>
      <c r="H598" s="13">
        <v>0.0085</v>
      </c>
      <c r="J598" s="15"/>
      <c r="K598" s="11"/>
      <c r="L598" s="11"/>
      <c r="M598" s="11"/>
      <c r="N598" s="11"/>
    </row>
    <row r="599" ht="15.75" customHeight="1">
      <c r="A599" s="35">
        <v>44297.0</v>
      </c>
      <c r="B599" s="11">
        <v>701.1</v>
      </c>
      <c r="C599" s="11">
        <v>0.0029</v>
      </c>
      <c r="D599" s="13">
        <v>0.0029</v>
      </c>
      <c r="E599" s="35">
        <v>44297.0</v>
      </c>
      <c r="F599" s="12">
        <v>17916.8</v>
      </c>
      <c r="G599" s="11">
        <v>0.004913288</v>
      </c>
      <c r="H599" s="13">
        <v>0.0049</v>
      </c>
      <c r="J599" s="15"/>
      <c r="K599" s="11"/>
      <c r="L599" s="11"/>
      <c r="M599" s="11"/>
      <c r="N599" s="11"/>
    </row>
    <row r="600" ht="15.75" customHeight="1">
      <c r="A600" s="35">
        <v>44266.0</v>
      </c>
      <c r="B600" s="11">
        <v>699.1</v>
      </c>
      <c r="C600" s="11">
        <v>-0.0208</v>
      </c>
      <c r="D600" s="13">
        <v>-0.0208</v>
      </c>
      <c r="E600" s="35">
        <v>44266.0</v>
      </c>
      <c r="F600" s="12">
        <v>17829.2</v>
      </c>
      <c r="G600" s="11">
        <v>-0.003340051</v>
      </c>
      <c r="H600" s="13">
        <v>-0.0033</v>
      </c>
      <c r="J600" s="15"/>
      <c r="K600" s="11"/>
      <c r="L600" s="11"/>
      <c r="M600" s="11"/>
      <c r="N600" s="11"/>
    </row>
    <row r="601" ht="15.75" customHeight="1">
      <c r="A601" s="35">
        <v>44238.0</v>
      </c>
      <c r="B601" s="11">
        <v>713.95</v>
      </c>
      <c r="C601" s="11">
        <v>0.002</v>
      </c>
      <c r="D601" s="13">
        <v>0.002</v>
      </c>
      <c r="E601" s="35">
        <v>44238.0</v>
      </c>
      <c r="F601" s="12">
        <v>17888.95</v>
      </c>
      <c r="G601" s="11">
        <v>-0.002269983</v>
      </c>
      <c r="H601" s="13">
        <v>-0.0023</v>
      </c>
      <c r="J601" s="15"/>
      <c r="K601" s="11"/>
      <c r="L601" s="11"/>
      <c r="M601" s="11"/>
      <c r="N601" s="11"/>
    </row>
    <row r="602" ht="15.75" customHeight="1">
      <c r="A602" s="35">
        <v>44207.0</v>
      </c>
      <c r="B602" s="11">
        <v>712.5</v>
      </c>
      <c r="C602" s="11">
        <v>0.0396</v>
      </c>
      <c r="D602" s="13">
        <v>0.0396</v>
      </c>
      <c r="E602" s="35">
        <v>44207.0</v>
      </c>
      <c r="F602" s="12">
        <v>17929.65</v>
      </c>
      <c r="G602" s="11">
        <v>0.014599655</v>
      </c>
      <c r="H602" s="13">
        <v>0.0146</v>
      </c>
      <c r="J602" s="15"/>
      <c r="K602" s="11"/>
      <c r="L602" s="11"/>
      <c r="M602" s="11"/>
      <c r="N602" s="11"/>
    </row>
    <row r="603" ht="15.75" customHeight="1">
      <c r="A603" s="11" t="s">
        <v>469</v>
      </c>
      <c r="B603" s="11">
        <v>685.35</v>
      </c>
      <c r="C603" s="11">
        <v>-0.0064</v>
      </c>
      <c r="D603" s="13">
        <v>-0.0064</v>
      </c>
      <c r="E603" s="11" t="s">
        <v>469</v>
      </c>
      <c r="F603" s="12">
        <v>17671.65</v>
      </c>
      <c r="G603" s="11">
        <v>-0.010393538</v>
      </c>
      <c r="H603" s="13">
        <v>-0.0104</v>
      </c>
      <c r="J603" s="15"/>
      <c r="K603" s="11"/>
      <c r="L603" s="11"/>
      <c r="M603" s="11"/>
      <c r="N603" s="11"/>
    </row>
    <row r="604" ht="15.75" customHeight="1">
      <c r="A604" s="11" t="s">
        <v>470</v>
      </c>
      <c r="B604" s="11">
        <v>689.75</v>
      </c>
      <c r="C604" s="11">
        <v>-0.0179</v>
      </c>
      <c r="D604" s="13">
        <v>-0.0179</v>
      </c>
      <c r="E604" s="11" t="s">
        <v>470</v>
      </c>
      <c r="F604" s="12">
        <v>17857.25</v>
      </c>
      <c r="G604" s="11">
        <v>-0.01942238</v>
      </c>
      <c r="H604" s="13">
        <v>-0.0194</v>
      </c>
      <c r="J604" s="15"/>
      <c r="K604" s="11"/>
      <c r="L604" s="11"/>
      <c r="M604" s="11"/>
      <c r="N604" s="11"/>
    </row>
    <row r="605" ht="15.75" customHeight="1">
      <c r="A605" s="11" t="s">
        <v>471</v>
      </c>
      <c r="B605" s="11">
        <v>702.35</v>
      </c>
      <c r="C605" s="11">
        <v>0.0088</v>
      </c>
      <c r="D605" s="13">
        <v>0.0088</v>
      </c>
      <c r="E605" s="11" t="s">
        <v>471</v>
      </c>
      <c r="F605" s="12">
        <v>18210.95</v>
      </c>
      <c r="G605" s="11">
        <v>-0.003144775</v>
      </c>
      <c r="H605" s="13">
        <v>-0.0031</v>
      </c>
      <c r="J605" s="15"/>
      <c r="K605" s="11"/>
      <c r="L605" s="11"/>
      <c r="M605" s="11"/>
      <c r="N605" s="11"/>
    </row>
    <row r="606" ht="15.75" customHeight="1">
      <c r="A606" s="11" t="s">
        <v>472</v>
      </c>
      <c r="B606" s="11">
        <v>696.2</v>
      </c>
      <c r="C606" s="11">
        <v>0.0074</v>
      </c>
      <c r="D606" s="13">
        <v>0.0074</v>
      </c>
      <c r="E606" s="11" t="s">
        <v>472</v>
      </c>
      <c r="F606" s="12">
        <v>18268.4</v>
      </c>
      <c r="G606" s="11">
        <v>0.007889481</v>
      </c>
      <c r="H606" s="13">
        <v>0.0079</v>
      </c>
      <c r="J606" s="15"/>
      <c r="K606" s="11"/>
      <c r="L606" s="11"/>
      <c r="M606" s="11"/>
      <c r="N606" s="11"/>
    </row>
    <row r="607" ht="15.75" customHeight="1">
      <c r="A607" s="11" t="s">
        <v>473</v>
      </c>
      <c r="B607" s="11">
        <v>691.1</v>
      </c>
      <c r="C607" s="11">
        <v>-0.0049</v>
      </c>
      <c r="D607" s="13">
        <v>-0.0049</v>
      </c>
      <c r="E607" s="11" t="s">
        <v>473</v>
      </c>
      <c r="F607" s="12">
        <v>18125.4</v>
      </c>
      <c r="G607" s="11">
        <v>5.79633E-4</v>
      </c>
      <c r="H607" s="13">
        <v>6.0E-4</v>
      </c>
      <c r="J607" s="15"/>
      <c r="K607" s="11"/>
      <c r="L607" s="11"/>
      <c r="M607" s="11"/>
      <c r="N607" s="11"/>
    </row>
    <row r="608" ht="15.75" customHeight="1">
      <c r="A608" s="11" t="s">
        <v>474</v>
      </c>
      <c r="B608" s="11">
        <v>694.5</v>
      </c>
      <c r="C608" s="11">
        <v>-0.0022</v>
      </c>
      <c r="D608" s="13">
        <v>-0.0022</v>
      </c>
      <c r="E608" s="11" t="s">
        <v>474</v>
      </c>
      <c r="F608" s="12">
        <v>18114.9</v>
      </c>
      <c r="G608" s="11">
        <v>-0.003476711</v>
      </c>
      <c r="H608" s="13">
        <v>-0.0035</v>
      </c>
      <c r="J608" s="15"/>
      <c r="K608" s="11"/>
      <c r="L608" s="11"/>
      <c r="M608" s="11"/>
      <c r="N608" s="11"/>
    </row>
    <row r="609" ht="15.75" customHeight="1">
      <c r="A609" s="11" t="s">
        <v>475</v>
      </c>
      <c r="B609" s="11">
        <v>696.05</v>
      </c>
      <c r="C609" s="11">
        <v>-0.0175</v>
      </c>
      <c r="D609" s="13">
        <v>-0.0175</v>
      </c>
      <c r="E609" s="11" t="s">
        <v>475</v>
      </c>
      <c r="F609" s="12">
        <v>18178.1</v>
      </c>
      <c r="G609" s="11">
        <v>-0.004844908</v>
      </c>
      <c r="H609" s="13">
        <v>-0.0048</v>
      </c>
      <c r="J609" s="15"/>
      <c r="K609" s="11"/>
      <c r="L609" s="11"/>
      <c r="M609" s="11"/>
      <c r="N609" s="11"/>
    </row>
    <row r="610" ht="15.75" customHeight="1">
      <c r="A610" s="11" t="s">
        <v>476</v>
      </c>
      <c r="B610" s="11">
        <v>708.45</v>
      </c>
      <c r="C610" s="11">
        <v>0.0402</v>
      </c>
      <c r="D610" s="13">
        <v>0.0402</v>
      </c>
      <c r="E610" s="11" t="s">
        <v>476</v>
      </c>
      <c r="F610" s="12">
        <v>18266.6</v>
      </c>
      <c r="G610" s="11">
        <v>-0.008260604</v>
      </c>
      <c r="H610" s="13">
        <v>-0.0083</v>
      </c>
      <c r="J610" s="15"/>
      <c r="K610" s="11"/>
      <c r="L610" s="11"/>
      <c r="M610" s="11"/>
      <c r="N610" s="11"/>
    </row>
    <row r="611" ht="15.75" customHeight="1">
      <c r="A611" s="11" t="s">
        <v>477</v>
      </c>
      <c r="B611" s="11">
        <v>681.1</v>
      </c>
      <c r="C611" s="11">
        <v>7.0E-4</v>
      </c>
      <c r="D611" s="13">
        <v>7.0E-4</v>
      </c>
      <c r="E611" s="11" t="s">
        <v>477</v>
      </c>
      <c r="F611" s="12">
        <v>18418.75</v>
      </c>
      <c r="G611" s="11">
        <v>-0.003155266</v>
      </c>
      <c r="H611" s="13">
        <v>-0.0032</v>
      </c>
      <c r="J611" s="15"/>
      <c r="K611" s="11"/>
      <c r="L611" s="11"/>
      <c r="M611" s="11"/>
      <c r="N611" s="11"/>
    </row>
    <row r="612" ht="15.75" customHeight="1">
      <c r="A612" s="11" t="s">
        <v>478</v>
      </c>
      <c r="B612" s="11">
        <v>680.6</v>
      </c>
      <c r="C612" s="11">
        <v>-0.0076</v>
      </c>
      <c r="D612" s="13">
        <v>-0.0076</v>
      </c>
      <c r="E612" s="11" t="s">
        <v>478</v>
      </c>
      <c r="F612" s="12">
        <v>18477.05</v>
      </c>
      <c r="G612" s="11">
        <v>0.007552396</v>
      </c>
      <c r="H612" s="13">
        <v>0.0076</v>
      </c>
      <c r="J612" s="15"/>
      <c r="K612" s="11"/>
      <c r="L612" s="11"/>
      <c r="M612" s="11"/>
      <c r="N612" s="11"/>
    </row>
    <row r="613" ht="15.75" customHeight="1">
      <c r="A613" s="11" t="s">
        <v>479</v>
      </c>
      <c r="B613" s="11">
        <v>685.8</v>
      </c>
      <c r="C613" s="11">
        <v>-0.0059</v>
      </c>
      <c r="D613" s="13">
        <v>-0.0059</v>
      </c>
      <c r="E613" s="11" t="s">
        <v>479</v>
      </c>
      <c r="F613" s="12">
        <v>18338.55</v>
      </c>
      <c r="G613" s="11">
        <v>0.009734745</v>
      </c>
      <c r="H613" s="13">
        <v>0.0097</v>
      </c>
      <c r="J613" s="15"/>
      <c r="K613" s="11"/>
      <c r="L613" s="11"/>
      <c r="M613" s="11"/>
      <c r="N613" s="11"/>
    </row>
    <row r="614" ht="15.75" customHeight="1">
      <c r="A614" s="11" t="s">
        <v>480</v>
      </c>
      <c r="B614" s="11">
        <v>689.9</v>
      </c>
      <c r="C614" s="11">
        <v>0.0052</v>
      </c>
      <c r="D614" s="13">
        <v>0.0052</v>
      </c>
      <c r="E614" s="11" t="s">
        <v>480</v>
      </c>
      <c r="F614" s="12">
        <v>18161.75</v>
      </c>
      <c r="G614" s="11">
        <v>0.009437554</v>
      </c>
      <c r="H614" s="13">
        <v>0.0094</v>
      </c>
      <c r="J614" s="15"/>
      <c r="K614" s="11"/>
      <c r="L614" s="11"/>
      <c r="M614" s="11"/>
      <c r="N614" s="11"/>
    </row>
    <row r="615" ht="15.75" customHeight="1">
      <c r="A615" s="55">
        <v>44540.0</v>
      </c>
      <c r="B615" s="11">
        <v>686.35</v>
      </c>
      <c r="C615" s="11">
        <v>-0.0065</v>
      </c>
      <c r="D615" s="13">
        <v>-0.0065</v>
      </c>
      <c r="E615" s="55">
        <v>44540.0</v>
      </c>
      <c r="F615" s="12">
        <v>17991.95</v>
      </c>
      <c r="G615" s="11">
        <v>0.002563252</v>
      </c>
      <c r="H615" s="13">
        <v>0.0026</v>
      </c>
      <c r="J615" s="15"/>
      <c r="K615" s="11"/>
      <c r="L615" s="11"/>
      <c r="M615" s="11"/>
      <c r="N615" s="11"/>
    </row>
    <row r="616" ht="15.75" customHeight="1">
      <c r="A616" s="55">
        <v>44510.0</v>
      </c>
      <c r="B616" s="11">
        <v>690.85</v>
      </c>
      <c r="C616" s="11">
        <v>-0.0067</v>
      </c>
      <c r="D616" s="13">
        <v>-0.0067</v>
      </c>
      <c r="E616" s="55">
        <v>44510.0</v>
      </c>
      <c r="F616" s="12">
        <v>17945.95</v>
      </c>
      <c r="G616" s="11">
        <v>0.002835956</v>
      </c>
      <c r="H616" s="13">
        <v>0.0028</v>
      </c>
      <c r="J616" s="15"/>
      <c r="K616" s="11"/>
      <c r="L616" s="11"/>
      <c r="M616" s="11"/>
      <c r="N616" s="11"/>
    </row>
    <row r="617" ht="15.75" customHeight="1">
      <c r="A617" s="35">
        <v>44418.0</v>
      </c>
      <c r="B617" s="11">
        <v>695.5</v>
      </c>
      <c r="C617" s="11">
        <v>0.0043</v>
      </c>
      <c r="D617" s="13">
        <v>0.0043</v>
      </c>
      <c r="E617" s="35">
        <v>44418.0</v>
      </c>
      <c r="F617" s="12">
        <v>17895.2</v>
      </c>
      <c r="G617" s="11">
        <v>0.005893645</v>
      </c>
      <c r="H617" s="13">
        <v>0.0059</v>
      </c>
      <c r="J617" s="15"/>
      <c r="K617" s="11"/>
      <c r="L617" s="11"/>
      <c r="M617" s="11"/>
      <c r="N617" s="11"/>
    </row>
    <row r="618" ht="15.75" customHeight="1">
      <c r="A618" s="35">
        <v>44387.0</v>
      </c>
      <c r="B618" s="11">
        <v>692.5</v>
      </c>
      <c r="C618" s="11">
        <v>0.0016</v>
      </c>
      <c r="D618" s="13">
        <v>0.0016</v>
      </c>
      <c r="E618" s="35">
        <v>44387.0</v>
      </c>
      <c r="F618" s="12">
        <v>17790.35</v>
      </c>
      <c r="G618" s="11">
        <v>0.008180324</v>
      </c>
      <c r="H618" s="13">
        <v>0.0082</v>
      </c>
      <c r="J618" s="15"/>
      <c r="K618" s="11"/>
      <c r="L618" s="11"/>
      <c r="M618" s="11"/>
      <c r="N618" s="11"/>
    </row>
    <row r="619" ht="15.75" customHeight="1">
      <c r="A619" s="35">
        <v>44357.0</v>
      </c>
      <c r="B619" s="11">
        <v>691.4</v>
      </c>
      <c r="C619" s="11">
        <v>-0.0112</v>
      </c>
      <c r="D619" s="13">
        <v>-0.0112</v>
      </c>
      <c r="E619" s="35">
        <v>44357.0</v>
      </c>
      <c r="F619" s="12">
        <v>17646.0</v>
      </c>
      <c r="G619" s="11">
        <v>-0.009892101</v>
      </c>
      <c r="H619" s="13">
        <v>-0.0099</v>
      </c>
      <c r="J619" s="15"/>
      <c r="K619" s="11"/>
      <c r="L619" s="11"/>
      <c r="M619" s="11"/>
      <c r="N619" s="11"/>
    </row>
    <row r="620" ht="15.75" customHeight="1">
      <c r="A620" s="35">
        <v>44326.0</v>
      </c>
      <c r="B620" s="11">
        <v>699.25</v>
      </c>
      <c r="C620" s="11">
        <v>0.0262</v>
      </c>
      <c r="D620" s="13">
        <v>0.0262</v>
      </c>
      <c r="E620" s="35">
        <v>44326.0</v>
      </c>
      <c r="F620" s="12">
        <v>17822.3</v>
      </c>
      <c r="G620" s="11">
        <v>0.007407617</v>
      </c>
      <c r="H620" s="13">
        <v>0.0074</v>
      </c>
      <c r="J620" s="15"/>
      <c r="K620" s="11"/>
      <c r="L620" s="11"/>
      <c r="M620" s="11"/>
      <c r="N620" s="11"/>
    </row>
    <row r="621" ht="15.75" customHeight="1">
      <c r="A621" s="35">
        <v>44296.0</v>
      </c>
      <c r="B621" s="11">
        <v>681.4</v>
      </c>
      <c r="C621" s="11">
        <v>0.0081</v>
      </c>
      <c r="D621" s="13">
        <v>0.0081</v>
      </c>
      <c r="E621" s="35">
        <v>44296.0</v>
      </c>
      <c r="F621" s="12">
        <v>17691.25</v>
      </c>
      <c r="G621" s="11">
        <v>0.009080513</v>
      </c>
      <c r="H621" s="13">
        <v>0.0091</v>
      </c>
      <c r="J621" s="15"/>
      <c r="K621" s="11"/>
      <c r="L621" s="11"/>
      <c r="M621" s="11"/>
      <c r="N621" s="11"/>
    </row>
    <row r="622" ht="15.75" customHeight="1">
      <c r="A622" s="35">
        <v>44206.0</v>
      </c>
      <c r="B622" s="11">
        <v>675.9</v>
      </c>
      <c r="C622" s="11">
        <v>-0.018</v>
      </c>
      <c r="D622" s="13">
        <v>-0.018</v>
      </c>
      <c r="E622" s="35">
        <v>44206.0</v>
      </c>
      <c r="F622" s="12">
        <v>17532.05</v>
      </c>
      <c r="G622" s="11">
        <v>-0.004887006</v>
      </c>
      <c r="H622" s="13">
        <v>-0.0049</v>
      </c>
      <c r="J622" s="15"/>
      <c r="K622" s="11"/>
      <c r="L622" s="11"/>
      <c r="M622" s="11"/>
      <c r="N622" s="11"/>
    </row>
    <row r="623" ht="15.75" customHeight="1">
      <c r="A623" s="11" t="s">
        <v>481</v>
      </c>
      <c r="B623" s="11">
        <v>688.3</v>
      </c>
      <c r="C623" s="11">
        <v>-0.0084</v>
      </c>
      <c r="D623" s="13">
        <v>-0.0084</v>
      </c>
      <c r="E623" s="11" t="s">
        <v>481</v>
      </c>
      <c r="F623" s="12">
        <v>17618.15</v>
      </c>
      <c r="G623" s="11">
        <v>-0.005259354</v>
      </c>
      <c r="H623" s="13">
        <v>-0.0053</v>
      </c>
      <c r="J623" s="15"/>
      <c r="K623" s="11"/>
      <c r="L623" s="11"/>
      <c r="M623" s="11"/>
      <c r="N623" s="11"/>
    </row>
    <row r="624" ht="15.75" customHeight="1">
      <c r="A624" s="11" t="s">
        <v>482</v>
      </c>
      <c r="B624" s="11">
        <v>694.1</v>
      </c>
      <c r="C624" s="11">
        <v>-0.0029</v>
      </c>
      <c r="D624" s="13">
        <v>-0.0029</v>
      </c>
      <c r="E624" s="11" t="s">
        <v>482</v>
      </c>
      <c r="F624" s="12">
        <v>17711.3</v>
      </c>
      <c r="G624" s="11">
        <v>-0.002101574</v>
      </c>
      <c r="H624" s="13">
        <v>-0.0021</v>
      </c>
      <c r="J624" s="15"/>
      <c r="K624" s="11"/>
      <c r="L624" s="11"/>
      <c r="M624" s="11"/>
      <c r="N624" s="11"/>
    </row>
    <row r="625" ht="15.75" customHeight="1">
      <c r="A625" s="11" t="s">
        <v>483</v>
      </c>
      <c r="B625" s="11">
        <v>696.15</v>
      </c>
      <c r="C625" s="11">
        <v>-0.0365</v>
      </c>
      <c r="D625" s="13">
        <v>-0.0365</v>
      </c>
      <c r="E625" s="11" t="s">
        <v>483</v>
      </c>
      <c r="F625" s="12">
        <v>17748.6</v>
      </c>
      <c r="G625" s="11">
        <v>-0.005964682</v>
      </c>
      <c r="H625" s="13">
        <v>-0.006</v>
      </c>
      <c r="J625" s="15"/>
      <c r="K625" s="11"/>
      <c r="L625" s="11"/>
      <c r="M625" s="11"/>
      <c r="N625" s="11"/>
    </row>
    <row r="626" ht="15.75" customHeight="1">
      <c r="A626" s="11" t="s">
        <v>484</v>
      </c>
      <c r="B626" s="11">
        <v>722.55</v>
      </c>
      <c r="C626" s="11">
        <v>-0.0044</v>
      </c>
      <c r="D626" s="13">
        <v>-0.0044</v>
      </c>
      <c r="E626" s="11" t="s">
        <v>484</v>
      </c>
      <c r="F626" s="12">
        <v>17855.1</v>
      </c>
      <c r="G626" s="11">
        <v>1.06423E-4</v>
      </c>
      <c r="H626" s="13">
        <v>1.0E-4</v>
      </c>
      <c r="J626" s="15"/>
      <c r="K626" s="11"/>
      <c r="L626" s="11"/>
      <c r="M626" s="11"/>
      <c r="N626" s="11"/>
    </row>
    <row r="627" ht="15.75" customHeight="1">
      <c r="A627" s="11" t="s">
        <v>485</v>
      </c>
      <c r="B627" s="11">
        <v>725.77</v>
      </c>
      <c r="C627" s="11">
        <v>0.0173</v>
      </c>
      <c r="D627" s="13">
        <v>0.0173</v>
      </c>
      <c r="E627" s="11" t="s">
        <v>485</v>
      </c>
      <c r="F627" s="12">
        <v>17853.2</v>
      </c>
      <c r="G627" s="11">
        <v>0.00169725</v>
      </c>
      <c r="H627" s="13">
        <v>0.0017</v>
      </c>
      <c r="J627" s="15"/>
      <c r="K627" s="11"/>
      <c r="L627" s="11"/>
      <c r="M627" s="11"/>
      <c r="N627" s="11"/>
    </row>
    <row r="628" ht="15.75" customHeight="1">
      <c r="A628" s="11" t="s">
        <v>486</v>
      </c>
      <c r="B628" s="11">
        <v>713.41</v>
      </c>
      <c r="C628" s="11">
        <v>1.0E-4</v>
      </c>
      <c r="D628" s="13">
        <v>1.0E-4</v>
      </c>
      <c r="E628" s="11" t="s">
        <v>486</v>
      </c>
      <c r="F628" s="12">
        <v>17822.95</v>
      </c>
      <c r="G628" s="11">
        <v>0.015746596</v>
      </c>
      <c r="H628" s="13">
        <v>0.0157</v>
      </c>
      <c r="J628" s="15"/>
      <c r="K628" s="11"/>
      <c r="L628" s="11"/>
      <c r="M628" s="11"/>
      <c r="N628" s="11"/>
    </row>
    <row r="629" ht="15.75" customHeight="1">
      <c r="A629" s="11" t="s">
        <v>487</v>
      </c>
      <c r="B629" s="11">
        <v>713.36</v>
      </c>
      <c r="C629" s="11">
        <v>1.0E-4</v>
      </c>
      <c r="D629" s="13">
        <v>1.0E-4</v>
      </c>
      <c r="E629" s="11" t="s">
        <v>487</v>
      </c>
      <c r="F629" s="12">
        <v>17546.65</v>
      </c>
      <c r="G629" s="11">
        <v>-8.74046E-4</v>
      </c>
      <c r="H629" s="13">
        <v>-9.0E-4</v>
      </c>
      <c r="J629" s="15"/>
      <c r="K629" s="11"/>
      <c r="L629" s="11"/>
      <c r="M629" s="11"/>
      <c r="N629" s="11"/>
    </row>
    <row r="630" ht="15.75" customHeight="1">
      <c r="A630" s="11" t="s">
        <v>488</v>
      </c>
      <c r="B630" s="11">
        <v>713.26</v>
      </c>
      <c r="C630" s="11">
        <v>0.0023</v>
      </c>
      <c r="D630" s="13">
        <v>0.0023</v>
      </c>
      <c r="E630" s="11" t="s">
        <v>488</v>
      </c>
      <c r="F630" s="12">
        <v>17562.0</v>
      </c>
      <c r="G630" s="11">
        <v>0.009490197</v>
      </c>
      <c r="H630" s="13">
        <v>0.0095</v>
      </c>
      <c r="J630" s="15"/>
      <c r="K630" s="11"/>
      <c r="L630" s="11"/>
      <c r="M630" s="11"/>
      <c r="N630" s="11"/>
    </row>
    <row r="631" ht="15.75" customHeight="1">
      <c r="A631" s="11" t="s">
        <v>489</v>
      </c>
      <c r="B631" s="11">
        <v>711.59</v>
      </c>
      <c r="C631" s="11">
        <v>-0.0044</v>
      </c>
      <c r="D631" s="13">
        <v>-0.0044</v>
      </c>
      <c r="E631" s="11" t="s">
        <v>489</v>
      </c>
      <c r="F631" s="12">
        <v>17396.9</v>
      </c>
      <c r="G631" s="11">
        <v>-0.010705055</v>
      </c>
      <c r="H631" s="13">
        <v>-0.0107</v>
      </c>
      <c r="J631" s="15"/>
      <c r="K631" s="11"/>
      <c r="L631" s="11"/>
      <c r="M631" s="11"/>
      <c r="N631" s="11"/>
    </row>
    <row r="632" ht="15.75" customHeight="1">
      <c r="A632" s="11" t="s">
        <v>490</v>
      </c>
      <c r="B632" s="11">
        <v>714.73</v>
      </c>
      <c r="C632" s="11">
        <v>0.0133</v>
      </c>
      <c r="D632" s="13">
        <v>0.0133</v>
      </c>
      <c r="E632" s="11" t="s">
        <v>490</v>
      </c>
      <c r="F632" s="12">
        <v>17585.15</v>
      </c>
      <c r="G632" s="11">
        <v>-0.00251567</v>
      </c>
      <c r="H632" s="13">
        <v>-0.0025</v>
      </c>
      <c r="J632" s="15"/>
      <c r="K632" s="11"/>
      <c r="L632" s="11"/>
      <c r="M632" s="11"/>
      <c r="N632" s="11"/>
    </row>
    <row r="633" ht="15.75" customHeight="1">
      <c r="A633" s="11" t="s">
        <v>491</v>
      </c>
      <c r="B633" s="11">
        <v>705.36</v>
      </c>
      <c r="C633" s="11">
        <v>-0.0095</v>
      </c>
      <c r="D633" s="13">
        <v>-0.0095</v>
      </c>
      <c r="E633" s="11" t="s">
        <v>491</v>
      </c>
      <c r="F633" s="12">
        <v>17629.5</v>
      </c>
      <c r="G633" s="11">
        <v>0.00628159</v>
      </c>
      <c r="H633" s="13">
        <v>0.0063</v>
      </c>
      <c r="J633" s="15"/>
      <c r="K633" s="11"/>
      <c r="L633" s="11"/>
      <c r="M633" s="11"/>
      <c r="N633" s="11"/>
    </row>
    <row r="634" ht="15.75" customHeight="1">
      <c r="A634" s="11" t="s">
        <v>492</v>
      </c>
      <c r="B634" s="11">
        <v>712.13</v>
      </c>
      <c r="C634" s="11">
        <v>0.0451</v>
      </c>
      <c r="D634" s="13">
        <v>0.0451</v>
      </c>
      <c r="E634" s="11" t="s">
        <v>492</v>
      </c>
      <c r="F634" s="12">
        <v>17519.45</v>
      </c>
      <c r="G634" s="11">
        <v>0.00802359</v>
      </c>
      <c r="H634" s="13">
        <v>0.008</v>
      </c>
      <c r="J634" s="15"/>
      <c r="K634" s="11"/>
      <c r="L634" s="11"/>
      <c r="M634" s="11"/>
      <c r="N634" s="11"/>
    </row>
    <row r="635" ht="15.75" customHeight="1">
      <c r="A635" s="11" t="s">
        <v>493</v>
      </c>
      <c r="B635" s="11">
        <v>681.41</v>
      </c>
      <c r="C635" s="11">
        <v>0.0013</v>
      </c>
      <c r="D635" s="13">
        <v>0.0013</v>
      </c>
      <c r="E635" s="11" t="s">
        <v>493</v>
      </c>
      <c r="F635" s="12">
        <v>17380.0</v>
      </c>
      <c r="G635" s="11">
        <v>0.001423196</v>
      </c>
      <c r="H635" s="13">
        <v>0.0014</v>
      </c>
      <c r="J635" s="15"/>
      <c r="K635" s="11"/>
      <c r="L635" s="11"/>
      <c r="M635" s="11"/>
      <c r="N635" s="11"/>
    </row>
    <row r="636" ht="15.75" customHeight="1">
      <c r="A636" s="11" t="s">
        <v>494</v>
      </c>
      <c r="B636" s="11">
        <v>680.52</v>
      </c>
      <c r="C636" s="11">
        <v>0.0104</v>
      </c>
      <c r="D636" s="13">
        <v>0.0104</v>
      </c>
      <c r="E636" s="11" t="s">
        <v>494</v>
      </c>
      <c r="F636" s="12">
        <v>17355.3</v>
      </c>
      <c r="G636" s="11">
        <v>-8.03143E-4</v>
      </c>
      <c r="H636" s="13">
        <v>-8.0E-4</v>
      </c>
      <c r="J636" s="15"/>
      <c r="K636" s="11"/>
      <c r="L636" s="11"/>
      <c r="M636" s="11"/>
      <c r="N636" s="11"/>
    </row>
    <row r="637" ht="15.75" customHeight="1">
      <c r="A637" s="35">
        <v>44448.0</v>
      </c>
      <c r="B637" s="11">
        <v>673.51</v>
      </c>
      <c r="C637" s="11">
        <v>0.0274</v>
      </c>
      <c r="D637" s="13">
        <v>0.0274</v>
      </c>
      <c r="E637" s="35">
        <v>44448.0</v>
      </c>
      <c r="F637" s="12">
        <v>17369.25</v>
      </c>
      <c r="G637" s="11">
        <v>9.07598E-4</v>
      </c>
      <c r="H637" s="13">
        <v>9.0E-4</v>
      </c>
      <c r="J637" s="15"/>
      <c r="K637" s="11"/>
      <c r="L637" s="11"/>
      <c r="M637" s="11"/>
      <c r="N637" s="11"/>
    </row>
    <row r="638" ht="15.75" customHeight="1">
      <c r="A638" s="35">
        <v>44417.0</v>
      </c>
      <c r="B638" s="11">
        <v>655.54</v>
      </c>
      <c r="C638" s="11">
        <v>-0.004</v>
      </c>
      <c r="D638" s="13">
        <v>-0.004</v>
      </c>
      <c r="E638" s="35">
        <v>44417.0</v>
      </c>
      <c r="F638" s="12">
        <v>17353.5</v>
      </c>
      <c r="G638" s="11">
        <v>-4.95332E-4</v>
      </c>
      <c r="H638" s="13">
        <v>-5.0E-4</v>
      </c>
      <c r="J638" s="15"/>
      <c r="K638" s="11"/>
      <c r="L638" s="11"/>
      <c r="M638" s="11"/>
      <c r="N638" s="11"/>
    </row>
    <row r="639" ht="15.75" customHeight="1">
      <c r="A639" s="35">
        <v>44386.0</v>
      </c>
      <c r="B639" s="11">
        <v>658.19</v>
      </c>
      <c r="C639" s="11">
        <v>0.0244</v>
      </c>
      <c r="D639" s="13">
        <v>0.0244</v>
      </c>
      <c r="E639" s="35">
        <v>44386.0</v>
      </c>
      <c r="F639" s="12">
        <v>17362.1</v>
      </c>
      <c r="G639" s="11">
        <v>-9.03452E-4</v>
      </c>
      <c r="H639" s="13">
        <v>-9.0E-4</v>
      </c>
      <c r="J639" s="15"/>
      <c r="K639" s="11"/>
      <c r="L639" s="11"/>
      <c r="M639" s="11"/>
      <c r="N639" s="11"/>
    </row>
    <row r="640" ht="15.75" customHeight="1">
      <c r="A640" s="35">
        <v>44356.0</v>
      </c>
      <c r="B640" s="11">
        <v>642.54</v>
      </c>
      <c r="C640" s="11">
        <v>-0.0058</v>
      </c>
      <c r="D640" s="13">
        <v>-0.0058</v>
      </c>
      <c r="E640" s="35">
        <v>44356.0</v>
      </c>
      <c r="F640" s="12">
        <v>17377.8</v>
      </c>
      <c r="G640" s="11">
        <v>0.00312868</v>
      </c>
      <c r="H640" s="13">
        <v>0.0031</v>
      </c>
      <c r="J640" s="15"/>
      <c r="K640" s="11"/>
      <c r="L640" s="11"/>
      <c r="M640" s="11"/>
      <c r="N640" s="11"/>
    </row>
    <row r="641" ht="15.75" customHeight="1">
      <c r="A641" s="35">
        <v>44264.0</v>
      </c>
      <c r="B641" s="11">
        <v>646.32</v>
      </c>
      <c r="C641" s="11">
        <v>-0.0121</v>
      </c>
      <c r="D641" s="13">
        <v>-0.0121</v>
      </c>
      <c r="E641" s="35">
        <v>44264.0</v>
      </c>
      <c r="F641" s="12">
        <v>17323.6</v>
      </c>
      <c r="G641" s="11">
        <v>0.005190276</v>
      </c>
      <c r="H641" s="13">
        <v>0.0052</v>
      </c>
      <c r="J641" s="15"/>
      <c r="K641" s="11"/>
      <c r="L641" s="11"/>
      <c r="M641" s="11"/>
      <c r="N641" s="11"/>
    </row>
    <row r="642" ht="15.75" customHeight="1">
      <c r="A642" s="35">
        <v>44236.0</v>
      </c>
      <c r="B642" s="11">
        <v>654.22</v>
      </c>
      <c r="C642" s="11">
        <v>2.0E-4</v>
      </c>
      <c r="D642" s="13">
        <v>1.0E-4</v>
      </c>
      <c r="E642" s="35">
        <v>44236.0</v>
      </c>
      <c r="F642" s="12">
        <v>17234.15</v>
      </c>
      <c r="G642" s="11">
        <v>0.009246761</v>
      </c>
      <c r="H642" s="13">
        <v>0.0092</v>
      </c>
      <c r="J642" s="15"/>
      <c r="K642" s="11"/>
      <c r="L642" s="11"/>
      <c r="M642" s="11"/>
      <c r="N642" s="11"/>
    </row>
    <row r="643" ht="15.75" customHeight="1">
      <c r="A643" s="35">
        <v>44205.0</v>
      </c>
      <c r="B643" s="11">
        <v>654.12</v>
      </c>
      <c r="C643" s="11">
        <v>0.0035</v>
      </c>
      <c r="D643" s="13">
        <v>0.0035</v>
      </c>
      <c r="E643" s="35">
        <v>44205.0</v>
      </c>
      <c r="F643" s="12">
        <v>17076.25</v>
      </c>
      <c r="G643" s="11">
        <v>-0.00326578</v>
      </c>
      <c r="H643" s="13">
        <v>-0.0033</v>
      </c>
      <c r="J643" s="15"/>
      <c r="K643" s="11"/>
      <c r="L643" s="11"/>
      <c r="M643" s="11"/>
      <c r="N643" s="11"/>
    </row>
    <row r="644" ht="15.75" customHeight="1">
      <c r="A644" s="11" t="s">
        <v>495</v>
      </c>
      <c r="B644" s="11">
        <v>651.81</v>
      </c>
      <c r="C644" s="11">
        <v>0.0703</v>
      </c>
      <c r="D644" s="13">
        <v>0.0703</v>
      </c>
      <c r="E644" s="11" t="s">
        <v>495</v>
      </c>
      <c r="F644" s="12">
        <v>17132.2</v>
      </c>
      <c r="G644" s="11">
        <v>0.011880539</v>
      </c>
      <c r="H644" s="13">
        <v>0.0119</v>
      </c>
      <c r="J644" s="15"/>
      <c r="K644" s="11"/>
      <c r="L644" s="11"/>
      <c r="M644" s="11"/>
      <c r="N644" s="11"/>
    </row>
    <row r="645" ht="15.75" customHeight="1">
      <c r="A645" s="11" t="s">
        <v>496</v>
      </c>
      <c r="B645" s="11">
        <v>609.02</v>
      </c>
      <c r="C645" s="11">
        <v>0.0425</v>
      </c>
      <c r="D645" s="13">
        <v>0.0425</v>
      </c>
      <c r="E645" s="11" t="s">
        <v>496</v>
      </c>
      <c r="F645" s="12">
        <v>16931.05</v>
      </c>
      <c r="G645" s="11">
        <v>0.013519742</v>
      </c>
      <c r="H645" s="13">
        <v>0.0135</v>
      </c>
      <c r="J645" s="15"/>
      <c r="K645" s="11"/>
      <c r="L645" s="11"/>
      <c r="M645" s="11"/>
      <c r="N645" s="11"/>
    </row>
    <row r="646" ht="15.75" customHeight="1">
      <c r="A646" s="11" t="s">
        <v>497</v>
      </c>
      <c r="B646" s="11">
        <v>584.18</v>
      </c>
      <c r="C646" s="11">
        <v>0.0141</v>
      </c>
      <c r="D646" s="13">
        <v>0.0141</v>
      </c>
      <c r="E646" s="11" t="s">
        <v>497</v>
      </c>
      <c r="F646" s="12">
        <v>16705.2</v>
      </c>
      <c r="G646" s="11">
        <v>0.004105332</v>
      </c>
      <c r="H646" s="13">
        <v>0.0041</v>
      </c>
      <c r="J646" s="15"/>
      <c r="K646" s="11"/>
      <c r="L646" s="11"/>
      <c r="M646" s="11"/>
      <c r="N646" s="11"/>
    </row>
    <row r="647" ht="15.75" customHeight="1">
      <c r="A647" s="11" t="s">
        <v>498</v>
      </c>
      <c r="B647" s="11">
        <v>576.08</v>
      </c>
      <c r="C647" s="11">
        <v>-0.0417</v>
      </c>
      <c r="D647" s="13">
        <v>-0.0417</v>
      </c>
      <c r="E647" s="11" t="s">
        <v>498</v>
      </c>
      <c r="F647" s="12">
        <v>16636.9</v>
      </c>
      <c r="G647" s="11">
        <v>1.3526E-4</v>
      </c>
      <c r="H647" s="13">
        <v>1.0E-4</v>
      </c>
      <c r="J647" s="15"/>
      <c r="K647" s="11"/>
      <c r="L647" s="11"/>
      <c r="M647" s="11"/>
      <c r="N647" s="11"/>
    </row>
    <row r="648" ht="15.75" customHeight="1">
      <c r="A648" s="11" t="s">
        <v>499</v>
      </c>
      <c r="B648" s="11">
        <v>601.16</v>
      </c>
      <c r="C648" s="11">
        <v>-0.0123</v>
      </c>
      <c r="D648" s="13">
        <v>-0.0123</v>
      </c>
      <c r="E648" s="11" t="s">
        <v>499</v>
      </c>
      <c r="F648" s="12">
        <v>16634.65</v>
      </c>
      <c r="G648" s="11">
        <v>6.04526E-4</v>
      </c>
      <c r="H648" s="13">
        <v>6.0E-4</v>
      </c>
      <c r="J648" s="15"/>
      <c r="K648" s="11"/>
      <c r="L648" s="11"/>
      <c r="M648" s="11"/>
      <c r="N648" s="11"/>
    </row>
    <row r="649" ht="15.75" customHeight="1">
      <c r="A649" s="11" t="s">
        <v>500</v>
      </c>
      <c r="B649" s="11">
        <v>608.67</v>
      </c>
      <c r="C649" s="11">
        <v>-0.0041</v>
      </c>
      <c r="D649" s="13">
        <v>-0.0041</v>
      </c>
      <c r="E649" s="11" t="s">
        <v>500</v>
      </c>
      <c r="F649" s="12">
        <v>16624.6</v>
      </c>
      <c r="G649" s="11">
        <v>0.007768338</v>
      </c>
      <c r="H649" s="13">
        <v>0.0078</v>
      </c>
      <c r="J649" s="15"/>
      <c r="K649" s="11"/>
      <c r="L649" s="11"/>
      <c r="M649" s="11"/>
      <c r="N649" s="11"/>
    </row>
    <row r="650" ht="15.75" customHeight="1">
      <c r="A650" s="11" t="s">
        <v>501</v>
      </c>
      <c r="B650" s="11">
        <v>611.17</v>
      </c>
      <c r="C650" s="11">
        <v>0.0146</v>
      </c>
      <c r="D650" s="13">
        <v>0.0146</v>
      </c>
      <c r="E650" s="11" t="s">
        <v>501</v>
      </c>
      <c r="F650" s="12">
        <v>16496.45</v>
      </c>
      <c r="G650" s="11">
        <v>0.002793228</v>
      </c>
      <c r="H650" s="13">
        <v>0.0028</v>
      </c>
      <c r="J650" s="15"/>
      <c r="K650" s="11"/>
      <c r="L650" s="11"/>
      <c r="M650" s="11"/>
      <c r="N650" s="11"/>
    </row>
    <row r="651" ht="15.75" customHeight="1">
      <c r="A651" s="11" t="s">
        <v>502</v>
      </c>
      <c r="B651" s="11">
        <v>602.39</v>
      </c>
      <c r="C651" s="11">
        <v>-0.0148</v>
      </c>
      <c r="D651" s="13">
        <v>-0.0148</v>
      </c>
      <c r="E651" s="11" t="s">
        <v>502</v>
      </c>
      <c r="F651" s="12">
        <v>16450.5</v>
      </c>
      <c r="G651" s="11">
        <v>-0.007142922</v>
      </c>
      <c r="H651" s="13">
        <v>-0.0071</v>
      </c>
      <c r="J651" s="15"/>
      <c r="K651" s="11"/>
      <c r="L651" s="11"/>
      <c r="M651" s="11"/>
      <c r="N651" s="11"/>
    </row>
    <row r="652" ht="15.75" customHeight="1">
      <c r="A652" s="11" t="s">
        <v>503</v>
      </c>
      <c r="B652" s="11">
        <v>611.47</v>
      </c>
      <c r="C652" s="11">
        <v>-0.0054</v>
      </c>
      <c r="D652" s="13">
        <v>-0.0054</v>
      </c>
      <c r="E652" s="11" t="s">
        <v>503</v>
      </c>
      <c r="F652" s="12">
        <v>16568.85</v>
      </c>
      <c r="G652" s="11">
        <v>-0.002753602</v>
      </c>
      <c r="H652" s="13">
        <v>-0.0028</v>
      </c>
      <c r="J652" s="15"/>
      <c r="K652" s="11"/>
      <c r="L652" s="11"/>
      <c r="M652" s="11"/>
      <c r="N652" s="11"/>
    </row>
    <row r="653" ht="15.75" customHeight="1">
      <c r="A653" s="11" t="s">
        <v>504</v>
      </c>
      <c r="B653" s="11">
        <v>614.81</v>
      </c>
      <c r="C653" s="11">
        <v>-0.0121</v>
      </c>
      <c r="D653" s="13">
        <v>-0.0121</v>
      </c>
      <c r="E653" s="11" t="s">
        <v>504</v>
      </c>
      <c r="F653" s="12">
        <v>16614.6</v>
      </c>
      <c r="G653" s="11">
        <v>0.003112349</v>
      </c>
      <c r="H653" s="13">
        <v>0.0031</v>
      </c>
      <c r="J653" s="15"/>
      <c r="K653" s="11"/>
      <c r="L653" s="11"/>
      <c r="M653" s="11"/>
      <c r="N653" s="11"/>
    </row>
    <row r="654" ht="15.75" customHeight="1">
      <c r="A654" s="11" t="s">
        <v>505</v>
      </c>
      <c r="B654" s="11">
        <v>622.36</v>
      </c>
      <c r="C654" s="11">
        <v>-0.0047</v>
      </c>
      <c r="D654" s="13">
        <v>-0.0047</v>
      </c>
      <c r="E654" s="11" t="s">
        <v>505</v>
      </c>
      <c r="F654" s="12">
        <v>16563.05</v>
      </c>
      <c r="G654" s="11">
        <v>0.002053953</v>
      </c>
      <c r="H654" s="13">
        <v>0.0021</v>
      </c>
      <c r="J654" s="15"/>
      <c r="K654" s="11"/>
      <c r="L654" s="11"/>
      <c r="M654" s="11"/>
      <c r="N654" s="11"/>
    </row>
    <row r="655" ht="15.75" customHeight="1">
      <c r="A655" s="11" t="s">
        <v>506</v>
      </c>
      <c r="B655" s="11">
        <v>625.31</v>
      </c>
      <c r="C655" s="11">
        <v>0.0223</v>
      </c>
      <c r="D655" s="13">
        <v>0.0223</v>
      </c>
      <c r="E655" s="11" t="s">
        <v>506</v>
      </c>
      <c r="F655" s="12">
        <v>16529.1</v>
      </c>
      <c r="G655" s="11">
        <v>0.01006453</v>
      </c>
      <c r="H655" s="13">
        <v>0.0101</v>
      </c>
      <c r="J655" s="15"/>
      <c r="K655" s="11"/>
      <c r="L655" s="11"/>
      <c r="M655" s="11"/>
      <c r="N655" s="11"/>
    </row>
    <row r="656" ht="15.75" customHeight="1">
      <c r="A656" s="35">
        <v>44538.0</v>
      </c>
      <c r="B656" s="11">
        <v>611.67</v>
      </c>
      <c r="C656" s="11">
        <v>0.0037</v>
      </c>
      <c r="D656" s="13">
        <v>0.0037</v>
      </c>
      <c r="E656" s="35">
        <v>44538.0</v>
      </c>
      <c r="F656" s="12">
        <v>16364.4</v>
      </c>
      <c r="G656" s="11">
        <v>0.005045371</v>
      </c>
      <c r="H656" s="13">
        <v>0.005</v>
      </c>
      <c r="J656" s="15"/>
      <c r="K656" s="11"/>
      <c r="L656" s="11"/>
      <c r="M656" s="11"/>
      <c r="N656" s="11"/>
    </row>
    <row r="657" ht="15.75" customHeight="1">
      <c r="A657" s="35">
        <v>44508.0</v>
      </c>
      <c r="B657" s="11">
        <v>609.41</v>
      </c>
      <c r="C657" s="11">
        <v>-0.0022</v>
      </c>
      <c r="D657" s="13">
        <v>-0.0022</v>
      </c>
      <c r="E657" s="35">
        <v>44508.0</v>
      </c>
      <c r="F657" s="12">
        <v>16282.25</v>
      </c>
      <c r="G657" s="11">
        <v>1.32063E-4</v>
      </c>
      <c r="H657" s="13">
        <v>1.0E-4</v>
      </c>
      <c r="J657" s="15"/>
      <c r="K657" s="11"/>
      <c r="L657" s="11"/>
      <c r="M657" s="11"/>
      <c r="N657" s="11"/>
    </row>
    <row r="658" ht="15.75" customHeight="1">
      <c r="A658" s="35">
        <v>44477.0</v>
      </c>
      <c r="B658" s="11">
        <v>610.73</v>
      </c>
      <c r="C658" s="11">
        <v>0.0383</v>
      </c>
      <c r="D658" s="13">
        <v>0.0383</v>
      </c>
      <c r="E658" s="35">
        <v>44477.0</v>
      </c>
      <c r="F658" s="12">
        <v>16280.1</v>
      </c>
      <c r="G658" s="11">
        <v>0.001343933</v>
      </c>
      <c r="H658" s="13">
        <v>0.0013</v>
      </c>
      <c r="J658" s="15"/>
      <c r="K658" s="11"/>
      <c r="L658" s="11"/>
      <c r="M658" s="11"/>
      <c r="N658" s="11"/>
    </row>
    <row r="659" ht="15.75" customHeight="1">
      <c r="A659" s="35">
        <v>44447.0</v>
      </c>
      <c r="B659" s="11">
        <v>588.21</v>
      </c>
      <c r="C659" s="11">
        <v>-0.0142</v>
      </c>
      <c r="D659" s="13">
        <v>-0.0142</v>
      </c>
      <c r="E659" s="35">
        <v>44447.0</v>
      </c>
      <c r="F659" s="12">
        <v>16258.25</v>
      </c>
      <c r="G659" s="11">
        <v>0.001234743</v>
      </c>
      <c r="H659" s="13">
        <v>0.0012</v>
      </c>
      <c r="J659" s="15"/>
      <c r="K659" s="11"/>
      <c r="L659" s="11"/>
      <c r="M659" s="11"/>
      <c r="N659" s="11"/>
    </row>
    <row r="660" ht="15.75" customHeight="1">
      <c r="A660" s="35">
        <v>44355.0</v>
      </c>
      <c r="B660" s="11">
        <v>596.7</v>
      </c>
      <c r="C660" s="11">
        <v>0.0154</v>
      </c>
      <c r="D660" s="13">
        <v>0.0154</v>
      </c>
      <c r="E660" s="35">
        <v>44355.0</v>
      </c>
      <c r="F660" s="12">
        <v>16238.2</v>
      </c>
      <c r="G660" s="11">
        <v>-0.003461269</v>
      </c>
      <c r="H660" s="13">
        <v>-0.0035</v>
      </c>
      <c r="J660" s="15"/>
      <c r="K660" s="11"/>
      <c r="L660" s="11"/>
      <c r="M660" s="11"/>
      <c r="N660" s="11"/>
    </row>
    <row r="661" ht="15.75" customHeight="1">
      <c r="A661" s="35">
        <v>44324.0</v>
      </c>
      <c r="B661" s="11">
        <v>587.67</v>
      </c>
      <c r="C661" s="11">
        <v>0.0423</v>
      </c>
      <c r="D661" s="13">
        <v>0.0423</v>
      </c>
      <c r="E661" s="35">
        <v>44324.0</v>
      </c>
      <c r="F661" s="12">
        <v>16294.6</v>
      </c>
      <c r="G661" s="11">
        <v>0.002201885</v>
      </c>
      <c r="H661" s="13">
        <v>0.0022</v>
      </c>
      <c r="J661" s="15"/>
      <c r="K661" s="11"/>
      <c r="L661" s="11"/>
      <c r="M661" s="11"/>
      <c r="N661" s="11"/>
    </row>
    <row r="662" ht="15.75" customHeight="1">
      <c r="A662" s="35">
        <v>44294.0</v>
      </c>
      <c r="B662" s="11">
        <v>563.81</v>
      </c>
      <c r="C662" s="11">
        <v>-0.01</v>
      </c>
      <c r="D662" s="13">
        <v>-0.01</v>
      </c>
      <c r="E662" s="35">
        <v>44294.0</v>
      </c>
      <c r="F662" s="12">
        <v>16258.8</v>
      </c>
      <c r="G662" s="11">
        <v>0.007938255</v>
      </c>
      <c r="H662" s="13">
        <v>0.0079</v>
      </c>
      <c r="J662" s="15"/>
      <c r="K662" s="11"/>
      <c r="L662" s="11"/>
      <c r="M662" s="11"/>
      <c r="N662" s="11"/>
    </row>
    <row r="663" ht="15.75" customHeight="1">
      <c r="A663" s="35">
        <v>44263.0</v>
      </c>
      <c r="B663" s="11">
        <v>569.51</v>
      </c>
      <c r="C663" s="11">
        <v>0.0266</v>
      </c>
      <c r="D663" s="13">
        <v>0.0266</v>
      </c>
      <c r="E663" s="35">
        <v>44263.0</v>
      </c>
      <c r="F663" s="12">
        <v>16130.75</v>
      </c>
      <c r="G663" s="11">
        <v>0.015460981</v>
      </c>
      <c r="H663" s="13">
        <v>0.0155</v>
      </c>
      <c r="J663" s="15"/>
      <c r="K663" s="11"/>
      <c r="L663" s="11"/>
      <c r="M663" s="11"/>
      <c r="N663" s="11"/>
    </row>
    <row r="664" ht="15.75" customHeight="1">
      <c r="A664" s="35">
        <v>44235.0</v>
      </c>
      <c r="B664" s="11">
        <v>554.73</v>
      </c>
      <c r="C664" s="11">
        <v>0.0062</v>
      </c>
      <c r="D664" s="13">
        <v>0.0062</v>
      </c>
      <c r="E664" s="35">
        <v>44235.0</v>
      </c>
      <c r="F664" s="12">
        <v>15885.15</v>
      </c>
      <c r="G664" s="11">
        <v>0.007745963</v>
      </c>
      <c r="H664" s="13">
        <v>0.0077</v>
      </c>
      <c r="J664" s="15"/>
      <c r="K664" s="11"/>
      <c r="L664" s="11"/>
      <c r="M664" s="11"/>
      <c r="N664" s="11"/>
    </row>
    <row r="665" ht="15.75" customHeight="1">
      <c r="A665" s="11" t="s">
        <v>507</v>
      </c>
      <c r="B665" s="11">
        <v>551.3</v>
      </c>
      <c r="C665" s="11">
        <v>-0.0097</v>
      </c>
      <c r="D665" s="13">
        <v>-0.0097</v>
      </c>
      <c r="E665" s="11" t="s">
        <v>507</v>
      </c>
      <c r="F665" s="12">
        <v>15763.05</v>
      </c>
      <c r="G665" s="11">
        <v>-9.76015E-4</v>
      </c>
      <c r="H665" s="13">
        <v>-0.001</v>
      </c>
      <c r="J665" s="15"/>
      <c r="K665" s="11"/>
      <c r="L665" s="11"/>
      <c r="M665" s="11"/>
      <c r="N665" s="11"/>
    </row>
    <row r="666" ht="15.75" customHeight="1">
      <c r="A666" s="11" t="s">
        <v>508</v>
      </c>
      <c r="B666" s="11">
        <v>556.7</v>
      </c>
      <c r="C666" s="11">
        <v>-0.0013</v>
      </c>
      <c r="D666" s="13">
        <v>-0.0013</v>
      </c>
      <c r="E666" s="11" t="s">
        <v>508</v>
      </c>
      <c r="F666" s="12">
        <v>15778.45</v>
      </c>
      <c r="G666" s="11">
        <v>0.004395457</v>
      </c>
      <c r="H666" s="13">
        <v>0.0044</v>
      </c>
      <c r="J666" s="15"/>
      <c r="K666" s="11"/>
      <c r="L666" s="11"/>
      <c r="M666" s="11"/>
      <c r="N666" s="11"/>
    </row>
    <row r="667" ht="15.75" customHeight="1">
      <c r="A667" s="11" t="s">
        <v>509</v>
      </c>
      <c r="B667" s="11">
        <v>557.43</v>
      </c>
      <c r="C667" s="11">
        <v>0.0506</v>
      </c>
      <c r="D667" s="13">
        <v>0.0506</v>
      </c>
      <c r="E667" s="11" t="s">
        <v>509</v>
      </c>
      <c r="F667" s="12">
        <v>15709.4</v>
      </c>
      <c r="G667" s="11">
        <v>-0.002352911</v>
      </c>
      <c r="H667" s="13">
        <v>-0.0024</v>
      </c>
      <c r="J667" s="15"/>
      <c r="K667" s="11"/>
      <c r="L667" s="11"/>
      <c r="M667" s="11"/>
      <c r="N667" s="11"/>
    </row>
    <row r="668" ht="15.75" customHeight="1">
      <c r="A668" s="11" t="s">
        <v>510</v>
      </c>
      <c r="B668" s="11">
        <v>530.59</v>
      </c>
      <c r="C668" s="11">
        <v>-0.0064</v>
      </c>
      <c r="D668" s="13">
        <v>-0.0064</v>
      </c>
      <c r="E668" s="11" t="s">
        <v>510</v>
      </c>
      <c r="F668" s="12">
        <v>15746.45</v>
      </c>
      <c r="G668" s="11">
        <v>-0.004929081</v>
      </c>
      <c r="H668" s="13">
        <v>-0.0049</v>
      </c>
      <c r="J668" s="15"/>
      <c r="K668" s="11"/>
      <c r="L668" s="11"/>
      <c r="M668" s="11"/>
      <c r="N668" s="11"/>
    </row>
    <row r="669" ht="15.75" customHeight="1">
      <c r="A669" s="11" t="s">
        <v>511</v>
      </c>
      <c r="B669" s="11">
        <v>534.02</v>
      </c>
      <c r="C669" s="11">
        <v>-0.0078</v>
      </c>
      <c r="D669" s="13">
        <v>-0.0078</v>
      </c>
      <c r="E669" s="11" t="s">
        <v>511</v>
      </c>
      <c r="F669" s="12">
        <v>15824.45</v>
      </c>
      <c r="G669" s="11">
        <v>-0.00199293</v>
      </c>
      <c r="H669" s="13">
        <v>-0.002</v>
      </c>
      <c r="J669" s="15"/>
      <c r="K669" s="11"/>
      <c r="L669" s="11"/>
      <c r="M669" s="11"/>
      <c r="N669" s="11"/>
    </row>
    <row r="670" ht="15.75" customHeight="1">
      <c r="A670" s="11" t="s">
        <v>512</v>
      </c>
      <c r="B670" s="11">
        <v>538.2</v>
      </c>
      <c r="C670" s="11">
        <v>0.0029</v>
      </c>
      <c r="D670" s="13">
        <v>0.0029</v>
      </c>
      <c r="E670" s="11" t="s">
        <v>512</v>
      </c>
      <c r="F670" s="12">
        <v>15856.05</v>
      </c>
      <c r="G670" s="11">
        <v>0.002022238</v>
      </c>
      <c r="H670" s="13">
        <v>0.002</v>
      </c>
      <c r="J670" s="15"/>
      <c r="K670" s="11"/>
      <c r="L670" s="11"/>
      <c r="M670" s="11"/>
      <c r="N670" s="11"/>
    </row>
    <row r="671" ht="15.75" customHeight="1">
      <c r="A671" s="11" t="s">
        <v>513</v>
      </c>
      <c r="B671" s="11">
        <v>536.63</v>
      </c>
      <c r="C671" s="11">
        <v>0.0399</v>
      </c>
      <c r="D671" s="13">
        <v>0.0398</v>
      </c>
      <c r="E671" s="11" t="s">
        <v>513</v>
      </c>
      <c r="F671" s="12">
        <v>15824.05</v>
      </c>
      <c r="G671" s="11">
        <v>0.01227922</v>
      </c>
      <c r="H671" s="13">
        <v>0.0123</v>
      </c>
      <c r="J671" s="15"/>
      <c r="K671" s="11"/>
      <c r="L671" s="11"/>
      <c r="M671" s="11"/>
      <c r="N671" s="11"/>
    </row>
    <row r="672" ht="15.75" customHeight="1">
      <c r="A672" s="11" t="s">
        <v>514</v>
      </c>
      <c r="B672" s="11">
        <v>516.06</v>
      </c>
      <c r="C672" s="11">
        <v>-0.0236</v>
      </c>
      <c r="D672" s="13">
        <v>-0.0236</v>
      </c>
      <c r="E672" s="11" t="s">
        <v>514</v>
      </c>
      <c r="F672" s="12">
        <v>15632.1</v>
      </c>
      <c r="G672" s="11">
        <v>-0.007636932</v>
      </c>
      <c r="H672" s="13">
        <v>-0.0076</v>
      </c>
      <c r="J672" s="15"/>
      <c r="K672" s="11"/>
      <c r="L672" s="11"/>
      <c r="M672" s="11"/>
      <c r="N672" s="11"/>
    </row>
    <row r="673" ht="15.75" customHeight="1">
      <c r="A673" s="11" t="s">
        <v>515</v>
      </c>
      <c r="B673" s="11">
        <v>528.53</v>
      </c>
      <c r="C673" s="11">
        <v>-0.005</v>
      </c>
      <c r="D673" s="13">
        <v>-0.005</v>
      </c>
      <c r="E673" s="11" t="s">
        <v>515</v>
      </c>
      <c r="F673" s="12">
        <v>15752.4</v>
      </c>
      <c r="G673" s="11">
        <v>-0.010738913</v>
      </c>
      <c r="H673" s="13">
        <v>-0.0107</v>
      </c>
      <c r="J673" s="15"/>
      <c r="K673" s="11"/>
      <c r="L673" s="11"/>
      <c r="M673" s="11"/>
      <c r="N673" s="11"/>
    </row>
    <row r="674" ht="15.75" customHeight="1">
      <c r="A674" s="11" t="s">
        <v>516</v>
      </c>
      <c r="B674" s="11">
        <v>531.18</v>
      </c>
      <c r="C674" s="11">
        <v>0.0299</v>
      </c>
      <c r="D674" s="13">
        <v>0.0299</v>
      </c>
      <c r="E674" s="11" t="s">
        <v>516</v>
      </c>
      <c r="F674" s="12">
        <v>15923.4</v>
      </c>
      <c r="G674" s="45">
        <v>-5.0238E-5</v>
      </c>
      <c r="H674" s="13">
        <v>-1.0E-4</v>
      </c>
      <c r="J674" s="15"/>
      <c r="K674" s="11"/>
      <c r="L674" s="11"/>
      <c r="M674" s="11"/>
      <c r="N674" s="11"/>
    </row>
    <row r="675" ht="15.75" customHeight="1">
      <c r="A675" s="11" t="s">
        <v>517</v>
      </c>
      <c r="B675" s="11">
        <v>515.77</v>
      </c>
      <c r="C675" s="11">
        <v>-0.0087</v>
      </c>
      <c r="D675" s="13">
        <v>-0.0087</v>
      </c>
      <c r="E675" s="11" t="s">
        <v>517</v>
      </c>
      <c r="F675" s="12">
        <v>15924.2</v>
      </c>
      <c r="G675" s="11">
        <v>0.004431072</v>
      </c>
      <c r="H675" s="13">
        <v>0.0044</v>
      </c>
      <c r="J675" s="15"/>
      <c r="K675" s="11"/>
      <c r="L675" s="11"/>
      <c r="M675" s="11"/>
      <c r="N675" s="11"/>
    </row>
    <row r="676" ht="15.75" customHeight="1">
      <c r="A676" s="11" t="s">
        <v>518</v>
      </c>
      <c r="B676" s="11">
        <v>520.28</v>
      </c>
      <c r="C676" s="11">
        <v>0.0</v>
      </c>
      <c r="D676" s="13">
        <v>0.0</v>
      </c>
      <c r="E676" s="11" t="s">
        <v>518</v>
      </c>
      <c r="F676" s="12">
        <v>15853.95</v>
      </c>
      <c r="G676" s="11">
        <v>0.002630855</v>
      </c>
      <c r="H676" s="13">
        <v>0.0026</v>
      </c>
      <c r="J676" s="15"/>
      <c r="K676" s="11"/>
      <c r="L676" s="11"/>
      <c r="M676" s="11"/>
      <c r="N676" s="11"/>
    </row>
    <row r="677" ht="15.75" customHeight="1">
      <c r="A677" s="11" t="s">
        <v>519</v>
      </c>
      <c r="B677" s="11">
        <v>520.28</v>
      </c>
      <c r="C677" s="11">
        <v>8.0E-4</v>
      </c>
      <c r="D677" s="13">
        <v>8.0E-4</v>
      </c>
      <c r="E677" s="11" t="s">
        <v>519</v>
      </c>
      <c r="F677" s="12">
        <v>15812.35</v>
      </c>
      <c r="G677" s="11">
        <v>0.007630985</v>
      </c>
      <c r="H677" s="13">
        <v>0.0076</v>
      </c>
      <c r="J677" s="15"/>
      <c r="K677" s="11"/>
      <c r="L677" s="11"/>
      <c r="M677" s="11"/>
      <c r="N677" s="11"/>
    </row>
    <row r="678" ht="15.75" customHeight="1">
      <c r="A678" s="35">
        <v>44537.0</v>
      </c>
      <c r="B678" s="11">
        <v>519.89</v>
      </c>
      <c r="C678" s="11">
        <v>-0.0123</v>
      </c>
      <c r="D678" s="13">
        <v>-0.0123</v>
      </c>
      <c r="E678" s="35">
        <v>44537.0</v>
      </c>
      <c r="F678" s="12">
        <v>15692.6</v>
      </c>
      <c r="G678" s="11">
        <v>1.7846E-4</v>
      </c>
      <c r="H678" s="13">
        <v>2.0E-4</v>
      </c>
      <c r="J678" s="15"/>
      <c r="K678" s="11"/>
      <c r="L678" s="11"/>
      <c r="M678" s="11"/>
      <c r="N678" s="11"/>
    </row>
    <row r="679" ht="15.75" customHeight="1">
      <c r="A679" s="35">
        <v>44446.0</v>
      </c>
      <c r="B679" s="11">
        <v>526.37</v>
      </c>
      <c r="C679" s="11">
        <v>0.0208</v>
      </c>
      <c r="D679" s="13">
        <v>0.0208</v>
      </c>
      <c r="E679" s="35">
        <v>44446.0</v>
      </c>
      <c r="F679" s="12">
        <v>15689.8</v>
      </c>
      <c r="G679" s="11">
        <v>-0.002422447</v>
      </c>
      <c r="H679" s="13">
        <v>-0.0024</v>
      </c>
      <c r="J679" s="15"/>
      <c r="K679" s="11"/>
      <c r="L679" s="11"/>
      <c r="M679" s="11"/>
      <c r="N679" s="11"/>
    </row>
    <row r="680" ht="15.75" customHeight="1">
      <c r="A680" s="35">
        <v>44415.0</v>
      </c>
      <c r="B680" s="11">
        <v>515.62</v>
      </c>
      <c r="C680" s="11">
        <v>-0.0081</v>
      </c>
      <c r="D680" s="13">
        <v>-0.0081</v>
      </c>
      <c r="E680" s="35">
        <v>44415.0</v>
      </c>
      <c r="F680" s="12">
        <v>15727.9</v>
      </c>
      <c r="G680" s="11">
        <v>-0.009556256</v>
      </c>
      <c r="H680" s="13">
        <v>-0.0096</v>
      </c>
      <c r="J680" s="15"/>
      <c r="K680" s="11"/>
      <c r="L680" s="11"/>
      <c r="M680" s="11"/>
      <c r="N680" s="11"/>
    </row>
    <row r="681" ht="15.75" customHeight="1">
      <c r="A681" s="35">
        <v>44384.0</v>
      </c>
      <c r="B681" s="11">
        <v>519.84</v>
      </c>
      <c r="C681" s="11">
        <v>0.0066</v>
      </c>
      <c r="D681" s="13">
        <v>0.0067</v>
      </c>
      <c r="E681" s="35">
        <v>44384.0</v>
      </c>
      <c r="F681" s="12">
        <v>15879.65</v>
      </c>
      <c r="G681" s="11">
        <v>0.003881592</v>
      </c>
      <c r="H681" s="13">
        <v>0.0039</v>
      </c>
      <c r="J681" s="15"/>
      <c r="K681" s="11"/>
      <c r="L681" s="11"/>
      <c r="M681" s="11"/>
      <c r="N681" s="11"/>
    </row>
    <row r="682" ht="15.75" customHeight="1">
      <c r="A682" s="35">
        <v>44354.0</v>
      </c>
      <c r="B682" s="11">
        <v>516.41</v>
      </c>
      <c r="C682" s="11">
        <v>0.0041</v>
      </c>
      <c r="D682" s="13">
        <v>0.0041</v>
      </c>
      <c r="E682" s="35">
        <v>44354.0</v>
      </c>
      <c r="F682" s="12">
        <v>15818.25</v>
      </c>
      <c r="G682" s="11">
        <v>-0.001016777</v>
      </c>
      <c r="H682" s="13">
        <v>-0.001</v>
      </c>
      <c r="J682" s="15"/>
      <c r="K682" s="11"/>
      <c r="L682" s="11"/>
      <c r="M682" s="11"/>
      <c r="N682" s="11"/>
    </row>
    <row r="683" ht="15.75" customHeight="1">
      <c r="A683" s="35">
        <v>44323.0</v>
      </c>
      <c r="B683" s="11">
        <v>514.29</v>
      </c>
      <c r="C683" s="11">
        <v>-0.002</v>
      </c>
      <c r="D683" s="13">
        <v>-0.002</v>
      </c>
      <c r="E683" s="35">
        <v>44323.0</v>
      </c>
      <c r="F683" s="12">
        <v>15834.35</v>
      </c>
      <c r="G683" s="11">
        <v>0.007133226</v>
      </c>
      <c r="H683" s="13">
        <v>0.0071</v>
      </c>
      <c r="J683" s="15"/>
      <c r="K683" s="11"/>
      <c r="L683" s="11"/>
      <c r="M683" s="11"/>
      <c r="N683" s="11"/>
    </row>
    <row r="684" ht="15.75" customHeight="1">
      <c r="A684" s="35">
        <v>44234.0</v>
      </c>
      <c r="B684" s="11">
        <v>515.33</v>
      </c>
      <c r="C684" s="11">
        <v>0.0045</v>
      </c>
      <c r="D684" s="13">
        <v>0.0045</v>
      </c>
      <c r="E684" s="35">
        <v>44234.0</v>
      </c>
      <c r="F684" s="12">
        <v>15722.2</v>
      </c>
      <c r="G684" s="11">
        <v>0.002691327</v>
      </c>
      <c r="H684" s="13">
        <v>0.0027</v>
      </c>
      <c r="J684" s="15"/>
      <c r="K684" s="11"/>
      <c r="L684" s="11"/>
      <c r="M684" s="11"/>
      <c r="N684" s="11"/>
    </row>
    <row r="685" ht="15.75" customHeight="1">
      <c r="A685" s="35">
        <v>44203.0</v>
      </c>
      <c r="B685" s="11">
        <v>513.02</v>
      </c>
      <c r="C685" s="11">
        <v>-0.0057</v>
      </c>
      <c r="D685" s="13">
        <v>-0.0057</v>
      </c>
      <c r="E685" s="35">
        <v>44203.0</v>
      </c>
      <c r="F685" s="12">
        <v>15680.0</v>
      </c>
      <c r="G685" s="11">
        <v>-0.002639697</v>
      </c>
      <c r="H685" s="13">
        <v>-0.0026</v>
      </c>
      <c r="J685" s="15"/>
      <c r="K685" s="11"/>
      <c r="L685" s="11"/>
      <c r="M685" s="11"/>
      <c r="N685" s="11"/>
    </row>
    <row r="686" ht="15.75" customHeight="1">
      <c r="A686" s="11" t="s">
        <v>520</v>
      </c>
      <c r="B686" s="11">
        <v>515.96</v>
      </c>
      <c r="C686" s="11">
        <v>0.0013</v>
      </c>
      <c r="D686" s="13">
        <v>0.0013</v>
      </c>
      <c r="E686" s="11" t="s">
        <v>520</v>
      </c>
      <c r="F686" s="12">
        <v>15721.5</v>
      </c>
      <c r="G686" s="11">
        <v>-0.00171128</v>
      </c>
      <c r="H686" s="13">
        <v>-0.0017</v>
      </c>
      <c r="J686" s="15"/>
      <c r="K686" s="11"/>
      <c r="L686" s="11"/>
      <c r="M686" s="11"/>
      <c r="N686" s="11"/>
    </row>
    <row r="687" ht="15.75" customHeight="1">
      <c r="A687" s="11" t="s">
        <v>521</v>
      </c>
      <c r="B687" s="11">
        <v>515.28</v>
      </c>
      <c r="C687" s="11">
        <v>-0.0118</v>
      </c>
      <c r="D687" s="13">
        <v>-0.0118</v>
      </c>
      <c r="E687" s="11" t="s">
        <v>521</v>
      </c>
      <c r="F687" s="12">
        <v>15748.45</v>
      </c>
      <c r="G687" s="11">
        <v>-0.00418914</v>
      </c>
      <c r="H687" s="13">
        <v>-0.0042</v>
      </c>
      <c r="J687" s="15"/>
      <c r="K687" s="11"/>
      <c r="L687" s="11"/>
      <c r="M687" s="11"/>
      <c r="N687" s="11"/>
    </row>
    <row r="688" ht="15.75" customHeight="1">
      <c r="A688" s="11" t="s">
        <v>522</v>
      </c>
      <c r="B688" s="11">
        <v>521.41</v>
      </c>
      <c r="C688" s="11">
        <v>-0.0073</v>
      </c>
      <c r="D688" s="13">
        <v>-0.0073</v>
      </c>
      <c r="E688" s="11" t="s">
        <v>522</v>
      </c>
      <c r="F688" s="12">
        <v>15814.7</v>
      </c>
      <c r="G688" s="11">
        <v>-0.002878247</v>
      </c>
      <c r="H688" s="13">
        <v>-0.0029</v>
      </c>
      <c r="J688" s="15"/>
      <c r="K688" s="11"/>
      <c r="L688" s="11"/>
      <c r="M688" s="11"/>
      <c r="N688" s="11"/>
    </row>
    <row r="689" ht="15.75" customHeight="1">
      <c r="A689" s="11" t="s">
        <v>523</v>
      </c>
      <c r="B689" s="11">
        <v>525.24</v>
      </c>
      <c r="C689" s="11">
        <v>0.012</v>
      </c>
      <c r="D689" s="13">
        <v>0.012</v>
      </c>
      <c r="E689" s="11" t="s">
        <v>523</v>
      </c>
      <c r="F689" s="12">
        <v>15860.35</v>
      </c>
      <c r="G689" s="11">
        <v>0.004426726</v>
      </c>
      <c r="H689" s="13">
        <v>0.0044</v>
      </c>
      <c r="J689" s="15"/>
      <c r="K689" s="11"/>
      <c r="L689" s="11"/>
      <c r="M689" s="11"/>
      <c r="N689" s="11"/>
    </row>
    <row r="690" ht="15.75" customHeight="1">
      <c r="A690" s="11" t="s">
        <v>524</v>
      </c>
      <c r="B690" s="11">
        <v>519.01</v>
      </c>
      <c r="C690" s="11">
        <v>-0.0099</v>
      </c>
      <c r="D690" s="13">
        <v>-0.0099</v>
      </c>
      <c r="E690" s="11" t="s">
        <v>524</v>
      </c>
      <c r="F690" s="12">
        <v>15790.45</v>
      </c>
      <c r="G690" s="11">
        <v>0.006597841</v>
      </c>
      <c r="H690" s="13">
        <v>0.0066</v>
      </c>
      <c r="J690" s="15"/>
      <c r="K690" s="11"/>
      <c r="L690" s="11"/>
      <c r="M690" s="11"/>
      <c r="N690" s="11"/>
    </row>
    <row r="691" ht="15.75" customHeight="1">
      <c r="A691" s="11" t="s">
        <v>525</v>
      </c>
      <c r="B691" s="11">
        <v>524.21</v>
      </c>
      <c r="C691" s="11">
        <v>-0.0044</v>
      </c>
      <c r="D691" s="13">
        <v>-0.0044</v>
      </c>
      <c r="E691" s="11" t="s">
        <v>525</v>
      </c>
      <c r="F691" s="12">
        <v>15686.95</v>
      </c>
      <c r="G691" s="11">
        <v>-0.005439762</v>
      </c>
      <c r="H691" s="13">
        <v>-0.0054</v>
      </c>
      <c r="J691" s="15"/>
      <c r="K691" s="11"/>
      <c r="L691" s="11"/>
      <c r="M691" s="11"/>
      <c r="N691" s="11"/>
    </row>
    <row r="692" ht="15.75" customHeight="1">
      <c r="A692" s="11" t="s">
        <v>526</v>
      </c>
      <c r="B692" s="11">
        <v>526.52</v>
      </c>
      <c r="C692" s="11">
        <v>-0.0059</v>
      </c>
      <c r="D692" s="13">
        <v>-0.0059</v>
      </c>
      <c r="E692" s="11" t="s">
        <v>526</v>
      </c>
      <c r="F692" s="12">
        <v>15772.75</v>
      </c>
      <c r="G692" s="11">
        <v>0.001667037</v>
      </c>
      <c r="H692" s="13">
        <v>0.0017</v>
      </c>
      <c r="J692" s="15"/>
      <c r="K692" s="11"/>
      <c r="L692" s="11"/>
      <c r="M692" s="11"/>
      <c r="N692" s="11"/>
    </row>
    <row r="693" ht="15.75" customHeight="1">
      <c r="A693" s="11" t="s">
        <v>527</v>
      </c>
      <c r="B693" s="11">
        <v>529.66</v>
      </c>
      <c r="C693" s="11">
        <v>0.0016</v>
      </c>
      <c r="D693" s="13">
        <v>0.0016</v>
      </c>
      <c r="E693" s="11" t="s">
        <v>527</v>
      </c>
      <c r="F693" s="12">
        <v>15746.5</v>
      </c>
      <c r="G693" s="11">
        <v>0.004026563</v>
      </c>
      <c r="H693" s="13">
        <v>0.004</v>
      </c>
      <c r="J693" s="15"/>
      <c r="K693" s="11"/>
      <c r="L693" s="11"/>
      <c r="M693" s="11"/>
      <c r="N693" s="11"/>
    </row>
    <row r="694" ht="15.75" customHeight="1">
      <c r="A694" s="11" t="s">
        <v>528</v>
      </c>
      <c r="B694" s="11">
        <v>528.82</v>
      </c>
      <c r="C694" s="11">
        <v>0.0191</v>
      </c>
      <c r="D694" s="13">
        <v>0.0191</v>
      </c>
      <c r="E694" s="11" t="s">
        <v>528</v>
      </c>
      <c r="F694" s="12">
        <v>15683.35</v>
      </c>
      <c r="G694" s="11">
        <v>-5.1302E-4</v>
      </c>
      <c r="H694" s="13">
        <v>-5.0E-4</v>
      </c>
      <c r="J694" s="15"/>
      <c r="K694" s="11"/>
      <c r="L694" s="11"/>
      <c r="M694" s="11"/>
      <c r="N694" s="11"/>
    </row>
    <row r="695" ht="15.75" customHeight="1">
      <c r="A695" s="11" t="s">
        <v>529</v>
      </c>
      <c r="B695" s="11">
        <v>518.91</v>
      </c>
      <c r="C695" s="11">
        <v>-0.0151</v>
      </c>
      <c r="D695" s="13">
        <v>-0.0151</v>
      </c>
      <c r="E695" s="11" t="s">
        <v>529</v>
      </c>
      <c r="F695" s="12">
        <v>15691.4</v>
      </c>
      <c r="G695" s="11">
        <v>-0.004829539</v>
      </c>
      <c r="H695" s="13">
        <v>-0.0048</v>
      </c>
      <c r="J695" s="15"/>
      <c r="K695" s="11"/>
      <c r="L695" s="11"/>
      <c r="M695" s="11"/>
      <c r="N695" s="11"/>
    </row>
    <row r="696" ht="15.75" customHeight="1">
      <c r="A696" s="11" t="s">
        <v>530</v>
      </c>
      <c r="B696" s="11">
        <v>526.86</v>
      </c>
      <c r="C696" s="11">
        <v>-0.0106</v>
      </c>
      <c r="D696" s="13">
        <v>-0.0106</v>
      </c>
      <c r="E696" s="11" t="s">
        <v>530</v>
      </c>
      <c r="F696" s="12">
        <v>15767.55</v>
      </c>
      <c r="G696" s="11">
        <v>-0.00640862</v>
      </c>
      <c r="H696" s="13">
        <v>-0.0064</v>
      </c>
      <c r="J696" s="15"/>
      <c r="K696" s="11"/>
      <c r="L696" s="11"/>
      <c r="M696" s="11"/>
      <c r="N696" s="11"/>
    </row>
    <row r="697" ht="15.75" customHeight="1">
      <c r="A697" s="11" t="s">
        <v>531</v>
      </c>
      <c r="B697" s="11">
        <v>532.5</v>
      </c>
      <c r="C697" s="11">
        <v>0.0058</v>
      </c>
      <c r="D697" s="13">
        <v>0.0058</v>
      </c>
      <c r="E697" s="11" t="s">
        <v>531</v>
      </c>
      <c r="F697" s="12">
        <v>15869.25</v>
      </c>
      <c r="G697" s="11">
        <v>0.003630189</v>
      </c>
      <c r="H697" s="13">
        <v>0.0036</v>
      </c>
      <c r="J697" s="15"/>
      <c r="K697" s="11"/>
      <c r="L697" s="11"/>
      <c r="M697" s="11"/>
      <c r="N697" s="11"/>
    </row>
    <row r="698" ht="15.75" customHeight="1">
      <c r="A698" s="11" t="s">
        <v>532</v>
      </c>
      <c r="B698" s="11">
        <v>529.41</v>
      </c>
      <c r="C698" s="11">
        <v>-0.0028</v>
      </c>
      <c r="D698" s="13">
        <v>-0.0028</v>
      </c>
      <c r="E698" s="11" t="s">
        <v>532</v>
      </c>
      <c r="F698" s="12">
        <v>15811.85</v>
      </c>
      <c r="G698" s="11">
        <v>7.91172E-4</v>
      </c>
      <c r="H698" s="13">
        <v>8.0E-4</v>
      </c>
      <c r="J698" s="15"/>
      <c r="K698" s="11"/>
      <c r="L698" s="11"/>
      <c r="M698" s="11"/>
      <c r="N698" s="11"/>
    </row>
    <row r="699" ht="15.75" customHeight="1">
      <c r="A699" s="35">
        <v>44506.0</v>
      </c>
      <c r="B699" s="11">
        <v>530.88</v>
      </c>
      <c r="C699" s="11">
        <v>-0.0079</v>
      </c>
      <c r="D699" s="13">
        <v>-0.0079</v>
      </c>
      <c r="E699" s="35">
        <v>44506.0</v>
      </c>
      <c r="F699" s="12">
        <v>15799.35</v>
      </c>
      <c r="G699" s="11">
        <v>0.003914155</v>
      </c>
      <c r="H699" s="13">
        <v>0.0039</v>
      </c>
      <c r="J699" s="15"/>
      <c r="K699" s="11"/>
      <c r="L699" s="11"/>
      <c r="M699" s="11"/>
      <c r="N699" s="11"/>
    </row>
    <row r="700" ht="15.75" customHeight="1">
      <c r="A700" s="35">
        <v>44475.0</v>
      </c>
      <c r="B700" s="11">
        <v>535.1</v>
      </c>
      <c r="C700" s="11">
        <v>0.0095</v>
      </c>
      <c r="D700" s="13">
        <v>0.0095</v>
      </c>
      <c r="E700" s="35">
        <v>44475.0</v>
      </c>
      <c r="F700" s="12">
        <v>15737.75</v>
      </c>
      <c r="G700" s="11">
        <v>0.006549262</v>
      </c>
      <c r="H700" s="13">
        <v>0.0065</v>
      </c>
      <c r="J700" s="15"/>
      <c r="K700" s="11"/>
      <c r="L700" s="11"/>
      <c r="M700" s="11"/>
      <c r="N700" s="11"/>
    </row>
    <row r="701" ht="15.75" customHeight="1">
      <c r="A701" s="35">
        <v>44445.0</v>
      </c>
      <c r="B701" s="11">
        <v>530.05</v>
      </c>
      <c r="C701" s="11">
        <v>-0.0124</v>
      </c>
      <c r="D701" s="13">
        <v>-0.0124</v>
      </c>
      <c r="E701" s="35">
        <v>44445.0</v>
      </c>
      <c r="F701" s="12">
        <v>15635.35</v>
      </c>
      <c r="G701" s="11">
        <v>-0.006654977</v>
      </c>
      <c r="H701" s="13">
        <v>-0.0067</v>
      </c>
      <c r="J701" s="15"/>
      <c r="K701" s="11"/>
      <c r="L701" s="11"/>
      <c r="M701" s="11"/>
      <c r="N701" s="11"/>
    </row>
    <row r="702" ht="15.75" customHeight="1">
      <c r="A702" s="35">
        <v>44414.0</v>
      </c>
      <c r="B702" s="11">
        <v>536.72</v>
      </c>
      <c r="C702" s="11">
        <v>0.0193</v>
      </c>
      <c r="D702" s="13">
        <v>0.0193</v>
      </c>
      <c r="E702" s="35">
        <v>44414.0</v>
      </c>
      <c r="F702" s="12">
        <v>15740.1</v>
      </c>
      <c r="G702" s="11">
        <v>-7.33257E-4</v>
      </c>
      <c r="H702" s="13">
        <v>-7.0E-4</v>
      </c>
      <c r="J702" s="15"/>
      <c r="K702" s="11"/>
      <c r="L702" s="11"/>
      <c r="M702" s="11"/>
      <c r="N702" s="11"/>
    </row>
    <row r="703" ht="15.75" customHeight="1">
      <c r="A703" s="35">
        <v>44383.0</v>
      </c>
      <c r="B703" s="11">
        <v>526.56</v>
      </c>
      <c r="C703" s="11">
        <v>0.007</v>
      </c>
      <c r="D703" s="13">
        <v>0.007</v>
      </c>
      <c r="E703" s="35">
        <v>44383.0</v>
      </c>
      <c r="F703" s="12">
        <v>15751.65</v>
      </c>
      <c r="G703" s="11">
        <v>0.005194557</v>
      </c>
      <c r="H703" s="13">
        <v>0.0052</v>
      </c>
      <c r="J703" s="15"/>
      <c r="K703" s="11"/>
      <c r="L703" s="11"/>
      <c r="M703" s="11"/>
      <c r="N703" s="11"/>
    </row>
    <row r="704" ht="15.75" customHeight="1">
      <c r="A704" s="35">
        <v>44292.0</v>
      </c>
      <c r="B704" s="11">
        <v>522.88</v>
      </c>
      <c r="C704" s="11">
        <v>0.0012</v>
      </c>
      <c r="D704" s="13">
        <v>0.0012</v>
      </c>
      <c r="E704" s="35">
        <v>44292.0</v>
      </c>
      <c r="F704" s="12">
        <v>15670.25</v>
      </c>
      <c r="G704" s="11">
        <v>-0.001281042</v>
      </c>
      <c r="H704" s="13">
        <v>-0.0013</v>
      </c>
      <c r="J704" s="15"/>
      <c r="K704" s="11"/>
      <c r="L704" s="11"/>
      <c r="M704" s="11"/>
      <c r="N704" s="11"/>
    </row>
    <row r="705" ht="15.75" customHeight="1">
      <c r="A705" s="35">
        <v>44261.0</v>
      </c>
      <c r="B705" s="11">
        <v>522.24</v>
      </c>
      <c r="C705" s="11">
        <v>0.0048</v>
      </c>
      <c r="D705" s="13">
        <v>0.0048</v>
      </c>
      <c r="E705" s="35">
        <v>44261.0</v>
      </c>
      <c r="F705" s="12">
        <v>15690.35</v>
      </c>
      <c r="G705" s="11">
        <v>0.007328488</v>
      </c>
      <c r="H705" s="13">
        <v>0.0073</v>
      </c>
      <c r="J705" s="15"/>
      <c r="K705" s="11"/>
      <c r="L705" s="11"/>
      <c r="M705" s="11"/>
      <c r="N705" s="11"/>
    </row>
    <row r="706" ht="15.75" customHeight="1">
      <c r="A706" s="35">
        <v>44233.0</v>
      </c>
      <c r="B706" s="11">
        <v>519.74</v>
      </c>
      <c r="C706" s="11">
        <v>-0.0064</v>
      </c>
      <c r="D706" s="13">
        <v>-0.0064</v>
      </c>
      <c r="E706" s="35">
        <v>44233.0</v>
      </c>
      <c r="F706" s="12">
        <v>15576.2</v>
      </c>
      <c r="G706" s="45">
        <v>8.66782E-5</v>
      </c>
      <c r="H706" s="13">
        <v>1.0E-4</v>
      </c>
      <c r="J706" s="15"/>
      <c r="K706" s="11"/>
      <c r="L706" s="11"/>
      <c r="M706" s="11"/>
      <c r="N706" s="11"/>
    </row>
    <row r="707" ht="15.75" customHeight="1">
      <c r="A707" s="35">
        <v>44202.0</v>
      </c>
      <c r="B707" s="11">
        <v>523.08</v>
      </c>
      <c r="C707" s="11">
        <v>-0.0037</v>
      </c>
      <c r="D707" s="13">
        <v>-0.0037</v>
      </c>
      <c r="E707" s="35">
        <v>44202.0</v>
      </c>
      <c r="F707" s="12">
        <v>15574.85</v>
      </c>
      <c r="G707" s="11">
        <v>-5.10178E-4</v>
      </c>
      <c r="H707" s="13">
        <v>-5.0E-4</v>
      </c>
      <c r="J707" s="15"/>
      <c r="K707" s="11"/>
      <c r="L707" s="11"/>
      <c r="M707" s="11"/>
      <c r="N707" s="11"/>
    </row>
    <row r="708" ht="15.75" customHeight="1">
      <c r="A708" s="11" t="s">
        <v>533</v>
      </c>
      <c r="B708" s="11">
        <v>525.04</v>
      </c>
      <c r="C708" s="11">
        <v>0.0216</v>
      </c>
      <c r="D708" s="13">
        <v>0.0216</v>
      </c>
      <c r="E708" s="11" t="s">
        <v>533</v>
      </c>
      <c r="F708" s="12">
        <v>15582.8</v>
      </c>
      <c r="G708" s="11">
        <v>0.009533126</v>
      </c>
      <c r="H708" s="13">
        <v>0.0095</v>
      </c>
      <c r="J708" s="15"/>
      <c r="K708" s="11"/>
      <c r="L708" s="11"/>
      <c r="M708" s="11"/>
      <c r="N708" s="11"/>
    </row>
    <row r="709" ht="15.75" customHeight="1">
      <c r="A709" s="11" t="s">
        <v>534</v>
      </c>
      <c r="B709" s="11">
        <v>513.95</v>
      </c>
      <c r="C709" s="11">
        <v>0.0073</v>
      </c>
      <c r="D709" s="13">
        <v>0.0073</v>
      </c>
      <c r="E709" s="11" t="s">
        <v>534</v>
      </c>
      <c r="F709" s="12">
        <v>15435.65</v>
      </c>
      <c r="G709" s="11">
        <v>0.006376383</v>
      </c>
      <c r="H709" s="13">
        <v>0.0064</v>
      </c>
      <c r="J709" s="15"/>
      <c r="K709" s="11"/>
      <c r="L709" s="11"/>
      <c r="M709" s="11"/>
      <c r="N709" s="11"/>
    </row>
    <row r="710" ht="15.75" customHeight="1">
      <c r="A710" s="11" t="s">
        <v>535</v>
      </c>
      <c r="B710" s="11">
        <v>510.22</v>
      </c>
      <c r="C710" s="11">
        <v>-0.0113</v>
      </c>
      <c r="D710" s="13">
        <v>-0.0113</v>
      </c>
      <c r="E710" s="11" t="s">
        <v>535</v>
      </c>
      <c r="F710" s="12">
        <v>15337.85</v>
      </c>
      <c r="G710" s="11">
        <v>0.00237886</v>
      </c>
      <c r="H710" s="13">
        <v>0.0024</v>
      </c>
      <c r="J710" s="15"/>
      <c r="K710" s="11"/>
      <c r="L710" s="11"/>
      <c r="M710" s="11"/>
      <c r="N710" s="11"/>
    </row>
    <row r="711" ht="15.75" customHeight="1">
      <c r="A711" s="11" t="s">
        <v>536</v>
      </c>
      <c r="B711" s="11">
        <v>516.06</v>
      </c>
      <c r="C711" s="11">
        <v>-7.0E-4</v>
      </c>
      <c r="D711" s="13">
        <v>-7.0E-4</v>
      </c>
      <c r="E711" s="11" t="s">
        <v>536</v>
      </c>
      <c r="F711" s="12">
        <v>15301.45</v>
      </c>
      <c r="G711" s="11">
        <v>0.006115022</v>
      </c>
      <c r="H711" s="13">
        <v>0.0061</v>
      </c>
      <c r="J711" s="15"/>
      <c r="K711" s="11"/>
      <c r="L711" s="11"/>
      <c r="M711" s="11"/>
      <c r="N711" s="11"/>
    </row>
    <row r="712" ht="15.75" customHeight="1">
      <c r="A712" s="11" t="s">
        <v>537</v>
      </c>
      <c r="B712" s="11">
        <v>516.41</v>
      </c>
      <c r="C712" s="11">
        <v>-0.0013</v>
      </c>
      <c r="D712" s="13">
        <v>-0.0013</v>
      </c>
      <c r="E712" s="11" t="s">
        <v>537</v>
      </c>
      <c r="F712" s="12">
        <v>15208.45</v>
      </c>
      <c r="G712" s="11">
        <v>7.07344E-4</v>
      </c>
      <c r="H712" s="13">
        <v>7.0E-4</v>
      </c>
      <c r="J712" s="15"/>
      <c r="K712" s="11"/>
      <c r="L712" s="11"/>
      <c r="M712" s="11"/>
      <c r="N712" s="11"/>
    </row>
    <row r="713" ht="15.75" customHeight="1">
      <c r="A713" s="11" t="s">
        <v>538</v>
      </c>
      <c r="B713" s="11">
        <v>517.09</v>
      </c>
      <c r="C713" s="11">
        <v>-0.0078</v>
      </c>
      <c r="D713" s="13">
        <v>-0.0078</v>
      </c>
      <c r="E713" s="11" t="s">
        <v>538</v>
      </c>
      <c r="F713" s="12">
        <v>15197.7</v>
      </c>
      <c r="G713" s="11">
        <v>0.001476083</v>
      </c>
      <c r="H713" s="13">
        <v>0.0015</v>
      </c>
      <c r="J713" s="15"/>
      <c r="K713" s="11"/>
      <c r="L713" s="11"/>
      <c r="M713" s="11"/>
      <c r="N713" s="11"/>
    </row>
    <row r="714" ht="15.75" customHeight="1">
      <c r="A714" s="11" t="s">
        <v>539</v>
      </c>
      <c r="B714" s="11">
        <v>521.16</v>
      </c>
      <c r="C714" s="11">
        <v>0.0198</v>
      </c>
      <c r="D714" s="13">
        <v>0.0198</v>
      </c>
      <c r="E714" s="11" t="s">
        <v>539</v>
      </c>
      <c r="F714" s="12">
        <v>15175.3</v>
      </c>
      <c r="G714" s="11">
        <v>0.018063135</v>
      </c>
      <c r="H714" s="13">
        <v>0.0181</v>
      </c>
      <c r="J714" s="15"/>
      <c r="K714" s="11"/>
      <c r="L714" s="11"/>
      <c r="M714" s="11"/>
      <c r="N714" s="11"/>
    </row>
    <row r="715" ht="15.75" customHeight="1">
      <c r="A715" s="11" t="s">
        <v>540</v>
      </c>
      <c r="B715" s="11">
        <v>511.05</v>
      </c>
      <c r="C715" s="11">
        <v>-0.0143</v>
      </c>
      <c r="D715" s="13">
        <v>-0.0143</v>
      </c>
      <c r="E715" s="11" t="s">
        <v>540</v>
      </c>
      <c r="F715" s="12">
        <v>14906.05</v>
      </c>
      <c r="G715" s="11">
        <v>-0.008256737</v>
      </c>
      <c r="H715" s="13">
        <v>-0.0083</v>
      </c>
      <c r="J715" s="15"/>
      <c r="K715" s="11"/>
      <c r="L715" s="11"/>
      <c r="M715" s="11"/>
      <c r="N715" s="11"/>
    </row>
    <row r="716" ht="15.75" customHeight="1">
      <c r="A716" s="11" t="s">
        <v>541</v>
      </c>
      <c r="B716" s="11">
        <v>518.47</v>
      </c>
      <c r="C716" s="11">
        <v>-0.0152</v>
      </c>
      <c r="D716" s="13">
        <v>-0.0152</v>
      </c>
      <c r="E716" s="11" t="s">
        <v>541</v>
      </c>
      <c r="F716" s="12">
        <v>15030.15</v>
      </c>
      <c r="G716" s="11">
        <v>-0.005159484</v>
      </c>
      <c r="H716" s="13">
        <v>-0.0052</v>
      </c>
      <c r="J716" s="15"/>
      <c r="K716" s="11"/>
      <c r="L716" s="11"/>
      <c r="M716" s="11"/>
      <c r="N716" s="11"/>
    </row>
    <row r="717" ht="15.75" customHeight="1">
      <c r="A717" s="11" t="s">
        <v>542</v>
      </c>
      <c r="B717" s="11">
        <v>526.47</v>
      </c>
      <c r="C717" s="11">
        <v>-0.0242</v>
      </c>
      <c r="D717" s="13">
        <v>-0.0242</v>
      </c>
      <c r="E717" s="11" t="s">
        <v>542</v>
      </c>
      <c r="F717" s="12">
        <v>15108.1</v>
      </c>
      <c r="G717" s="11">
        <v>0.012393496</v>
      </c>
      <c r="H717" s="13">
        <v>0.0124</v>
      </c>
      <c r="J717" s="15"/>
      <c r="K717" s="11"/>
      <c r="L717" s="11"/>
      <c r="M717" s="11"/>
      <c r="N717" s="11"/>
    </row>
    <row r="718" ht="15.75" customHeight="1">
      <c r="A718" s="11" t="s">
        <v>543</v>
      </c>
      <c r="B718" s="11">
        <v>539.52</v>
      </c>
      <c r="C718" s="11">
        <v>-0.0192</v>
      </c>
      <c r="D718" s="13">
        <v>-0.0192</v>
      </c>
      <c r="E718" s="11" t="s">
        <v>543</v>
      </c>
      <c r="F718" s="12">
        <v>14923.15</v>
      </c>
      <c r="G718" s="11">
        <v>0.01671572</v>
      </c>
      <c r="H718" s="13">
        <v>0.0167</v>
      </c>
      <c r="J718" s="15"/>
      <c r="K718" s="11"/>
      <c r="L718" s="11"/>
      <c r="M718" s="11"/>
      <c r="N718" s="11"/>
    </row>
    <row r="719" ht="15.75" customHeight="1">
      <c r="A719" s="11" t="s">
        <v>544</v>
      </c>
      <c r="B719" s="11">
        <v>550.07</v>
      </c>
      <c r="C719" s="11">
        <v>-0.0024</v>
      </c>
      <c r="D719" s="13">
        <v>-0.0024</v>
      </c>
      <c r="E719" s="11" t="s">
        <v>544</v>
      </c>
      <c r="F719" s="12">
        <v>14677.8</v>
      </c>
      <c r="G719" s="11">
        <v>-0.001272412</v>
      </c>
      <c r="H719" s="13">
        <v>-0.0013</v>
      </c>
      <c r="J719" s="15"/>
      <c r="K719" s="11"/>
      <c r="L719" s="11"/>
      <c r="M719" s="11"/>
      <c r="N719" s="11"/>
    </row>
    <row r="720" ht="15.75" customHeight="1">
      <c r="A720" s="35">
        <v>44535.0</v>
      </c>
      <c r="B720" s="11">
        <v>551.4</v>
      </c>
      <c r="C720" s="11">
        <v>-0.0117</v>
      </c>
      <c r="D720" s="13">
        <v>-0.0117</v>
      </c>
      <c r="E720" s="35">
        <v>44535.0</v>
      </c>
      <c r="F720" s="12">
        <v>14696.5</v>
      </c>
      <c r="G720" s="11">
        <v>-0.010386681</v>
      </c>
      <c r="H720" s="13">
        <v>-0.0104</v>
      </c>
      <c r="J720" s="15"/>
      <c r="K720" s="11"/>
      <c r="L720" s="11"/>
      <c r="M720" s="11"/>
      <c r="N720" s="11"/>
    </row>
    <row r="721" ht="15.75" customHeight="1">
      <c r="A721" s="35">
        <v>44505.0</v>
      </c>
      <c r="B721" s="11">
        <v>557.92</v>
      </c>
      <c r="C721" s="11">
        <v>-0.0073</v>
      </c>
      <c r="D721" s="13">
        <v>-0.0072</v>
      </c>
      <c r="E721" s="35">
        <v>44505.0</v>
      </c>
      <c r="F721" s="12">
        <v>14850.75</v>
      </c>
      <c r="G721" s="11">
        <v>-0.006130227</v>
      </c>
      <c r="H721" s="13">
        <v>-0.0061</v>
      </c>
      <c r="J721" s="15"/>
      <c r="K721" s="11"/>
      <c r="L721" s="11"/>
      <c r="M721" s="11"/>
      <c r="N721" s="11"/>
    </row>
    <row r="722" ht="15.75" customHeight="1">
      <c r="A722" s="35">
        <v>44474.0</v>
      </c>
      <c r="B722" s="11">
        <v>562.0</v>
      </c>
      <c r="C722" s="11">
        <v>0.0071</v>
      </c>
      <c r="D722" s="13">
        <v>0.0071</v>
      </c>
      <c r="E722" s="35">
        <v>44474.0</v>
      </c>
      <c r="F722" s="12">
        <v>14942.35</v>
      </c>
      <c r="G722" s="11">
        <v>0.008041476</v>
      </c>
      <c r="H722" s="13">
        <v>0.008</v>
      </c>
      <c r="J722" s="15"/>
      <c r="K722" s="11"/>
      <c r="L722" s="11"/>
      <c r="M722" s="11"/>
      <c r="N722" s="11"/>
    </row>
    <row r="723" ht="15.75" customHeight="1">
      <c r="A723" s="35">
        <v>44382.0</v>
      </c>
      <c r="B723" s="11">
        <v>558.02</v>
      </c>
      <c r="C723" s="11">
        <v>0.0174</v>
      </c>
      <c r="D723" s="13">
        <v>0.0174</v>
      </c>
      <c r="E723" s="35">
        <v>44382.0</v>
      </c>
      <c r="F723" s="12">
        <v>14823.15</v>
      </c>
      <c r="G723" s="11">
        <v>0.006679208</v>
      </c>
      <c r="H723" s="13">
        <v>0.0067</v>
      </c>
      <c r="J723" s="15"/>
      <c r="K723" s="11"/>
      <c r="L723" s="11"/>
      <c r="M723" s="11"/>
      <c r="N723" s="11"/>
    </row>
    <row r="724" ht="15.75" customHeight="1">
      <c r="A724" s="35">
        <v>44352.0</v>
      </c>
      <c r="B724" s="11">
        <v>548.45</v>
      </c>
      <c r="C724" s="11">
        <v>-0.0021</v>
      </c>
      <c r="D724" s="13">
        <v>-0.0021</v>
      </c>
      <c r="E724" s="35">
        <v>44352.0</v>
      </c>
      <c r="F724" s="12">
        <v>14724.8</v>
      </c>
      <c r="G724" s="11">
        <v>0.007316397</v>
      </c>
      <c r="H724" s="13">
        <v>0.0073</v>
      </c>
      <c r="J724" s="15"/>
      <c r="K724" s="11"/>
      <c r="L724" s="11"/>
      <c r="M724" s="11"/>
      <c r="N724" s="11"/>
    </row>
    <row r="725" ht="15.75" customHeight="1">
      <c r="A725" s="35">
        <v>44321.0</v>
      </c>
      <c r="B725" s="11">
        <v>549.63</v>
      </c>
      <c r="C725" s="11">
        <v>0.0136</v>
      </c>
      <c r="D725" s="13">
        <v>0.0136</v>
      </c>
      <c r="E725" s="35">
        <v>44321.0</v>
      </c>
      <c r="F725" s="12">
        <v>14617.85</v>
      </c>
      <c r="G725" s="11">
        <v>0.008370986</v>
      </c>
      <c r="H725" s="13">
        <v>0.0084</v>
      </c>
      <c r="J725" s="15"/>
      <c r="K725" s="11"/>
      <c r="L725" s="11"/>
      <c r="M725" s="11"/>
      <c r="N725" s="11"/>
    </row>
    <row r="726" ht="15.75" customHeight="1">
      <c r="A726" s="35">
        <v>44291.0</v>
      </c>
      <c r="B726" s="11">
        <v>542.27</v>
      </c>
      <c r="C726" s="11">
        <v>-0.0114</v>
      </c>
      <c r="D726" s="13">
        <v>-0.0115</v>
      </c>
      <c r="E726" s="35">
        <v>44291.0</v>
      </c>
      <c r="F726" s="12">
        <v>14496.5</v>
      </c>
      <c r="G726" s="11">
        <v>-0.009406081</v>
      </c>
      <c r="H726" s="13">
        <v>-0.0094</v>
      </c>
      <c r="J726" s="15"/>
      <c r="K726" s="11"/>
      <c r="L726" s="11"/>
      <c r="M726" s="11"/>
      <c r="N726" s="11"/>
    </row>
    <row r="727" ht="15.75" customHeight="1">
      <c r="A727" s="35">
        <v>44260.0</v>
      </c>
      <c r="B727" s="11">
        <v>548.55</v>
      </c>
      <c r="C727" s="11">
        <v>0.0412</v>
      </c>
      <c r="D727" s="13">
        <v>0.0412</v>
      </c>
      <c r="E727" s="35">
        <v>44260.0</v>
      </c>
      <c r="F727" s="12">
        <v>14634.15</v>
      </c>
      <c r="G727" s="11">
        <v>2.0846E-4</v>
      </c>
      <c r="H727" s="13">
        <v>2.0E-4</v>
      </c>
      <c r="J727" s="15"/>
      <c r="K727" s="11"/>
      <c r="L727" s="11"/>
      <c r="M727" s="11"/>
      <c r="N727" s="11"/>
    </row>
    <row r="728" ht="15.75" customHeight="1">
      <c r="A728" s="11" t="s">
        <v>545</v>
      </c>
      <c r="B728" s="11">
        <v>526.86</v>
      </c>
      <c r="C728" s="11">
        <v>-0.0076</v>
      </c>
      <c r="D728" s="13">
        <v>-0.0076</v>
      </c>
      <c r="E728" s="11" t="s">
        <v>545</v>
      </c>
      <c r="F728" s="12">
        <v>14631.1</v>
      </c>
      <c r="G728" s="11">
        <v>-0.01771076</v>
      </c>
      <c r="H728" s="13">
        <v>-0.0177</v>
      </c>
      <c r="J728" s="15"/>
      <c r="K728" s="11"/>
      <c r="L728" s="11"/>
      <c r="M728" s="11"/>
      <c r="N728" s="11"/>
    </row>
    <row r="729" ht="15.75" customHeight="1">
      <c r="A729" s="11" t="s">
        <v>546</v>
      </c>
      <c r="B729" s="11">
        <v>530.88</v>
      </c>
      <c r="C729" s="11">
        <v>-0.0063</v>
      </c>
      <c r="D729" s="13">
        <v>-0.0063</v>
      </c>
      <c r="E729" s="11" t="s">
        <v>546</v>
      </c>
      <c r="F729" s="12">
        <v>14894.9</v>
      </c>
      <c r="G729" s="11">
        <v>0.002041771</v>
      </c>
      <c r="H729" s="13">
        <v>0.002</v>
      </c>
      <c r="J729" s="15"/>
      <c r="K729" s="11"/>
      <c r="L729" s="11"/>
      <c r="M729" s="11"/>
      <c r="N729" s="11"/>
    </row>
    <row r="730" ht="15.75" customHeight="1">
      <c r="A730" s="11" t="s">
        <v>547</v>
      </c>
      <c r="B730" s="11">
        <v>534.27</v>
      </c>
      <c r="C730" s="11">
        <v>0.0187</v>
      </c>
      <c r="D730" s="13">
        <v>0.0187</v>
      </c>
      <c r="E730" s="11" t="s">
        <v>547</v>
      </c>
      <c r="F730" s="12">
        <v>14864.55</v>
      </c>
      <c r="G730" s="11">
        <v>0.014433855</v>
      </c>
      <c r="H730" s="13">
        <v>0.0144</v>
      </c>
      <c r="J730" s="15"/>
      <c r="K730" s="11"/>
      <c r="L730" s="11"/>
      <c r="M730" s="11"/>
      <c r="N730" s="11"/>
    </row>
    <row r="731" ht="15.75" customHeight="1">
      <c r="A731" s="11" t="s">
        <v>548</v>
      </c>
      <c r="B731" s="11">
        <v>524.45</v>
      </c>
      <c r="C731" s="11">
        <v>0.0128</v>
      </c>
      <c r="D731" s="13">
        <v>0.0128</v>
      </c>
      <c r="E731" s="11" t="s">
        <v>548</v>
      </c>
      <c r="F731" s="12">
        <v>14653.05</v>
      </c>
      <c r="G731" s="11">
        <v>0.011601657</v>
      </c>
      <c r="H731" s="13">
        <v>0.0116</v>
      </c>
      <c r="J731" s="15"/>
      <c r="K731" s="11"/>
      <c r="L731" s="11"/>
      <c r="M731" s="11"/>
      <c r="N731" s="11"/>
    </row>
    <row r="732" ht="15.75" customHeight="1">
      <c r="A732" s="11" t="s">
        <v>549</v>
      </c>
      <c r="B732" s="11">
        <v>517.83</v>
      </c>
      <c r="C732" s="11">
        <v>0.0095</v>
      </c>
      <c r="D732" s="13">
        <v>0.0095</v>
      </c>
      <c r="E732" s="11" t="s">
        <v>549</v>
      </c>
      <c r="F732" s="12">
        <v>14485.0</v>
      </c>
      <c r="G732" s="11">
        <v>0.010016491</v>
      </c>
      <c r="H732" s="13">
        <v>0.01</v>
      </c>
      <c r="J732" s="15"/>
      <c r="K732" s="11"/>
      <c r="L732" s="11"/>
      <c r="M732" s="11"/>
      <c r="N732" s="11"/>
    </row>
    <row r="733" ht="15.75" customHeight="1">
      <c r="A733" s="11" t="s">
        <v>550</v>
      </c>
      <c r="B733" s="11">
        <v>512.97</v>
      </c>
      <c r="C733" s="11">
        <v>-0.0155</v>
      </c>
      <c r="D733" s="13">
        <v>-0.0155</v>
      </c>
      <c r="E733" s="11" t="s">
        <v>550</v>
      </c>
      <c r="F733" s="12">
        <v>14341.35</v>
      </c>
      <c r="G733" s="11">
        <v>-0.004498079</v>
      </c>
      <c r="H733" s="13">
        <v>-0.0045</v>
      </c>
      <c r="J733" s="15"/>
      <c r="K733" s="11"/>
      <c r="L733" s="11"/>
      <c r="M733" s="11"/>
      <c r="N733" s="11"/>
    </row>
    <row r="734" ht="15.75" customHeight="1">
      <c r="A734" s="11" t="s">
        <v>551</v>
      </c>
      <c r="B734" s="11">
        <v>521.07</v>
      </c>
      <c r="C734" s="11">
        <v>0.0012</v>
      </c>
      <c r="D734" s="13">
        <v>0.0012</v>
      </c>
      <c r="E734" s="11" t="s">
        <v>551</v>
      </c>
      <c r="F734" s="12">
        <v>14406.15</v>
      </c>
      <c r="G734" s="11">
        <v>0.007676758</v>
      </c>
      <c r="H734" s="13">
        <v>0.0077</v>
      </c>
      <c r="J734" s="15"/>
      <c r="K734" s="11"/>
      <c r="L734" s="11"/>
      <c r="M734" s="11"/>
      <c r="N734" s="11"/>
    </row>
    <row r="735" ht="15.75" customHeight="1">
      <c r="A735" s="11" t="s">
        <v>552</v>
      </c>
      <c r="B735" s="11">
        <v>520.43</v>
      </c>
      <c r="C735" s="11">
        <v>0.0071</v>
      </c>
      <c r="D735" s="13">
        <v>0.0071</v>
      </c>
      <c r="E735" s="11" t="s">
        <v>552</v>
      </c>
      <c r="F735" s="12">
        <v>14296.4</v>
      </c>
      <c r="G735" s="11">
        <v>-0.004390837</v>
      </c>
      <c r="H735" s="13">
        <v>-0.0044</v>
      </c>
      <c r="J735" s="15"/>
      <c r="K735" s="11"/>
      <c r="L735" s="11"/>
      <c r="M735" s="11"/>
      <c r="N735" s="11"/>
    </row>
    <row r="736" ht="15.75" customHeight="1">
      <c r="A736" s="11" t="s">
        <v>553</v>
      </c>
      <c r="B736" s="11">
        <v>516.75</v>
      </c>
      <c r="C736" s="11">
        <v>-0.0264</v>
      </c>
      <c r="D736" s="13">
        <v>-0.0264</v>
      </c>
      <c r="E736" s="11" t="s">
        <v>553</v>
      </c>
      <c r="F736" s="12">
        <v>14359.45</v>
      </c>
      <c r="G736" s="11">
        <v>-0.017677018</v>
      </c>
      <c r="H736" s="13">
        <v>-0.0177</v>
      </c>
      <c r="J736" s="15"/>
      <c r="K736" s="11"/>
      <c r="L736" s="11"/>
      <c r="M736" s="11"/>
      <c r="N736" s="11"/>
    </row>
    <row r="737" ht="15.75" customHeight="1">
      <c r="A737" s="11" t="s">
        <v>554</v>
      </c>
      <c r="B737" s="11">
        <v>530.78</v>
      </c>
      <c r="C737" s="11">
        <v>0.0026</v>
      </c>
      <c r="D737" s="13">
        <v>0.0026</v>
      </c>
      <c r="E737" s="11" t="s">
        <v>554</v>
      </c>
      <c r="F737" s="12">
        <v>14617.85</v>
      </c>
      <c r="G737" s="11">
        <v>0.002496322</v>
      </c>
      <c r="H737" s="13">
        <v>0.0025</v>
      </c>
      <c r="J737" s="15"/>
      <c r="K737" s="11"/>
      <c r="L737" s="11"/>
      <c r="M737" s="11"/>
      <c r="N737" s="11"/>
    </row>
    <row r="738" ht="15.75" customHeight="1">
      <c r="A738" s="11" t="s">
        <v>555</v>
      </c>
      <c r="B738" s="11">
        <v>529.41</v>
      </c>
      <c r="C738" s="11">
        <v>0.006</v>
      </c>
      <c r="D738" s="13">
        <v>0.006</v>
      </c>
      <c r="E738" s="11" t="s">
        <v>555</v>
      </c>
      <c r="F738" s="12">
        <v>14581.45</v>
      </c>
      <c r="G738" s="11">
        <v>0.005284458</v>
      </c>
      <c r="H738" s="13">
        <v>0.0053</v>
      </c>
      <c r="J738" s="15"/>
      <c r="K738" s="11"/>
      <c r="L738" s="11"/>
      <c r="M738" s="11"/>
      <c r="N738" s="11"/>
    </row>
    <row r="739" ht="15.75" customHeight="1">
      <c r="A739" s="11" t="s">
        <v>556</v>
      </c>
      <c r="B739" s="11">
        <v>526.27</v>
      </c>
      <c r="C739" s="11">
        <v>0.0262</v>
      </c>
      <c r="D739" s="13">
        <v>0.0262</v>
      </c>
      <c r="E739" s="11" t="s">
        <v>556</v>
      </c>
      <c r="F739" s="12">
        <v>14504.8</v>
      </c>
      <c r="G739" s="11">
        <v>0.013556195</v>
      </c>
      <c r="H739" s="13">
        <v>0.0136</v>
      </c>
      <c r="J739" s="15"/>
      <c r="K739" s="11"/>
      <c r="L739" s="11"/>
      <c r="M739" s="11"/>
      <c r="N739" s="11"/>
    </row>
    <row r="740" ht="15.75" customHeight="1">
      <c r="A740" s="35">
        <v>44534.0</v>
      </c>
      <c r="B740" s="11">
        <v>512.82</v>
      </c>
      <c r="C740" s="11">
        <v>-0.0418</v>
      </c>
      <c r="D740" s="13">
        <v>-0.0418</v>
      </c>
      <c r="E740" s="35">
        <v>44534.0</v>
      </c>
      <c r="F740" s="12">
        <v>14310.8</v>
      </c>
      <c r="G740" s="11">
        <v>-0.035325602</v>
      </c>
      <c r="H740" s="13">
        <v>-0.0353</v>
      </c>
      <c r="J740" s="15"/>
      <c r="K740" s="11"/>
      <c r="L740" s="11"/>
      <c r="M740" s="11"/>
      <c r="N740" s="11"/>
    </row>
    <row r="741" ht="15.75" customHeight="1">
      <c r="A741" s="35">
        <v>44443.0</v>
      </c>
      <c r="B741" s="11">
        <v>535.2</v>
      </c>
      <c r="C741" s="11">
        <v>0.0041</v>
      </c>
      <c r="D741" s="13">
        <v>0.0041</v>
      </c>
      <c r="E741" s="35">
        <v>44443.0</v>
      </c>
      <c r="F741" s="12">
        <v>14834.85</v>
      </c>
      <c r="G741" s="11">
        <v>-0.002618699</v>
      </c>
      <c r="H741" s="13">
        <v>-0.0026</v>
      </c>
      <c r="J741" s="15"/>
      <c r="K741" s="11"/>
      <c r="L741" s="11"/>
      <c r="M741" s="11"/>
      <c r="N741" s="11"/>
    </row>
    <row r="742" ht="15.75" customHeight="1">
      <c r="A742" s="35">
        <v>44412.0</v>
      </c>
      <c r="B742" s="11">
        <v>532.99</v>
      </c>
      <c r="C742" s="11">
        <v>0.0026</v>
      </c>
      <c r="D742" s="13">
        <v>0.0026</v>
      </c>
      <c r="E742" s="35">
        <v>44412.0</v>
      </c>
      <c r="F742" s="12">
        <v>14873.8</v>
      </c>
      <c r="G742" s="11">
        <v>0.003694569</v>
      </c>
      <c r="H742" s="13">
        <v>0.0037</v>
      </c>
      <c r="J742" s="15"/>
      <c r="K742" s="11"/>
      <c r="L742" s="11"/>
      <c r="M742" s="11"/>
      <c r="N742" s="11"/>
    </row>
    <row r="743" ht="15.75" customHeight="1">
      <c r="A743" s="35">
        <v>44381.0</v>
      </c>
      <c r="B743" s="11">
        <v>531.62</v>
      </c>
      <c r="C743" s="11">
        <v>0.0177</v>
      </c>
      <c r="D743" s="13">
        <v>0.0177</v>
      </c>
      <c r="E743" s="35">
        <v>44381.0</v>
      </c>
      <c r="F743" s="12">
        <v>14819.05</v>
      </c>
      <c r="G743" s="11">
        <v>0.00923145</v>
      </c>
      <c r="H743" s="13">
        <v>0.0092</v>
      </c>
      <c r="J743" s="15"/>
      <c r="K743" s="11"/>
      <c r="L743" s="11"/>
      <c r="M743" s="11"/>
      <c r="N743" s="11"/>
    </row>
    <row r="744" ht="15.75" customHeight="1">
      <c r="A744" s="35">
        <v>44351.0</v>
      </c>
      <c r="B744" s="11">
        <v>522.39</v>
      </c>
      <c r="C744" s="11">
        <v>0.0075</v>
      </c>
      <c r="D744" s="13">
        <v>0.0075</v>
      </c>
      <c r="E744" s="35">
        <v>44351.0</v>
      </c>
      <c r="F744" s="12">
        <v>14683.5</v>
      </c>
      <c r="G744" s="11">
        <v>0.003122054</v>
      </c>
      <c r="H744" s="13">
        <v>0.0031</v>
      </c>
      <c r="J744" s="15"/>
      <c r="K744" s="11"/>
      <c r="L744" s="11"/>
      <c r="M744" s="11"/>
      <c r="N744" s="11"/>
    </row>
    <row r="745" ht="15.75" customHeight="1">
      <c r="A745" s="35">
        <v>44320.0</v>
      </c>
      <c r="B745" s="11">
        <v>518.52</v>
      </c>
      <c r="C745" s="11">
        <v>0.0143</v>
      </c>
      <c r="D745" s="13">
        <v>0.0143</v>
      </c>
      <c r="E745" s="35">
        <v>44320.0</v>
      </c>
      <c r="F745" s="12">
        <v>14637.8</v>
      </c>
      <c r="G745" s="11">
        <v>-0.015439873</v>
      </c>
      <c r="H745" s="13">
        <v>-0.0154</v>
      </c>
      <c r="J745" s="15"/>
      <c r="K745" s="11"/>
      <c r="L745" s="11"/>
      <c r="M745" s="11"/>
      <c r="N745" s="11"/>
    </row>
    <row r="746" ht="15.75" customHeight="1">
      <c r="A746" s="35">
        <v>44200.0</v>
      </c>
      <c r="B746" s="11">
        <v>511.2</v>
      </c>
      <c r="C746" s="11">
        <f>0.068</f>
        <v>0.068</v>
      </c>
      <c r="D746" s="13">
        <v>0.0068</v>
      </c>
      <c r="E746" s="35">
        <v>44200.0</v>
      </c>
      <c r="F746" s="12">
        <v>14867.35</v>
      </c>
      <c r="G746" s="11">
        <f>0.012</f>
        <v>0.012</v>
      </c>
      <c r="H746" s="13">
        <v>0.012</v>
      </c>
      <c r="J746" s="15"/>
      <c r="K746" s="11"/>
      <c r="L746" s="11"/>
      <c r="M746" s="11"/>
      <c r="N746" s="11"/>
    </row>
    <row r="747" ht="15.75" customHeight="1">
      <c r="A747" s="11"/>
      <c r="B747" s="11"/>
      <c r="J747" s="15"/>
      <c r="K747" s="11"/>
      <c r="L747" s="11"/>
      <c r="M747" s="11"/>
      <c r="N747" s="11"/>
    </row>
    <row r="748" ht="15.75" customHeight="1">
      <c r="A748" s="11"/>
      <c r="B748" s="11"/>
      <c r="J748" s="15"/>
      <c r="K748" s="11"/>
      <c r="L748" s="11"/>
      <c r="M748" s="11"/>
      <c r="N748" s="11"/>
    </row>
    <row r="749" ht="15.75" customHeight="1">
      <c r="A749" s="11"/>
      <c r="B749" s="11"/>
      <c r="J749" s="15"/>
      <c r="K749" s="11"/>
      <c r="L749" s="11"/>
      <c r="M749" s="11"/>
      <c r="N749" s="11"/>
    </row>
    <row r="750" ht="15.75" customHeight="1">
      <c r="A750" s="11"/>
      <c r="B750" s="11"/>
      <c r="J750" s="15"/>
      <c r="K750" s="11"/>
      <c r="L750" s="11"/>
      <c r="M750" s="11"/>
      <c r="N750" s="11"/>
    </row>
    <row r="751" ht="15.75" customHeight="1">
      <c r="A751" s="11"/>
      <c r="B751" s="11"/>
      <c r="J751" s="15"/>
      <c r="K751" s="11"/>
      <c r="L751" s="11"/>
      <c r="M751" s="11"/>
      <c r="N751" s="11"/>
    </row>
    <row r="752" ht="15.75" customHeight="1">
      <c r="A752" s="11"/>
      <c r="B752" s="11"/>
      <c r="J752" s="15"/>
      <c r="K752" s="11"/>
      <c r="L752" s="11"/>
      <c r="M752" s="11"/>
      <c r="N752" s="11"/>
    </row>
    <row r="753" ht="15.75" customHeight="1">
      <c r="A753" s="11"/>
      <c r="B753" s="11"/>
      <c r="J753" s="15"/>
      <c r="K753" s="11"/>
      <c r="L753" s="11"/>
      <c r="M753" s="11"/>
      <c r="N753" s="11"/>
    </row>
    <row r="754" ht="15.75" customHeight="1">
      <c r="A754" s="11"/>
      <c r="B754" s="11"/>
      <c r="J754" s="15"/>
      <c r="K754" s="11"/>
      <c r="L754" s="11"/>
      <c r="M754" s="11"/>
      <c r="N754" s="11"/>
    </row>
    <row r="755" ht="15.75" customHeight="1">
      <c r="A755" s="11"/>
      <c r="B755" s="11"/>
      <c r="J755" s="15"/>
      <c r="K755" s="11"/>
      <c r="L755" s="11"/>
      <c r="M755" s="11"/>
      <c r="N755" s="11"/>
    </row>
    <row r="756" ht="15.75" customHeight="1">
      <c r="A756" s="11"/>
      <c r="B756" s="11"/>
      <c r="J756" s="15"/>
      <c r="K756" s="11"/>
      <c r="L756" s="11"/>
      <c r="M756" s="11"/>
      <c r="N756" s="11"/>
    </row>
    <row r="757" ht="15.75" customHeight="1">
      <c r="A757" s="11"/>
      <c r="B757" s="11"/>
      <c r="J757" s="15"/>
      <c r="K757" s="11"/>
      <c r="L757" s="11"/>
      <c r="M757" s="11"/>
      <c r="N757" s="11"/>
    </row>
    <row r="758" ht="15.75" customHeight="1">
      <c r="A758" s="11"/>
      <c r="B758" s="11"/>
      <c r="J758" s="15"/>
      <c r="K758" s="11"/>
      <c r="L758" s="11"/>
      <c r="M758" s="11"/>
      <c r="N758" s="11"/>
    </row>
    <row r="759" ht="15.75" customHeight="1">
      <c r="A759" s="11"/>
      <c r="B759" s="11"/>
      <c r="J759" s="15"/>
      <c r="K759" s="11"/>
      <c r="L759" s="11"/>
      <c r="M759" s="11"/>
      <c r="N759" s="11"/>
    </row>
    <row r="760" ht="15.75" customHeight="1">
      <c r="A760" s="11"/>
      <c r="B760" s="11"/>
      <c r="J760" s="15"/>
      <c r="K760" s="11"/>
      <c r="L760" s="11"/>
      <c r="M760" s="11"/>
      <c r="N760" s="11"/>
    </row>
    <row r="761" ht="15.75" customHeight="1">
      <c r="A761" s="11"/>
      <c r="B761" s="11"/>
      <c r="J761" s="15"/>
      <c r="K761" s="11"/>
      <c r="L761" s="11"/>
      <c r="M761" s="11"/>
      <c r="N761" s="11"/>
    </row>
    <row r="762" ht="15.75" customHeight="1">
      <c r="A762" s="11"/>
      <c r="B762" s="11"/>
      <c r="J762" s="15"/>
      <c r="K762" s="11"/>
      <c r="L762" s="11"/>
      <c r="M762" s="11"/>
      <c r="N762" s="11"/>
    </row>
    <row r="763" ht="15.75" customHeight="1">
      <c r="A763" s="11"/>
      <c r="B763" s="11"/>
      <c r="J763" s="15"/>
      <c r="K763" s="11"/>
      <c r="L763" s="11"/>
      <c r="M763" s="11"/>
      <c r="N763" s="11"/>
    </row>
    <row r="764" ht="15.75" customHeight="1">
      <c r="A764" s="11"/>
      <c r="B764" s="11"/>
      <c r="J764" s="15"/>
      <c r="K764" s="11"/>
      <c r="L764" s="11"/>
      <c r="M764" s="11"/>
      <c r="N764" s="11"/>
    </row>
    <row r="765" ht="15.75" customHeight="1">
      <c r="A765" s="11"/>
      <c r="B765" s="11"/>
      <c r="J765" s="15"/>
      <c r="K765" s="11"/>
      <c r="L765" s="11"/>
      <c r="M765" s="11"/>
      <c r="N765" s="11"/>
    </row>
    <row r="766" ht="15.75" customHeight="1">
      <c r="A766" s="11"/>
      <c r="B766" s="11"/>
      <c r="J766" s="15"/>
      <c r="K766" s="11"/>
      <c r="L766" s="11"/>
      <c r="M766" s="11"/>
      <c r="N766" s="11"/>
    </row>
    <row r="767" ht="15.75" customHeight="1">
      <c r="A767" s="11"/>
      <c r="B767" s="11"/>
      <c r="J767" s="15"/>
      <c r="K767" s="11"/>
      <c r="L767" s="11"/>
      <c r="M767" s="11"/>
      <c r="N767" s="11"/>
    </row>
    <row r="768" ht="15.75" customHeight="1">
      <c r="A768" s="11"/>
      <c r="B768" s="11"/>
      <c r="J768" s="15"/>
      <c r="K768" s="11"/>
      <c r="L768" s="11"/>
      <c r="M768" s="11"/>
      <c r="N768" s="11"/>
    </row>
    <row r="769" ht="15.75" customHeight="1">
      <c r="A769" s="11"/>
      <c r="B769" s="11"/>
      <c r="J769" s="15"/>
      <c r="K769" s="11"/>
      <c r="L769" s="11"/>
      <c r="M769" s="11"/>
      <c r="N769" s="11"/>
    </row>
    <row r="770" ht="15.75" customHeight="1">
      <c r="A770" s="11"/>
      <c r="B770" s="11"/>
      <c r="J770" s="15"/>
      <c r="K770" s="11"/>
      <c r="L770" s="11"/>
      <c r="M770" s="11"/>
      <c r="N770" s="11"/>
    </row>
    <row r="771" ht="15.75" customHeight="1">
      <c r="A771" s="11"/>
      <c r="B771" s="11"/>
      <c r="J771" s="15"/>
      <c r="K771" s="11"/>
      <c r="L771" s="11"/>
      <c r="M771" s="11"/>
      <c r="N771" s="11"/>
    </row>
    <row r="772" ht="15.75" customHeight="1">
      <c r="A772" s="11"/>
      <c r="B772" s="11"/>
      <c r="J772" s="15"/>
      <c r="K772" s="11"/>
      <c r="L772" s="11"/>
      <c r="M772" s="11"/>
      <c r="N772" s="11"/>
    </row>
    <row r="773" ht="15.75" customHeight="1">
      <c r="A773" s="11"/>
      <c r="B773" s="11"/>
      <c r="J773" s="15"/>
      <c r="K773" s="11"/>
      <c r="L773" s="11"/>
      <c r="M773" s="11"/>
      <c r="N773" s="11"/>
    </row>
    <row r="774" ht="15.75" customHeight="1">
      <c r="A774" s="11"/>
      <c r="B774" s="11"/>
      <c r="J774" s="15"/>
      <c r="K774" s="11"/>
      <c r="L774" s="11"/>
      <c r="M774" s="11"/>
      <c r="N774" s="11"/>
    </row>
    <row r="775" ht="15.75" customHeight="1">
      <c r="A775" s="11"/>
      <c r="B775" s="11"/>
      <c r="J775" s="15"/>
      <c r="K775" s="11"/>
      <c r="L775" s="11"/>
      <c r="M775" s="11"/>
      <c r="N775" s="11"/>
    </row>
    <row r="776" ht="15.75" customHeight="1">
      <c r="A776" s="11"/>
      <c r="B776" s="11"/>
      <c r="J776" s="15"/>
      <c r="K776" s="11"/>
      <c r="L776" s="11"/>
      <c r="M776" s="11"/>
      <c r="N776" s="11"/>
    </row>
    <row r="777" ht="15.75" customHeight="1">
      <c r="A777" s="11"/>
      <c r="B777" s="11"/>
      <c r="J777" s="15"/>
      <c r="K777" s="11"/>
      <c r="L777" s="11"/>
      <c r="M777" s="11"/>
      <c r="N777" s="11"/>
    </row>
    <row r="778" ht="15.75" customHeight="1">
      <c r="A778" s="11"/>
      <c r="B778" s="11"/>
      <c r="J778" s="15"/>
      <c r="K778" s="11"/>
      <c r="L778" s="11"/>
      <c r="M778" s="11"/>
      <c r="N778" s="11"/>
    </row>
    <row r="779" ht="15.75" customHeight="1">
      <c r="A779" s="11"/>
      <c r="B779" s="11"/>
      <c r="J779" s="15"/>
      <c r="K779" s="11"/>
      <c r="L779" s="11"/>
      <c r="M779" s="11"/>
      <c r="N779" s="11"/>
    </row>
    <row r="780" ht="15.75" customHeight="1">
      <c r="A780" s="11"/>
      <c r="B780" s="11"/>
      <c r="J780" s="15"/>
      <c r="K780" s="11"/>
      <c r="L780" s="11"/>
      <c r="M780" s="11"/>
      <c r="N780" s="11"/>
    </row>
    <row r="781" ht="15.75" customHeight="1">
      <c r="A781" s="11"/>
      <c r="B781" s="11"/>
      <c r="J781" s="15"/>
      <c r="K781" s="11"/>
      <c r="L781" s="11"/>
      <c r="M781" s="11"/>
      <c r="N781" s="11"/>
    </row>
    <row r="782" ht="15.75" customHeight="1">
      <c r="A782" s="11"/>
      <c r="B782" s="11"/>
      <c r="J782" s="15"/>
      <c r="K782" s="11"/>
      <c r="L782" s="11"/>
      <c r="M782" s="11"/>
      <c r="N782" s="11"/>
    </row>
    <row r="783" ht="15.75" customHeight="1">
      <c r="A783" s="11"/>
      <c r="B783" s="11"/>
      <c r="J783" s="15"/>
      <c r="K783" s="11"/>
      <c r="L783" s="11"/>
      <c r="M783" s="11"/>
      <c r="N783" s="11"/>
    </row>
    <row r="784" ht="15.75" customHeight="1">
      <c r="A784" s="11"/>
      <c r="B784" s="11"/>
      <c r="J784" s="15"/>
      <c r="K784" s="11"/>
      <c r="L784" s="11"/>
      <c r="M784" s="11"/>
      <c r="N784" s="11"/>
    </row>
    <row r="785" ht="15.75" customHeight="1">
      <c r="A785" s="11"/>
      <c r="B785" s="11"/>
      <c r="J785" s="15"/>
      <c r="K785" s="11"/>
      <c r="L785" s="11"/>
      <c r="M785" s="11"/>
      <c r="N785" s="11"/>
    </row>
    <row r="786" ht="15.75" customHeight="1">
      <c r="A786" s="11"/>
      <c r="B786" s="11"/>
      <c r="J786" s="15"/>
      <c r="K786" s="11"/>
      <c r="L786" s="11"/>
      <c r="M786" s="11"/>
      <c r="N786" s="11"/>
    </row>
    <row r="787" ht="15.75" customHeight="1">
      <c r="A787" s="11"/>
      <c r="B787" s="11"/>
      <c r="J787" s="15"/>
      <c r="K787" s="11"/>
      <c r="L787" s="11"/>
      <c r="M787" s="11"/>
      <c r="N787" s="11"/>
    </row>
    <row r="788" ht="15.75" customHeight="1">
      <c r="A788" s="11"/>
      <c r="B788" s="11"/>
      <c r="J788" s="15"/>
      <c r="K788" s="11"/>
      <c r="L788" s="11"/>
      <c r="M788" s="11"/>
      <c r="N788" s="11"/>
    </row>
    <row r="789" ht="15.75" customHeight="1">
      <c r="A789" s="11"/>
      <c r="B789" s="11"/>
      <c r="J789" s="15"/>
      <c r="K789" s="11"/>
      <c r="L789" s="11"/>
      <c r="M789" s="11"/>
      <c r="N789" s="11"/>
    </row>
    <row r="790" ht="15.75" customHeight="1">
      <c r="A790" s="11"/>
      <c r="B790" s="11"/>
      <c r="J790" s="15"/>
      <c r="K790" s="11"/>
      <c r="L790" s="11"/>
      <c r="M790" s="11"/>
      <c r="N790" s="11"/>
    </row>
    <row r="791" ht="15.75" customHeight="1">
      <c r="A791" s="11"/>
      <c r="B791" s="11"/>
      <c r="J791" s="15"/>
      <c r="K791" s="11"/>
      <c r="L791" s="11"/>
      <c r="M791" s="11"/>
      <c r="N791" s="11"/>
    </row>
    <row r="792" ht="15.75" customHeight="1">
      <c r="A792" s="11"/>
      <c r="B792" s="11"/>
      <c r="J792" s="15"/>
      <c r="K792" s="11"/>
      <c r="L792" s="11"/>
      <c r="M792" s="11"/>
      <c r="N792" s="11"/>
    </row>
    <row r="793" ht="15.75" customHeight="1">
      <c r="A793" s="11"/>
      <c r="B793" s="11"/>
      <c r="J793" s="15"/>
      <c r="K793" s="11"/>
      <c r="L793" s="11"/>
      <c r="M793" s="11"/>
      <c r="N793" s="11"/>
    </row>
    <row r="794" ht="15.75" customHeight="1">
      <c r="A794" s="11"/>
      <c r="B794" s="11"/>
      <c r="J794" s="15"/>
      <c r="K794" s="11"/>
      <c r="L794" s="11"/>
      <c r="M794" s="11"/>
      <c r="N794" s="11"/>
    </row>
    <row r="795" ht="15.75" customHeight="1">
      <c r="A795" s="11"/>
      <c r="B795" s="11"/>
      <c r="J795" s="15"/>
      <c r="K795" s="11"/>
      <c r="L795" s="11"/>
      <c r="M795" s="11"/>
      <c r="N795" s="11"/>
    </row>
    <row r="796" ht="15.75" customHeight="1">
      <c r="A796" s="11"/>
      <c r="B796" s="11"/>
      <c r="J796" s="15"/>
      <c r="K796" s="11"/>
      <c r="L796" s="11"/>
      <c r="M796" s="11"/>
      <c r="N796" s="11"/>
    </row>
    <row r="797" ht="15.75" customHeight="1">
      <c r="A797" s="11"/>
      <c r="B797" s="11"/>
      <c r="J797" s="15"/>
      <c r="K797" s="11"/>
      <c r="L797" s="11"/>
      <c r="M797" s="11"/>
      <c r="N797" s="11"/>
    </row>
    <row r="798" ht="15.75" customHeight="1">
      <c r="A798" s="11"/>
      <c r="B798" s="11"/>
      <c r="J798" s="15"/>
      <c r="K798" s="11"/>
      <c r="L798" s="11"/>
      <c r="M798" s="11"/>
      <c r="N798" s="11"/>
    </row>
    <row r="799" ht="15.75" customHeight="1">
      <c r="A799" s="11"/>
      <c r="B799" s="11"/>
      <c r="J799" s="15"/>
      <c r="K799" s="11"/>
      <c r="L799" s="11"/>
      <c r="M799" s="11"/>
      <c r="N799" s="11"/>
    </row>
    <row r="800" ht="15.75" customHeight="1">
      <c r="A800" s="11"/>
      <c r="B800" s="11"/>
      <c r="J800" s="15"/>
      <c r="K800" s="11"/>
      <c r="L800" s="11"/>
      <c r="M800" s="11"/>
      <c r="N800" s="11"/>
    </row>
    <row r="801" ht="15.75" customHeight="1">
      <c r="A801" s="11"/>
      <c r="B801" s="11"/>
      <c r="J801" s="15"/>
      <c r="K801" s="11"/>
      <c r="L801" s="11"/>
      <c r="M801" s="11"/>
      <c r="N801" s="11"/>
    </row>
    <row r="802" ht="15.75" customHeight="1">
      <c r="A802" s="11"/>
      <c r="B802" s="11"/>
      <c r="J802" s="15"/>
      <c r="K802" s="11"/>
      <c r="L802" s="11"/>
      <c r="M802" s="11"/>
      <c r="N802" s="11"/>
    </row>
    <row r="803" ht="15.75" customHeight="1">
      <c r="A803" s="11"/>
      <c r="B803" s="11"/>
      <c r="J803" s="15"/>
      <c r="K803" s="11"/>
      <c r="L803" s="11"/>
      <c r="M803" s="11"/>
      <c r="N803" s="11"/>
    </row>
    <row r="804" ht="15.75" customHeight="1">
      <c r="A804" s="11"/>
      <c r="B804" s="11"/>
      <c r="J804" s="15"/>
      <c r="K804" s="11"/>
      <c r="L804" s="11"/>
      <c r="M804" s="11"/>
      <c r="N804" s="11"/>
    </row>
    <row r="805" ht="15.75" customHeight="1">
      <c r="A805" s="11"/>
      <c r="B805" s="11"/>
      <c r="J805" s="15"/>
      <c r="K805" s="11"/>
      <c r="L805" s="11"/>
      <c r="M805" s="11"/>
      <c r="N805" s="11"/>
    </row>
    <row r="806" ht="15.75" customHeight="1">
      <c r="A806" s="11"/>
      <c r="B806" s="11"/>
      <c r="J806" s="15"/>
      <c r="K806" s="11"/>
      <c r="L806" s="11"/>
      <c r="M806" s="11"/>
      <c r="N806" s="11"/>
    </row>
    <row r="807" ht="15.75" customHeight="1">
      <c r="A807" s="11"/>
      <c r="B807" s="11"/>
      <c r="J807" s="15"/>
      <c r="K807" s="11"/>
      <c r="L807" s="11"/>
      <c r="M807" s="11"/>
      <c r="N807" s="11"/>
    </row>
    <row r="808" ht="15.75" customHeight="1">
      <c r="A808" s="11"/>
      <c r="B808" s="11"/>
      <c r="J808" s="15"/>
      <c r="K808" s="11"/>
      <c r="L808" s="11"/>
      <c r="M808" s="11"/>
      <c r="N808" s="11"/>
    </row>
    <row r="809" ht="15.75" customHeight="1">
      <c r="A809" s="11"/>
      <c r="B809" s="11"/>
      <c r="J809" s="15"/>
      <c r="K809" s="11"/>
      <c r="L809" s="11"/>
      <c r="M809" s="11"/>
      <c r="N809" s="11"/>
    </row>
    <row r="810" ht="15.75" customHeight="1">
      <c r="A810" s="11"/>
      <c r="B810" s="11"/>
      <c r="J810" s="15"/>
      <c r="K810" s="11"/>
      <c r="L810" s="11"/>
      <c r="M810" s="11"/>
      <c r="N810" s="11"/>
    </row>
    <row r="811" ht="15.75" customHeight="1">
      <c r="A811" s="11"/>
      <c r="B811" s="11"/>
      <c r="J811" s="15"/>
      <c r="K811" s="11"/>
      <c r="L811" s="11"/>
      <c r="M811" s="11"/>
      <c r="N811" s="11"/>
    </row>
    <row r="812" ht="15.75" customHeight="1">
      <c r="A812" s="11"/>
      <c r="B812" s="11"/>
      <c r="J812" s="15"/>
      <c r="K812" s="11"/>
      <c r="L812" s="11"/>
      <c r="M812" s="11"/>
      <c r="N812" s="11"/>
    </row>
    <row r="813" ht="15.75" customHeight="1">
      <c r="A813" s="11"/>
      <c r="B813" s="11"/>
      <c r="J813" s="15"/>
      <c r="K813" s="11"/>
      <c r="L813" s="11"/>
      <c r="M813" s="11"/>
      <c r="N813" s="11"/>
    </row>
    <row r="814" ht="15.75" customHeight="1">
      <c r="A814" s="11"/>
      <c r="B814" s="11"/>
      <c r="J814" s="15"/>
      <c r="K814" s="11"/>
      <c r="L814" s="11"/>
      <c r="M814" s="11"/>
      <c r="N814" s="11"/>
    </row>
    <row r="815" ht="15.75" customHeight="1">
      <c r="A815" s="11"/>
      <c r="B815" s="11"/>
      <c r="J815" s="15"/>
      <c r="K815" s="11"/>
      <c r="L815" s="11"/>
      <c r="M815" s="11"/>
      <c r="N815" s="11"/>
    </row>
    <row r="816" ht="15.75" customHeight="1">
      <c r="A816" s="11"/>
      <c r="B816" s="11"/>
      <c r="J816" s="15"/>
      <c r="K816" s="11"/>
      <c r="L816" s="11"/>
      <c r="M816" s="11"/>
      <c r="N816" s="11"/>
    </row>
    <row r="817" ht="15.75" customHeight="1">
      <c r="A817" s="11"/>
      <c r="B817" s="11"/>
      <c r="J817" s="15"/>
      <c r="K817" s="11"/>
      <c r="L817" s="11"/>
      <c r="M817" s="11"/>
      <c r="N817" s="11"/>
    </row>
    <row r="818" ht="15.75" customHeight="1">
      <c r="A818" s="11"/>
      <c r="B818" s="11"/>
      <c r="J818" s="15"/>
      <c r="K818" s="11"/>
      <c r="L818" s="11"/>
      <c r="M818" s="11"/>
      <c r="N818" s="11"/>
    </row>
    <row r="819" ht="15.75" customHeight="1">
      <c r="A819" s="11"/>
      <c r="B819" s="11"/>
      <c r="J819" s="15"/>
      <c r="K819" s="11"/>
      <c r="L819" s="11"/>
      <c r="M819" s="11"/>
      <c r="N819" s="11"/>
    </row>
    <row r="820" ht="15.75" customHeight="1">
      <c r="A820" s="11"/>
      <c r="B820" s="11"/>
      <c r="J820" s="15"/>
      <c r="K820" s="11"/>
      <c r="L820" s="11"/>
      <c r="M820" s="11"/>
      <c r="N820" s="11"/>
    </row>
    <row r="821" ht="15.75" customHeight="1">
      <c r="A821" s="11"/>
      <c r="B821" s="11"/>
      <c r="J821" s="15"/>
      <c r="K821" s="11"/>
      <c r="L821" s="11"/>
      <c r="M821" s="11"/>
      <c r="N821" s="11"/>
    </row>
    <row r="822" ht="15.75" customHeight="1">
      <c r="A822" s="11"/>
      <c r="B822" s="11"/>
      <c r="J822" s="15"/>
      <c r="K822" s="11"/>
      <c r="L822" s="11"/>
      <c r="M822" s="11"/>
      <c r="N822" s="11"/>
    </row>
    <row r="823" ht="15.75" customHeight="1">
      <c r="A823" s="11"/>
      <c r="B823" s="11"/>
      <c r="J823" s="15"/>
      <c r="K823" s="11"/>
      <c r="L823" s="11"/>
      <c r="M823" s="11"/>
      <c r="N823" s="11"/>
    </row>
    <row r="824" ht="15.75" customHeight="1">
      <c r="A824" s="11"/>
      <c r="B824" s="11"/>
      <c r="J824" s="15"/>
      <c r="K824" s="11"/>
      <c r="L824" s="11"/>
      <c r="M824" s="11"/>
      <c r="N824" s="11"/>
    </row>
    <row r="825" ht="15.75" customHeight="1">
      <c r="A825" s="11"/>
      <c r="B825" s="11"/>
      <c r="J825" s="15"/>
      <c r="K825" s="11"/>
      <c r="L825" s="11"/>
      <c r="M825" s="11"/>
      <c r="N825" s="11"/>
    </row>
    <row r="826" ht="15.75" customHeight="1">
      <c r="A826" s="11"/>
      <c r="B826" s="11"/>
      <c r="J826" s="15"/>
      <c r="K826" s="11"/>
      <c r="L826" s="11"/>
      <c r="M826" s="11"/>
      <c r="N826" s="11"/>
    </row>
    <row r="827" ht="15.75" customHeight="1">
      <c r="A827" s="11"/>
      <c r="B827" s="11"/>
      <c r="J827" s="15"/>
      <c r="K827" s="11"/>
      <c r="L827" s="11"/>
      <c r="M827" s="11"/>
      <c r="N827" s="11"/>
    </row>
    <row r="828" ht="15.75" customHeight="1">
      <c r="A828" s="11"/>
      <c r="B828" s="11"/>
      <c r="J828" s="15"/>
      <c r="K828" s="11"/>
      <c r="L828" s="11"/>
      <c r="M828" s="11"/>
      <c r="N828" s="11"/>
    </row>
    <row r="829" ht="15.75" customHeight="1">
      <c r="A829" s="11"/>
      <c r="B829" s="11"/>
      <c r="J829" s="15"/>
      <c r="K829" s="11"/>
      <c r="L829" s="11"/>
      <c r="M829" s="11"/>
      <c r="N829" s="11"/>
    </row>
    <row r="830" ht="15.75" customHeight="1">
      <c r="A830" s="11"/>
      <c r="B830" s="11"/>
      <c r="J830" s="15"/>
      <c r="K830" s="11"/>
      <c r="L830" s="11"/>
      <c r="M830" s="11"/>
      <c r="N830" s="11"/>
    </row>
    <row r="831" ht="15.75" customHeight="1">
      <c r="A831" s="11"/>
      <c r="B831" s="11"/>
      <c r="J831" s="15"/>
      <c r="K831" s="11"/>
      <c r="L831" s="11"/>
      <c r="M831" s="11"/>
      <c r="N831" s="11"/>
    </row>
    <row r="832" ht="15.75" customHeight="1">
      <c r="A832" s="11"/>
      <c r="B832" s="11"/>
      <c r="J832" s="15"/>
      <c r="K832" s="11"/>
      <c r="L832" s="11"/>
      <c r="M832" s="11"/>
      <c r="N832" s="11"/>
    </row>
    <row r="833" ht="15.75" customHeight="1">
      <c r="A833" s="11"/>
      <c r="B833" s="11"/>
      <c r="J833" s="15"/>
      <c r="K833" s="11"/>
      <c r="L833" s="11"/>
      <c r="M833" s="11"/>
      <c r="N833" s="11"/>
    </row>
    <row r="834" ht="15.75" customHeight="1">
      <c r="A834" s="11"/>
      <c r="B834" s="11"/>
      <c r="J834" s="15"/>
      <c r="K834" s="11"/>
      <c r="L834" s="11"/>
      <c r="M834" s="11"/>
      <c r="N834" s="11"/>
    </row>
    <row r="835" ht="15.75" customHeight="1">
      <c r="A835" s="11"/>
      <c r="B835" s="11"/>
      <c r="J835" s="15"/>
      <c r="K835" s="11"/>
      <c r="L835" s="11"/>
      <c r="M835" s="11"/>
      <c r="N835" s="11"/>
    </row>
    <row r="836" ht="15.75" customHeight="1">
      <c r="A836" s="11"/>
      <c r="B836" s="11"/>
      <c r="J836" s="15"/>
      <c r="K836" s="11"/>
      <c r="L836" s="11"/>
      <c r="M836" s="11"/>
      <c r="N836" s="11"/>
    </row>
    <row r="837" ht="15.75" customHeight="1">
      <c r="A837" s="11"/>
      <c r="B837" s="11"/>
      <c r="J837" s="15"/>
      <c r="K837" s="11"/>
      <c r="L837" s="11"/>
      <c r="M837" s="11"/>
      <c r="N837" s="11"/>
    </row>
    <row r="838" ht="15.75" customHeight="1">
      <c r="A838" s="11"/>
      <c r="B838" s="11"/>
      <c r="J838" s="15"/>
      <c r="K838" s="11"/>
      <c r="L838" s="11"/>
      <c r="M838" s="11"/>
      <c r="N838" s="11"/>
    </row>
    <row r="839" ht="15.75" customHeight="1">
      <c r="A839" s="11"/>
      <c r="B839" s="11"/>
      <c r="J839" s="15"/>
      <c r="K839" s="11"/>
      <c r="L839" s="11"/>
      <c r="M839" s="11"/>
      <c r="N839" s="11"/>
    </row>
    <row r="840" ht="15.75" customHeight="1">
      <c r="A840" s="11"/>
      <c r="B840" s="11"/>
      <c r="J840" s="15"/>
      <c r="K840" s="11"/>
      <c r="L840" s="11"/>
      <c r="M840" s="11"/>
      <c r="N840" s="11"/>
    </row>
    <row r="841" ht="15.75" customHeight="1">
      <c r="A841" s="11"/>
      <c r="B841" s="11"/>
      <c r="J841" s="15"/>
      <c r="K841" s="11"/>
      <c r="L841" s="11"/>
      <c r="M841" s="11"/>
      <c r="N841" s="11"/>
    </row>
    <row r="842" ht="15.75" customHeight="1">
      <c r="A842" s="11"/>
      <c r="B842" s="11"/>
      <c r="J842" s="15"/>
      <c r="K842" s="11"/>
      <c r="L842" s="11"/>
      <c r="M842" s="11"/>
      <c r="N842" s="11"/>
    </row>
    <row r="843" ht="15.75" customHeight="1">
      <c r="A843" s="11"/>
      <c r="B843" s="11"/>
      <c r="J843" s="15"/>
      <c r="K843" s="11"/>
      <c r="L843" s="11"/>
      <c r="M843" s="11"/>
      <c r="N843" s="11"/>
    </row>
    <row r="844" ht="15.75" customHeight="1">
      <c r="A844" s="11"/>
      <c r="B844" s="11"/>
      <c r="J844" s="15"/>
      <c r="K844" s="11"/>
      <c r="L844" s="11"/>
      <c r="M844" s="11"/>
      <c r="N844" s="11"/>
    </row>
    <row r="845" ht="15.75" customHeight="1">
      <c r="A845" s="11"/>
      <c r="B845" s="11"/>
      <c r="J845" s="15"/>
      <c r="K845" s="11"/>
      <c r="L845" s="11"/>
      <c r="M845" s="11"/>
      <c r="N845" s="11"/>
    </row>
    <row r="846" ht="15.75" customHeight="1">
      <c r="A846" s="11"/>
      <c r="B846" s="11"/>
      <c r="J846" s="15"/>
      <c r="K846" s="11"/>
      <c r="L846" s="11"/>
      <c r="M846" s="11"/>
      <c r="N846" s="11"/>
    </row>
    <row r="847" ht="15.75" customHeight="1">
      <c r="A847" s="11"/>
      <c r="B847" s="11"/>
      <c r="J847" s="15"/>
      <c r="K847" s="11"/>
      <c r="L847" s="11"/>
      <c r="M847" s="11"/>
      <c r="N847" s="11"/>
    </row>
    <row r="848" ht="15.75" customHeight="1">
      <c r="A848" s="11"/>
      <c r="B848" s="11"/>
      <c r="J848" s="15"/>
      <c r="K848" s="11"/>
      <c r="L848" s="11"/>
      <c r="M848" s="11"/>
      <c r="N848" s="11"/>
    </row>
    <row r="849" ht="15.75" customHeight="1">
      <c r="A849" s="11"/>
      <c r="B849" s="11"/>
      <c r="J849" s="15"/>
      <c r="K849" s="11"/>
      <c r="L849" s="11"/>
      <c r="M849" s="11"/>
      <c r="N849" s="11"/>
    </row>
    <row r="850" ht="15.75" customHeight="1">
      <c r="A850" s="11"/>
      <c r="B850" s="11"/>
      <c r="J850" s="15"/>
      <c r="K850" s="11"/>
      <c r="L850" s="11"/>
      <c r="M850" s="11"/>
      <c r="N850" s="11"/>
    </row>
    <row r="851" ht="15.75" customHeight="1">
      <c r="A851" s="11"/>
      <c r="B851" s="11"/>
      <c r="J851" s="15"/>
      <c r="K851" s="11"/>
      <c r="L851" s="11"/>
      <c r="M851" s="11"/>
      <c r="N851" s="11"/>
    </row>
    <row r="852" ht="15.75" customHeight="1">
      <c r="A852" s="11"/>
      <c r="B852" s="11"/>
      <c r="J852" s="15"/>
      <c r="K852" s="11"/>
      <c r="L852" s="11"/>
      <c r="M852" s="11"/>
      <c r="N852" s="11"/>
    </row>
    <row r="853" ht="15.75" customHeight="1">
      <c r="A853" s="11"/>
      <c r="B853" s="11"/>
      <c r="J853" s="15"/>
      <c r="K853" s="11"/>
      <c r="L853" s="11"/>
      <c r="M853" s="11"/>
      <c r="N853" s="11"/>
    </row>
    <row r="854" ht="15.75" customHeight="1">
      <c r="A854" s="11"/>
      <c r="B854" s="11"/>
      <c r="J854" s="15"/>
      <c r="K854" s="11"/>
      <c r="L854" s="11"/>
      <c r="M854" s="11"/>
      <c r="N854" s="11"/>
    </row>
    <row r="855" ht="15.75" customHeight="1">
      <c r="A855" s="11"/>
      <c r="B855" s="11"/>
      <c r="J855" s="15"/>
      <c r="K855" s="11"/>
      <c r="L855" s="11"/>
      <c r="M855" s="11"/>
      <c r="N855" s="11"/>
    </row>
    <row r="856" ht="15.75" customHeight="1">
      <c r="A856" s="11"/>
      <c r="B856" s="11"/>
      <c r="J856" s="15"/>
      <c r="K856" s="11"/>
      <c r="L856" s="11"/>
      <c r="M856" s="11"/>
      <c r="N856" s="11"/>
    </row>
    <row r="857" ht="15.75" customHeight="1">
      <c r="A857" s="11"/>
      <c r="B857" s="11"/>
      <c r="J857" s="15"/>
      <c r="K857" s="11"/>
      <c r="L857" s="11"/>
      <c r="M857" s="11"/>
      <c r="N857" s="11"/>
    </row>
    <row r="858" ht="15.75" customHeight="1">
      <c r="A858" s="11"/>
      <c r="B858" s="11"/>
      <c r="J858" s="15"/>
      <c r="K858" s="11"/>
      <c r="L858" s="11"/>
      <c r="M858" s="11"/>
      <c r="N858" s="11"/>
    </row>
    <row r="859" ht="15.75" customHeight="1">
      <c r="A859" s="11"/>
      <c r="B859" s="11"/>
      <c r="J859" s="15"/>
      <c r="K859" s="11"/>
      <c r="L859" s="11"/>
      <c r="M859" s="11"/>
      <c r="N859" s="11"/>
    </row>
    <row r="860" ht="15.75" customHeight="1">
      <c r="A860" s="11"/>
      <c r="B860" s="11"/>
      <c r="J860" s="15"/>
      <c r="K860" s="11"/>
      <c r="L860" s="11"/>
      <c r="M860" s="11"/>
      <c r="N860" s="11"/>
    </row>
    <row r="861" ht="15.75" customHeight="1">
      <c r="A861" s="11"/>
      <c r="B861" s="11"/>
      <c r="J861" s="15"/>
      <c r="K861" s="11"/>
      <c r="L861" s="11"/>
      <c r="M861" s="11"/>
      <c r="N861" s="11"/>
    </row>
    <row r="862" ht="15.75" customHeight="1">
      <c r="A862" s="11"/>
      <c r="B862" s="11"/>
      <c r="J862" s="15"/>
      <c r="K862" s="11"/>
      <c r="L862" s="11"/>
      <c r="M862" s="11"/>
      <c r="N862" s="11"/>
    </row>
    <row r="863" ht="15.75" customHeight="1">
      <c r="A863" s="11"/>
      <c r="B863" s="11"/>
      <c r="J863" s="15"/>
      <c r="K863" s="11"/>
      <c r="L863" s="11"/>
      <c r="M863" s="11"/>
      <c r="N863" s="11"/>
    </row>
    <row r="864" ht="15.75" customHeight="1">
      <c r="A864" s="11"/>
      <c r="B864" s="11"/>
      <c r="J864" s="15"/>
      <c r="K864" s="11"/>
      <c r="L864" s="11"/>
      <c r="M864" s="11"/>
      <c r="N864" s="11"/>
    </row>
    <row r="865" ht="15.75" customHeight="1">
      <c r="A865" s="11"/>
      <c r="B865" s="11"/>
      <c r="J865" s="15"/>
      <c r="K865" s="11"/>
      <c r="L865" s="11"/>
      <c r="M865" s="11"/>
      <c r="N865" s="11"/>
    </row>
    <row r="866" ht="15.75" customHeight="1">
      <c r="A866" s="11"/>
      <c r="B866" s="11"/>
      <c r="J866" s="15"/>
      <c r="K866" s="11"/>
      <c r="L866" s="11"/>
      <c r="M866" s="11"/>
      <c r="N866" s="11"/>
    </row>
    <row r="867" ht="15.75" customHeight="1">
      <c r="A867" s="11"/>
      <c r="B867" s="11"/>
      <c r="J867" s="15"/>
      <c r="K867" s="11"/>
      <c r="L867" s="11"/>
      <c r="M867" s="11"/>
      <c r="N867" s="11"/>
    </row>
    <row r="868" ht="15.75" customHeight="1">
      <c r="A868" s="11"/>
      <c r="B868" s="11"/>
      <c r="J868" s="15"/>
      <c r="K868" s="11"/>
      <c r="L868" s="11"/>
      <c r="M868" s="11"/>
      <c r="N868" s="11"/>
    </row>
    <row r="869" ht="15.75" customHeight="1">
      <c r="A869" s="11"/>
      <c r="B869" s="11"/>
      <c r="J869" s="15"/>
      <c r="K869" s="11"/>
      <c r="L869" s="11"/>
      <c r="M869" s="11"/>
      <c r="N869" s="11"/>
    </row>
    <row r="870" ht="15.75" customHeight="1">
      <c r="A870" s="11"/>
      <c r="B870" s="11"/>
      <c r="J870" s="15"/>
      <c r="K870" s="11"/>
      <c r="L870" s="11"/>
      <c r="M870" s="11"/>
      <c r="N870" s="11"/>
    </row>
    <row r="871" ht="15.75" customHeight="1">
      <c r="A871" s="11"/>
      <c r="B871" s="11"/>
      <c r="J871" s="15"/>
      <c r="K871" s="11"/>
      <c r="L871" s="11"/>
      <c r="M871" s="11"/>
      <c r="N871" s="11"/>
    </row>
    <row r="872" ht="15.75" customHeight="1">
      <c r="A872" s="11"/>
      <c r="B872" s="11"/>
      <c r="J872" s="15"/>
      <c r="K872" s="11"/>
      <c r="L872" s="11"/>
      <c r="M872" s="11"/>
      <c r="N872" s="11"/>
    </row>
    <row r="873" ht="15.75" customHeight="1">
      <c r="A873" s="11"/>
      <c r="B873" s="11"/>
      <c r="J873" s="15"/>
      <c r="K873" s="11"/>
      <c r="L873" s="11"/>
      <c r="M873" s="11"/>
      <c r="N873" s="11"/>
    </row>
    <row r="874" ht="15.75" customHeight="1">
      <c r="A874" s="11"/>
      <c r="B874" s="11"/>
      <c r="J874" s="15"/>
      <c r="K874" s="11"/>
      <c r="L874" s="11"/>
      <c r="M874" s="11"/>
      <c r="N874" s="11"/>
    </row>
    <row r="875" ht="15.75" customHeight="1">
      <c r="A875" s="11"/>
      <c r="B875" s="11"/>
      <c r="J875" s="15"/>
      <c r="K875" s="11"/>
      <c r="L875" s="11"/>
      <c r="M875" s="11"/>
      <c r="N875" s="11"/>
    </row>
    <row r="876" ht="15.75" customHeight="1">
      <c r="A876" s="11"/>
      <c r="B876" s="11"/>
      <c r="J876" s="15"/>
      <c r="K876" s="11"/>
      <c r="L876" s="11"/>
      <c r="M876" s="11"/>
      <c r="N876" s="11"/>
    </row>
    <row r="877" ht="15.75" customHeight="1">
      <c r="A877" s="11"/>
      <c r="B877" s="11"/>
      <c r="J877" s="15"/>
      <c r="K877" s="11"/>
      <c r="L877" s="11"/>
      <c r="M877" s="11"/>
      <c r="N877" s="11"/>
    </row>
    <row r="878" ht="15.75" customHeight="1">
      <c r="A878" s="11"/>
      <c r="B878" s="11"/>
      <c r="J878" s="15"/>
      <c r="K878" s="11"/>
      <c r="L878" s="11"/>
      <c r="M878" s="11"/>
      <c r="N878" s="11"/>
    </row>
    <row r="879" ht="15.75" customHeight="1">
      <c r="A879" s="11"/>
      <c r="B879" s="11"/>
      <c r="J879" s="15"/>
      <c r="K879" s="11"/>
      <c r="L879" s="11"/>
      <c r="M879" s="11"/>
      <c r="N879" s="11"/>
    </row>
    <row r="880" ht="15.75" customHeight="1">
      <c r="A880" s="11"/>
      <c r="B880" s="11"/>
      <c r="J880" s="15"/>
      <c r="K880" s="11"/>
      <c r="L880" s="11"/>
      <c r="M880" s="11"/>
      <c r="N880" s="11"/>
    </row>
    <row r="881" ht="15.75" customHeight="1">
      <c r="A881" s="11"/>
      <c r="B881" s="11"/>
      <c r="J881" s="15"/>
      <c r="K881" s="11"/>
      <c r="L881" s="11"/>
      <c r="M881" s="11"/>
      <c r="N881" s="11"/>
    </row>
    <row r="882" ht="15.75" customHeight="1">
      <c r="A882" s="11"/>
      <c r="B882" s="11"/>
      <c r="J882" s="15"/>
      <c r="K882" s="11"/>
      <c r="L882" s="11"/>
      <c r="M882" s="11"/>
      <c r="N882" s="11"/>
    </row>
    <row r="883" ht="15.75" customHeight="1">
      <c r="A883" s="11"/>
      <c r="B883" s="11"/>
      <c r="J883" s="15"/>
      <c r="K883" s="11"/>
      <c r="L883" s="11"/>
      <c r="M883" s="11"/>
      <c r="N883" s="11"/>
    </row>
    <row r="884" ht="15.75" customHeight="1">
      <c r="A884" s="11"/>
      <c r="B884" s="11"/>
      <c r="J884" s="15"/>
      <c r="K884" s="11"/>
      <c r="L884" s="11"/>
      <c r="M884" s="11"/>
      <c r="N884" s="11"/>
    </row>
    <row r="885" ht="15.75" customHeight="1">
      <c r="A885" s="11"/>
      <c r="B885" s="11"/>
      <c r="J885" s="15"/>
      <c r="K885" s="11"/>
      <c r="L885" s="11"/>
      <c r="M885" s="11"/>
      <c r="N885" s="11"/>
    </row>
    <row r="886" ht="15.75" customHeight="1">
      <c r="A886" s="11"/>
      <c r="B886" s="11"/>
      <c r="J886" s="15"/>
      <c r="K886" s="11"/>
      <c r="L886" s="11"/>
      <c r="M886" s="11"/>
      <c r="N886" s="11"/>
    </row>
    <row r="887" ht="15.75" customHeight="1">
      <c r="A887" s="11"/>
      <c r="B887" s="11"/>
      <c r="J887" s="15"/>
      <c r="K887" s="11"/>
      <c r="L887" s="11"/>
      <c r="M887" s="11"/>
      <c r="N887" s="11"/>
    </row>
    <row r="888" ht="15.75" customHeight="1">
      <c r="A888" s="11"/>
      <c r="B888" s="11"/>
      <c r="J888" s="15"/>
      <c r="K888" s="11"/>
      <c r="L888" s="11"/>
      <c r="M888" s="11"/>
      <c r="N888" s="11"/>
    </row>
    <row r="889" ht="15.75" customHeight="1">
      <c r="A889" s="11"/>
      <c r="B889" s="11"/>
      <c r="J889" s="15"/>
      <c r="K889" s="11"/>
      <c r="L889" s="11"/>
      <c r="M889" s="11"/>
      <c r="N889" s="11"/>
    </row>
    <row r="890" ht="15.75" customHeight="1">
      <c r="A890" s="11"/>
      <c r="B890" s="11"/>
      <c r="J890" s="15"/>
      <c r="K890" s="11"/>
      <c r="L890" s="11"/>
      <c r="M890" s="11"/>
      <c r="N890" s="11"/>
    </row>
    <row r="891" ht="15.75" customHeight="1">
      <c r="A891" s="11"/>
      <c r="B891" s="11"/>
      <c r="J891" s="15"/>
      <c r="K891" s="11"/>
      <c r="L891" s="11"/>
      <c r="M891" s="11"/>
      <c r="N891" s="11"/>
    </row>
    <row r="892" ht="15.75" customHeight="1">
      <c r="A892" s="11"/>
      <c r="B892" s="11"/>
      <c r="J892" s="15"/>
      <c r="K892" s="11"/>
      <c r="L892" s="11"/>
      <c r="M892" s="11"/>
      <c r="N892" s="11"/>
    </row>
    <row r="893" ht="15.75" customHeight="1">
      <c r="A893" s="11"/>
      <c r="B893" s="11"/>
      <c r="J893" s="15"/>
      <c r="K893" s="11"/>
      <c r="L893" s="11"/>
      <c r="M893" s="11"/>
      <c r="N893" s="11"/>
    </row>
    <row r="894" ht="15.75" customHeight="1">
      <c r="A894" s="11"/>
      <c r="B894" s="11"/>
      <c r="J894" s="15"/>
      <c r="K894" s="11"/>
      <c r="L894" s="11"/>
      <c r="M894" s="11"/>
      <c r="N894" s="11"/>
    </row>
    <row r="895" ht="15.75" customHeight="1">
      <c r="A895" s="11"/>
      <c r="B895" s="11"/>
      <c r="J895" s="15"/>
      <c r="K895" s="11"/>
      <c r="L895" s="11"/>
      <c r="M895" s="11"/>
      <c r="N895" s="11"/>
    </row>
    <row r="896" ht="15.75" customHeight="1">
      <c r="A896" s="11"/>
      <c r="B896" s="11"/>
      <c r="J896" s="15"/>
      <c r="K896" s="11"/>
      <c r="L896" s="11"/>
      <c r="M896" s="11"/>
      <c r="N896" s="11"/>
    </row>
    <row r="897" ht="15.75" customHeight="1">
      <c r="A897" s="11"/>
      <c r="B897" s="11"/>
      <c r="J897" s="15"/>
      <c r="K897" s="11"/>
      <c r="L897" s="11"/>
      <c r="M897" s="11"/>
      <c r="N897" s="11"/>
    </row>
    <row r="898" ht="15.75" customHeight="1">
      <c r="A898" s="11"/>
      <c r="B898" s="11"/>
      <c r="J898" s="15"/>
      <c r="K898" s="11"/>
      <c r="L898" s="11"/>
      <c r="M898" s="11"/>
      <c r="N898" s="11"/>
    </row>
    <row r="899" ht="15.75" customHeight="1">
      <c r="A899" s="11"/>
      <c r="B899" s="11"/>
      <c r="J899" s="15"/>
      <c r="K899" s="11"/>
      <c r="L899" s="11"/>
      <c r="M899" s="11"/>
      <c r="N899" s="11"/>
    </row>
    <row r="900" ht="15.75" customHeight="1">
      <c r="A900" s="11"/>
      <c r="B900" s="11"/>
      <c r="J900" s="15"/>
      <c r="K900" s="11"/>
      <c r="L900" s="11"/>
      <c r="M900" s="11"/>
      <c r="N900" s="11"/>
    </row>
    <row r="901" ht="15.75" customHeight="1">
      <c r="A901" s="11"/>
      <c r="B901" s="11"/>
      <c r="J901" s="15"/>
      <c r="K901" s="11"/>
      <c r="L901" s="11"/>
      <c r="M901" s="11"/>
      <c r="N901" s="11"/>
    </row>
    <row r="902" ht="15.75" customHeight="1">
      <c r="A902" s="11"/>
      <c r="B902" s="11"/>
      <c r="J902" s="15"/>
      <c r="K902" s="11"/>
      <c r="L902" s="11"/>
      <c r="M902" s="11"/>
      <c r="N902" s="11"/>
    </row>
    <row r="903" ht="15.75" customHeight="1">
      <c r="A903" s="11"/>
      <c r="B903" s="11"/>
      <c r="J903" s="15"/>
      <c r="K903" s="11"/>
      <c r="L903" s="11"/>
      <c r="M903" s="11"/>
      <c r="N903" s="11"/>
    </row>
    <row r="904" ht="15.75" customHeight="1">
      <c r="A904" s="11"/>
      <c r="B904" s="11"/>
      <c r="J904" s="15"/>
      <c r="K904" s="11"/>
      <c r="L904" s="11"/>
      <c r="M904" s="11"/>
      <c r="N904" s="11"/>
    </row>
    <row r="905" ht="15.75" customHeight="1">
      <c r="A905" s="11"/>
      <c r="B905" s="11"/>
      <c r="J905" s="15"/>
      <c r="K905" s="11"/>
      <c r="L905" s="11"/>
      <c r="M905" s="11"/>
      <c r="N905" s="11"/>
    </row>
    <row r="906" ht="15.75" customHeight="1">
      <c r="A906" s="11"/>
      <c r="B906" s="11"/>
      <c r="J906" s="15"/>
      <c r="K906" s="11"/>
      <c r="L906" s="11"/>
      <c r="M906" s="11"/>
      <c r="N906" s="11"/>
    </row>
    <row r="907" ht="15.75" customHeight="1">
      <c r="A907" s="11"/>
      <c r="B907" s="11"/>
      <c r="J907" s="15"/>
      <c r="K907" s="11"/>
      <c r="L907" s="11"/>
      <c r="M907" s="11"/>
      <c r="N907" s="11"/>
    </row>
    <row r="908" ht="15.75" customHeight="1">
      <c r="A908" s="11"/>
      <c r="B908" s="11"/>
      <c r="J908" s="15"/>
      <c r="K908" s="11"/>
      <c r="L908" s="11"/>
      <c r="M908" s="11"/>
      <c r="N908" s="11"/>
    </row>
    <row r="909" ht="15.75" customHeight="1">
      <c r="A909" s="11"/>
      <c r="B909" s="11"/>
      <c r="J909" s="15"/>
      <c r="K909" s="11"/>
      <c r="L909" s="11"/>
      <c r="M909" s="11"/>
      <c r="N909" s="11"/>
    </row>
    <row r="910" ht="15.75" customHeight="1">
      <c r="A910" s="11"/>
      <c r="B910" s="11"/>
      <c r="J910" s="15"/>
      <c r="K910" s="11"/>
      <c r="L910" s="11"/>
      <c r="M910" s="11"/>
      <c r="N910" s="11"/>
    </row>
    <row r="911" ht="15.75" customHeight="1">
      <c r="A911" s="11"/>
      <c r="B911" s="11"/>
      <c r="J911" s="15"/>
      <c r="K911" s="11"/>
      <c r="L911" s="11"/>
      <c r="M911" s="11"/>
      <c r="N911" s="11"/>
    </row>
    <row r="912" ht="15.75" customHeight="1">
      <c r="A912" s="11"/>
      <c r="B912" s="11"/>
      <c r="J912" s="15"/>
      <c r="K912" s="11"/>
      <c r="L912" s="11"/>
      <c r="M912" s="11"/>
      <c r="N912" s="11"/>
    </row>
    <row r="913" ht="15.75" customHeight="1">
      <c r="A913" s="11"/>
      <c r="B913" s="11"/>
      <c r="J913" s="15"/>
      <c r="K913" s="11"/>
      <c r="L913" s="11"/>
      <c r="M913" s="11"/>
      <c r="N913" s="11"/>
    </row>
    <row r="914" ht="15.75" customHeight="1">
      <c r="A914" s="11"/>
      <c r="B914" s="11"/>
      <c r="J914" s="15"/>
      <c r="K914" s="11"/>
      <c r="L914" s="11"/>
      <c r="M914" s="11"/>
      <c r="N914" s="11"/>
    </row>
    <row r="915" ht="15.75" customHeight="1">
      <c r="A915" s="11"/>
      <c r="B915" s="11"/>
      <c r="J915" s="15"/>
      <c r="K915" s="11"/>
      <c r="L915" s="11"/>
      <c r="M915" s="11"/>
      <c r="N915" s="11"/>
    </row>
    <row r="916" ht="15.75" customHeight="1">
      <c r="A916" s="11"/>
      <c r="B916" s="11"/>
      <c r="J916" s="15"/>
      <c r="K916" s="11"/>
      <c r="L916" s="11"/>
      <c r="M916" s="11"/>
      <c r="N916" s="11"/>
    </row>
    <row r="917" ht="15.75" customHeight="1">
      <c r="A917" s="11"/>
      <c r="B917" s="11"/>
      <c r="J917" s="15"/>
      <c r="K917" s="11"/>
      <c r="L917" s="11"/>
      <c r="M917" s="11"/>
      <c r="N917" s="11"/>
    </row>
    <row r="918" ht="15.75" customHeight="1">
      <c r="A918" s="11"/>
      <c r="B918" s="11"/>
      <c r="J918" s="15"/>
      <c r="K918" s="11"/>
      <c r="L918" s="11"/>
      <c r="M918" s="11"/>
      <c r="N918" s="11"/>
    </row>
    <row r="919" ht="15.75" customHeight="1">
      <c r="A919" s="11"/>
      <c r="B919" s="11"/>
      <c r="J919" s="15"/>
      <c r="K919" s="11"/>
      <c r="L919" s="11"/>
      <c r="M919" s="11"/>
      <c r="N919" s="11"/>
    </row>
    <row r="920" ht="15.75" customHeight="1">
      <c r="A920" s="11"/>
      <c r="B920" s="11"/>
      <c r="J920" s="15"/>
      <c r="K920" s="11"/>
      <c r="L920" s="11"/>
      <c r="M920" s="11"/>
      <c r="N920" s="11"/>
    </row>
    <row r="921" ht="15.75" customHeight="1">
      <c r="A921" s="11"/>
      <c r="B921" s="11"/>
      <c r="J921" s="15"/>
      <c r="K921" s="11"/>
      <c r="L921" s="11"/>
      <c r="M921" s="11"/>
      <c r="N921" s="11"/>
    </row>
    <row r="922" ht="15.75" customHeight="1">
      <c r="A922" s="11"/>
      <c r="B922" s="11"/>
      <c r="J922" s="15"/>
      <c r="K922" s="11"/>
      <c r="L922" s="11"/>
      <c r="M922" s="11"/>
      <c r="N922" s="11"/>
    </row>
    <row r="923" ht="15.75" customHeight="1">
      <c r="A923" s="11"/>
      <c r="B923" s="11"/>
      <c r="J923" s="15"/>
      <c r="K923" s="11"/>
      <c r="L923" s="11"/>
      <c r="M923" s="11"/>
      <c r="N923" s="11"/>
    </row>
    <row r="924" ht="15.75" customHeight="1">
      <c r="A924" s="11"/>
      <c r="B924" s="11"/>
      <c r="J924" s="15"/>
      <c r="K924" s="11"/>
      <c r="L924" s="11"/>
      <c r="M924" s="11"/>
      <c r="N924" s="11"/>
    </row>
    <row r="925" ht="15.75" customHeight="1">
      <c r="A925" s="11"/>
      <c r="B925" s="11"/>
      <c r="J925" s="15"/>
      <c r="K925" s="11"/>
      <c r="L925" s="11"/>
      <c r="M925" s="11"/>
      <c r="N925" s="11"/>
    </row>
    <row r="926" ht="15.75" customHeight="1">
      <c r="A926" s="11"/>
      <c r="B926" s="11"/>
      <c r="J926" s="15"/>
      <c r="K926" s="11"/>
      <c r="L926" s="11"/>
      <c r="M926" s="11"/>
      <c r="N926" s="11"/>
    </row>
    <row r="927" ht="15.75" customHeight="1">
      <c r="A927" s="11"/>
      <c r="B927" s="11"/>
      <c r="J927" s="15"/>
      <c r="K927" s="11"/>
      <c r="L927" s="11"/>
      <c r="M927" s="11"/>
      <c r="N927" s="11"/>
    </row>
    <row r="928" ht="15.75" customHeight="1">
      <c r="A928" s="11"/>
      <c r="B928" s="11"/>
      <c r="J928" s="15"/>
      <c r="K928" s="11"/>
      <c r="L928" s="11"/>
      <c r="M928" s="11"/>
      <c r="N928" s="11"/>
    </row>
    <row r="929" ht="15.75" customHeight="1">
      <c r="A929" s="11"/>
      <c r="B929" s="11"/>
      <c r="J929" s="15"/>
      <c r="K929" s="11"/>
      <c r="L929" s="11"/>
      <c r="M929" s="11"/>
      <c r="N929" s="11"/>
    </row>
    <row r="930" ht="15.75" customHeight="1">
      <c r="A930" s="11"/>
      <c r="B930" s="11"/>
      <c r="J930" s="15"/>
      <c r="K930" s="11"/>
      <c r="L930" s="11"/>
      <c r="M930" s="11"/>
      <c r="N930" s="11"/>
    </row>
    <row r="931" ht="15.75" customHeight="1">
      <c r="A931" s="11"/>
      <c r="B931" s="11"/>
      <c r="J931" s="15"/>
      <c r="K931" s="11"/>
      <c r="L931" s="11"/>
      <c r="M931" s="11"/>
      <c r="N931" s="11"/>
    </row>
    <row r="932" ht="15.75" customHeight="1">
      <c r="A932" s="11"/>
      <c r="B932" s="11"/>
      <c r="J932" s="15"/>
      <c r="K932" s="11"/>
      <c r="L932" s="11"/>
      <c r="M932" s="11"/>
      <c r="N932" s="11"/>
    </row>
    <row r="933" ht="15.75" customHeight="1">
      <c r="A933" s="11"/>
      <c r="B933" s="11"/>
      <c r="J933" s="15"/>
      <c r="K933" s="11"/>
      <c r="L933" s="11"/>
      <c r="M933" s="11"/>
      <c r="N933" s="11"/>
    </row>
    <row r="934" ht="15.75" customHeight="1">
      <c r="A934" s="11"/>
      <c r="B934" s="11"/>
      <c r="J934" s="15"/>
      <c r="K934" s="11"/>
      <c r="L934" s="11"/>
      <c r="M934" s="11"/>
      <c r="N934" s="11"/>
    </row>
    <row r="935" ht="15.75" customHeight="1">
      <c r="A935" s="11"/>
      <c r="B935" s="11"/>
      <c r="J935" s="15"/>
      <c r="K935" s="11"/>
      <c r="L935" s="11"/>
      <c r="M935" s="11"/>
      <c r="N935" s="11"/>
    </row>
    <row r="936" ht="15.75" customHeight="1">
      <c r="A936" s="11"/>
      <c r="B936" s="11"/>
      <c r="J936" s="15"/>
      <c r="K936" s="11"/>
      <c r="L936" s="11"/>
      <c r="M936" s="11"/>
      <c r="N936" s="11"/>
    </row>
    <row r="937" ht="15.75" customHeight="1">
      <c r="A937" s="11"/>
      <c r="B937" s="11"/>
      <c r="J937" s="15"/>
      <c r="K937" s="11"/>
      <c r="L937" s="11"/>
      <c r="M937" s="11"/>
      <c r="N937" s="11"/>
    </row>
    <row r="938" ht="15.75" customHeight="1">
      <c r="A938" s="11"/>
      <c r="B938" s="11"/>
      <c r="J938" s="15"/>
      <c r="K938" s="11"/>
      <c r="L938" s="11"/>
      <c r="M938" s="11"/>
      <c r="N938" s="11"/>
    </row>
    <row r="939" ht="15.75" customHeight="1">
      <c r="A939" s="11"/>
      <c r="B939" s="11"/>
      <c r="J939" s="15"/>
      <c r="K939" s="11"/>
      <c r="L939" s="11"/>
      <c r="M939" s="11"/>
      <c r="N939" s="11"/>
    </row>
    <row r="940" ht="15.75" customHeight="1">
      <c r="A940" s="11"/>
      <c r="B940" s="11"/>
      <c r="J940" s="15"/>
      <c r="K940" s="11"/>
      <c r="L940" s="11"/>
      <c r="M940" s="11"/>
      <c r="N940" s="11"/>
    </row>
    <row r="941" ht="15.75" customHeight="1">
      <c r="A941" s="11"/>
      <c r="B941" s="11"/>
      <c r="J941" s="15"/>
      <c r="K941" s="11"/>
      <c r="L941" s="11"/>
      <c r="M941" s="11"/>
      <c r="N941" s="11"/>
    </row>
    <row r="942" ht="15.75" customHeight="1">
      <c r="A942" s="11"/>
      <c r="B942" s="11"/>
      <c r="J942" s="15"/>
      <c r="K942" s="11"/>
      <c r="L942" s="11"/>
      <c r="M942" s="11"/>
      <c r="N942" s="11"/>
    </row>
    <row r="943" ht="15.75" customHeight="1">
      <c r="A943" s="11"/>
      <c r="B943" s="11"/>
      <c r="J943" s="15"/>
      <c r="K943" s="11"/>
      <c r="L943" s="11"/>
      <c r="M943" s="11"/>
      <c r="N943" s="11"/>
    </row>
    <row r="944" ht="15.75" customHeight="1">
      <c r="A944" s="11"/>
      <c r="B944" s="11"/>
      <c r="J944" s="15"/>
      <c r="K944" s="11"/>
      <c r="L944" s="11"/>
      <c r="M944" s="11"/>
      <c r="N944" s="11"/>
    </row>
    <row r="945" ht="15.75" customHeight="1">
      <c r="A945" s="11"/>
      <c r="B945" s="11"/>
      <c r="J945" s="15"/>
      <c r="K945" s="11"/>
      <c r="L945" s="11"/>
      <c r="M945" s="11"/>
      <c r="N945" s="11"/>
    </row>
    <row r="946" ht="15.75" customHeight="1">
      <c r="A946" s="11"/>
      <c r="B946" s="11"/>
      <c r="J946" s="15"/>
      <c r="K946" s="11"/>
      <c r="L946" s="11"/>
      <c r="M946" s="11"/>
      <c r="N946" s="11"/>
    </row>
  </sheetData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>
      <c r="A1" s="64" t="s">
        <v>16</v>
      </c>
      <c r="B1" s="64" t="s">
        <v>17</v>
      </c>
      <c r="C1" s="64" t="s">
        <v>557</v>
      </c>
      <c r="D1" s="64" t="s">
        <v>558</v>
      </c>
      <c r="E1" s="64" t="s">
        <v>559</v>
      </c>
      <c r="F1" s="65" t="s">
        <v>560</v>
      </c>
      <c r="G1" s="64" t="s">
        <v>19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21</v>
      </c>
      <c r="B2" s="68">
        <v>1228.6</v>
      </c>
      <c r="C2" s="68">
        <v>1226.95</v>
      </c>
      <c r="D2" s="68">
        <v>1238.5</v>
      </c>
      <c r="E2" s="68">
        <v>1220.3</v>
      </c>
      <c r="F2" s="69">
        <v>10.52</v>
      </c>
      <c r="G2" s="70">
        <v>0.0031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7" t="s">
        <v>23</v>
      </c>
      <c r="B3" s="68">
        <v>1224.8</v>
      </c>
      <c r="C3" s="68">
        <v>1210.55</v>
      </c>
      <c r="D3" s="68">
        <v>1228.25</v>
      </c>
      <c r="E3" s="68">
        <v>1210.55</v>
      </c>
      <c r="F3" s="67">
        <v>5.78</v>
      </c>
      <c r="G3" s="70">
        <v>0.0096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7" t="s">
        <v>24</v>
      </c>
      <c r="B4" s="68">
        <v>1213.1</v>
      </c>
      <c r="C4" s="68">
        <v>1225.0</v>
      </c>
      <c r="D4" s="68">
        <v>1234.0</v>
      </c>
      <c r="E4" s="68">
        <v>1210.0</v>
      </c>
      <c r="F4" s="67">
        <v>10.9</v>
      </c>
      <c r="G4" s="70">
        <v>-0.0186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7" t="s">
        <v>27</v>
      </c>
      <c r="B5" s="68">
        <v>1236.1</v>
      </c>
      <c r="C5" s="68">
        <v>1226.95</v>
      </c>
      <c r="D5" s="68">
        <v>1245.0</v>
      </c>
      <c r="E5" s="68">
        <v>1222.0</v>
      </c>
      <c r="F5" s="67">
        <v>7.84</v>
      </c>
      <c r="G5" s="70">
        <v>0.0125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7" t="s">
        <v>30</v>
      </c>
      <c r="B6" s="68">
        <v>1220.8</v>
      </c>
      <c r="C6" s="68">
        <v>1238.0</v>
      </c>
      <c r="D6" s="68">
        <v>1242.9</v>
      </c>
      <c r="E6" s="68">
        <v>1214.1</v>
      </c>
      <c r="F6" s="67">
        <v>9.95</v>
      </c>
      <c r="G6" s="70">
        <v>-0.0089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7" t="s">
        <v>31</v>
      </c>
      <c r="B7" s="68">
        <v>1231.8</v>
      </c>
      <c r="C7" s="68">
        <v>1228.25</v>
      </c>
      <c r="D7" s="68">
        <v>1239.0</v>
      </c>
      <c r="E7" s="68">
        <v>1223.65</v>
      </c>
      <c r="F7" s="67">
        <v>6.6</v>
      </c>
      <c r="G7" s="70">
        <v>0.0028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7" t="s">
        <v>33</v>
      </c>
      <c r="B8" s="68">
        <v>1228.35</v>
      </c>
      <c r="C8" s="68">
        <v>1216.2</v>
      </c>
      <c r="D8" s="68">
        <v>1240.4</v>
      </c>
      <c r="E8" s="68">
        <v>1214.6</v>
      </c>
      <c r="F8" s="67">
        <v>7.7</v>
      </c>
      <c r="G8" s="70">
        <v>0.0025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7" t="s">
        <v>44</v>
      </c>
      <c r="B9" s="68">
        <v>1225.3</v>
      </c>
      <c r="C9" s="68">
        <v>1225.0</v>
      </c>
      <c r="D9" s="68">
        <v>1230.55</v>
      </c>
      <c r="E9" s="68">
        <v>1215.2</v>
      </c>
      <c r="F9" s="67">
        <v>4.14</v>
      </c>
      <c r="G9" s="70">
        <v>0.0043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7" t="s">
        <v>48</v>
      </c>
      <c r="B10" s="68">
        <v>1220.0</v>
      </c>
      <c r="C10" s="68">
        <v>1190.0</v>
      </c>
      <c r="D10" s="68">
        <v>1222.8</v>
      </c>
      <c r="E10" s="68">
        <v>1187.85</v>
      </c>
      <c r="F10" s="67">
        <v>10.12</v>
      </c>
      <c r="G10" s="70">
        <v>0.0213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7" t="s">
        <v>51</v>
      </c>
      <c r="B11" s="68">
        <v>1194.6</v>
      </c>
      <c r="C11" s="68">
        <v>1173.95</v>
      </c>
      <c r="D11" s="68">
        <v>1199.7</v>
      </c>
      <c r="E11" s="68">
        <v>1163.55</v>
      </c>
      <c r="F11" s="67">
        <v>8.57</v>
      </c>
      <c r="G11" s="70">
        <v>0.0221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7" t="s">
        <v>55</v>
      </c>
      <c r="B12" s="68">
        <v>1168.75</v>
      </c>
      <c r="C12" s="68">
        <v>1212.0</v>
      </c>
      <c r="D12" s="68">
        <v>1212.0</v>
      </c>
      <c r="E12" s="68">
        <v>1151.7</v>
      </c>
      <c r="F12" s="67">
        <v>7.53</v>
      </c>
      <c r="G12" s="70">
        <v>-0.0295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1">
        <v>45629.0</v>
      </c>
      <c r="B13" s="68">
        <v>1204.25</v>
      </c>
      <c r="C13" s="68">
        <v>1200.0</v>
      </c>
      <c r="D13" s="68">
        <v>1208.0</v>
      </c>
      <c r="E13" s="68">
        <v>1197.8</v>
      </c>
      <c r="F13" s="67">
        <v>4.25</v>
      </c>
      <c r="G13" s="70">
        <v>0.0064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1">
        <v>45599.0</v>
      </c>
      <c r="B14" s="68">
        <v>1196.6</v>
      </c>
      <c r="C14" s="68">
        <v>1186.0</v>
      </c>
      <c r="D14" s="68">
        <v>1218.3</v>
      </c>
      <c r="E14" s="68">
        <v>1186.0</v>
      </c>
      <c r="F14" s="67">
        <v>6.68</v>
      </c>
      <c r="G14" s="70">
        <v>-0.0026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1">
        <v>45476.0</v>
      </c>
      <c r="B15" s="68">
        <v>1199.7</v>
      </c>
      <c r="C15" s="68">
        <v>1209.85</v>
      </c>
      <c r="D15" s="68">
        <v>1213.6</v>
      </c>
      <c r="E15" s="68">
        <v>1189.45</v>
      </c>
      <c r="F15" s="67">
        <v>8.9</v>
      </c>
      <c r="G15" s="70">
        <v>0.005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1">
        <v>45446.0</v>
      </c>
      <c r="B16" s="68">
        <v>1193.7</v>
      </c>
      <c r="C16" s="68">
        <v>1173.95</v>
      </c>
      <c r="D16" s="68">
        <v>1196.6</v>
      </c>
      <c r="E16" s="68">
        <v>1157.35</v>
      </c>
      <c r="F16" s="67">
        <v>5.46</v>
      </c>
      <c r="G16" s="70">
        <v>0.0212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71">
        <v>45415.0</v>
      </c>
      <c r="B17" s="68">
        <v>1168.9</v>
      </c>
      <c r="C17" s="68">
        <v>1133.05</v>
      </c>
      <c r="D17" s="68">
        <v>1179.75</v>
      </c>
      <c r="E17" s="68">
        <v>1133.05</v>
      </c>
      <c r="F17" s="67">
        <v>5.38</v>
      </c>
      <c r="G17" s="70">
        <v>0.0312</v>
      </c>
      <c r="H17" s="2"/>
      <c r="I17" s="2"/>
      <c r="J17" s="2"/>
      <c r="K17" s="2"/>
      <c r="L17" s="72" t="s">
        <v>561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71">
        <v>45385.0</v>
      </c>
      <c r="B18" s="68">
        <v>1133.5</v>
      </c>
      <c r="C18" s="68">
        <v>1132.0</v>
      </c>
      <c r="D18" s="68">
        <v>1149.25</v>
      </c>
      <c r="E18" s="68">
        <v>1132.0</v>
      </c>
      <c r="F18" s="67">
        <v>5.86</v>
      </c>
      <c r="G18" s="70">
        <v>4.0E-4</v>
      </c>
      <c r="H18" s="2"/>
      <c r="I18" s="2"/>
      <c r="J18" s="2"/>
      <c r="K18" s="2"/>
      <c r="L18" s="73" t="s">
        <v>562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71">
        <v>45325.0</v>
      </c>
      <c r="B19" s="68">
        <v>1133.0</v>
      </c>
      <c r="C19" s="68">
        <v>1124.05</v>
      </c>
      <c r="D19" s="68">
        <v>1134.25</v>
      </c>
      <c r="E19" s="68">
        <v>1124.0</v>
      </c>
      <c r="F19" s="69">
        <v>0.13365</v>
      </c>
      <c r="G19" s="70">
        <v>0.0038</v>
      </c>
      <c r="H19" s="2"/>
      <c r="I19" s="2"/>
      <c r="J19" s="2"/>
      <c r="K19" s="2"/>
      <c r="L19" s="73" t="s">
        <v>563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71">
        <v>45294.0</v>
      </c>
      <c r="B20" s="68">
        <v>1128.7</v>
      </c>
      <c r="C20" s="68">
        <v>1128.0</v>
      </c>
      <c r="D20" s="68">
        <v>1140.75</v>
      </c>
      <c r="E20" s="68">
        <v>1117.4</v>
      </c>
      <c r="F20" s="67">
        <v>5.93</v>
      </c>
      <c r="G20" s="70">
        <v>0.0048</v>
      </c>
      <c r="H20" s="2"/>
      <c r="I20" s="2"/>
      <c r="J20" s="2"/>
      <c r="K20" s="2"/>
      <c r="L20" s="72" t="s">
        <v>564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67" t="s">
        <v>62</v>
      </c>
      <c r="B21" s="68">
        <v>1123.35</v>
      </c>
      <c r="C21" s="68">
        <v>1118.85</v>
      </c>
      <c r="D21" s="68">
        <v>1137.95</v>
      </c>
      <c r="E21" s="68">
        <v>1099.0</v>
      </c>
      <c r="F21" s="67">
        <v>13.82</v>
      </c>
      <c r="G21" s="70">
        <v>-0.0048</v>
      </c>
      <c r="H21" s="2"/>
      <c r="I21" s="2"/>
      <c r="J21" s="2"/>
      <c r="K21" s="2"/>
      <c r="L21" s="73" t="s">
        <v>565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67" t="s">
        <v>63</v>
      </c>
      <c r="B22" s="68">
        <v>1128.75</v>
      </c>
      <c r="C22" s="68">
        <v>1133.4</v>
      </c>
      <c r="D22" s="68">
        <v>1152.65</v>
      </c>
      <c r="E22" s="68">
        <v>1123.5</v>
      </c>
      <c r="F22" s="67">
        <v>5.3</v>
      </c>
      <c r="G22" s="70">
        <v>0.0011</v>
      </c>
      <c r="H22" s="2"/>
      <c r="I22" s="2"/>
      <c r="J22" s="2"/>
      <c r="K22" s="2"/>
      <c r="L22" s="73" t="s">
        <v>566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67" t="s">
        <v>66</v>
      </c>
      <c r="B23" s="68">
        <v>1127.5</v>
      </c>
      <c r="C23" s="68">
        <v>1113.0</v>
      </c>
      <c r="D23" s="68">
        <v>1131.0</v>
      </c>
      <c r="E23" s="68">
        <v>1101.3</v>
      </c>
      <c r="F23" s="67">
        <v>7.15</v>
      </c>
      <c r="G23" s="70">
        <v>0.0157</v>
      </c>
      <c r="H23" s="2"/>
      <c r="I23" s="2"/>
      <c r="J23" s="2"/>
      <c r="K23" s="2"/>
      <c r="L23" s="73" t="s">
        <v>567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67" t="s">
        <v>69</v>
      </c>
      <c r="B24" s="68">
        <v>1110.05</v>
      </c>
      <c r="C24" s="68">
        <v>1118.1</v>
      </c>
      <c r="D24" s="68">
        <v>1125.9</v>
      </c>
      <c r="E24" s="68">
        <v>1104.35</v>
      </c>
      <c r="F24" s="67">
        <v>3.19</v>
      </c>
      <c r="G24" s="70">
        <v>-0.0139</v>
      </c>
      <c r="H24" s="2"/>
      <c r="I24" s="2"/>
      <c r="J24" s="2"/>
      <c r="K24" s="2"/>
      <c r="L24" s="72" t="s">
        <v>568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67" t="s">
        <v>71</v>
      </c>
      <c r="B25" s="68">
        <v>1125.75</v>
      </c>
      <c r="C25" s="68">
        <v>1127.0</v>
      </c>
      <c r="D25" s="68">
        <v>1131.85</v>
      </c>
      <c r="E25" s="68">
        <v>1115.3</v>
      </c>
      <c r="F25" s="67">
        <v>6.71</v>
      </c>
      <c r="G25" s="70">
        <v>-0.0086</v>
      </c>
      <c r="H25" s="2"/>
      <c r="I25" s="2"/>
      <c r="J25" s="2"/>
      <c r="K25" s="2"/>
      <c r="L25" s="73" t="s">
        <v>569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67" t="s">
        <v>77</v>
      </c>
      <c r="B26" s="68">
        <v>1135.55</v>
      </c>
      <c r="C26" s="68">
        <v>1137.6</v>
      </c>
      <c r="D26" s="68">
        <v>1138.75</v>
      </c>
      <c r="E26" s="68">
        <v>1097.65</v>
      </c>
      <c r="F26" s="67">
        <v>8.64</v>
      </c>
      <c r="G26" s="70">
        <v>-0.0038</v>
      </c>
      <c r="H26" s="2"/>
      <c r="I26" s="2"/>
      <c r="J26" s="2"/>
      <c r="K26" s="2"/>
      <c r="L26" s="73" t="s">
        <v>570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67" t="s">
        <v>79</v>
      </c>
      <c r="B27" s="68">
        <v>1139.9</v>
      </c>
      <c r="C27" s="68">
        <v>1155.0</v>
      </c>
      <c r="D27" s="68">
        <v>1159.15</v>
      </c>
      <c r="E27" s="68">
        <v>1132.6</v>
      </c>
      <c r="F27" s="67">
        <v>4.57</v>
      </c>
      <c r="G27" s="70">
        <v>-0.0035</v>
      </c>
      <c r="H27" s="2"/>
      <c r="I27" s="2"/>
      <c r="J27" s="2"/>
      <c r="K27" s="2"/>
      <c r="L27" s="73" t="s">
        <v>571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67" t="s">
        <v>82</v>
      </c>
      <c r="B28" s="68">
        <v>1143.95</v>
      </c>
      <c r="C28" s="68">
        <v>1145.0</v>
      </c>
      <c r="D28" s="68">
        <v>1151.6</v>
      </c>
      <c r="E28" s="68">
        <v>1135.0</v>
      </c>
      <c r="F28" s="67">
        <v>5.4</v>
      </c>
      <c r="G28" s="70">
        <v>0.0015</v>
      </c>
      <c r="H28" s="2"/>
      <c r="I28" s="2"/>
      <c r="J28" s="2"/>
      <c r="K28" s="2"/>
      <c r="L28" s="7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67" t="s">
        <v>84</v>
      </c>
      <c r="B29" s="68">
        <v>1142.2</v>
      </c>
      <c r="C29" s="68">
        <v>1121.05</v>
      </c>
      <c r="D29" s="68">
        <v>1145.0</v>
      </c>
      <c r="E29" s="68">
        <v>1118.35</v>
      </c>
      <c r="F29" s="67">
        <v>4.71</v>
      </c>
      <c r="G29" s="70">
        <v>0.0198</v>
      </c>
      <c r="H29" s="2"/>
      <c r="I29" s="2"/>
      <c r="J29" s="2"/>
      <c r="K29" s="2"/>
      <c r="L29" s="72" t="s">
        <v>572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7" t="s">
        <v>86</v>
      </c>
      <c r="B30" s="68">
        <v>1120.0</v>
      </c>
      <c r="C30" s="68">
        <v>1124.0</v>
      </c>
      <c r="D30" s="68">
        <v>1127.05</v>
      </c>
      <c r="E30" s="68">
        <v>1116.85</v>
      </c>
      <c r="F30" s="67">
        <v>3.09</v>
      </c>
      <c r="G30" s="70">
        <v>-6.0E-4</v>
      </c>
      <c r="H30" s="2"/>
      <c r="I30" s="2"/>
      <c r="J30" s="2"/>
      <c r="K30" s="2"/>
      <c r="L30" s="72" t="s">
        <v>573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7" t="s">
        <v>88</v>
      </c>
      <c r="B31" s="68">
        <v>1120.7</v>
      </c>
      <c r="C31" s="68">
        <v>1122.3</v>
      </c>
      <c r="D31" s="68">
        <v>1131.45</v>
      </c>
      <c r="E31" s="68">
        <v>1109.4</v>
      </c>
      <c r="F31" s="67">
        <v>5.06</v>
      </c>
      <c r="G31" s="70">
        <v>0.0043</v>
      </c>
      <c r="H31" s="2"/>
      <c r="I31" s="2"/>
      <c r="J31" s="2"/>
      <c r="K31" s="2"/>
      <c r="L31" s="72" t="s">
        <v>574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7" t="s">
        <v>91</v>
      </c>
      <c r="B32" s="68">
        <v>1115.85</v>
      </c>
      <c r="C32" s="68">
        <v>1110.0</v>
      </c>
      <c r="D32" s="68">
        <v>1121.15</v>
      </c>
      <c r="E32" s="68">
        <v>1104.7</v>
      </c>
      <c r="F32" s="67">
        <v>4.65</v>
      </c>
      <c r="G32" s="70">
        <v>-0.0018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7" t="s">
        <v>94</v>
      </c>
      <c r="B33" s="68">
        <v>1117.85</v>
      </c>
      <c r="C33" s="68">
        <v>1111.0</v>
      </c>
      <c r="D33" s="68">
        <v>1125.0</v>
      </c>
      <c r="E33" s="68">
        <v>1103.8</v>
      </c>
      <c r="F33" s="67">
        <v>3.21</v>
      </c>
      <c r="G33" s="70">
        <v>-8.0E-4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1">
        <v>45628.0</v>
      </c>
      <c r="B34" s="68">
        <v>1118.7</v>
      </c>
      <c r="C34" s="68">
        <v>1122.9</v>
      </c>
      <c r="D34" s="68">
        <v>1129.0</v>
      </c>
      <c r="E34" s="68">
        <v>1111.3</v>
      </c>
      <c r="F34" s="67">
        <v>3.89</v>
      </c>
      <c r="G34" s="70">
        <v>-0.0014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1">
        <v>45537.0</v>
      </c>
      <c r="B35" s="68">
        <v>1120.25</v>
      </c>
      <c r="C35" s="68">
        <v>1145.95</v>
      </c>
      <c r="D35" s="68">
        <v>1145.95</v>
      </c>
      <c r="E35" s="68">
        <v>1116.25</v>
      </c>
      <c r="F35" s="67">
        <v>4.2</v>
      </c>
      <c r="G35" s="70">
        <v>-0.0192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1">
        <v>45506.0</v>
      </c>
      <c r="B36" s="68">
        <v>1142.15</v>
      </c>
      <c r="C36" s="68">
        <v>1144.4</v>
      </c>
      <c r="D36" s="68">
        <v>1146.5</v>
      </c>
      <c r="E36" s="68">
        <v>1116.2</v>
      </c>
      <c r="F36" s="67">
        <v>6.52</v>
      </c>
      <c r="G36" s="70">
        <v>0.0069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1">
        <v>45475.0</v>
      </c>
      <c r="B37" s="68">
        <v>1134.3</v>
      </c>
      <c r="C37" s="68">
        <v>1138.8</v>
      </c>
      <c r="D37" s="68">
        <v>1148.25</v>
      </c>
      <c r="E37" s="68">
        <v>1131.8</v>
      </c>
      <c r="F37" s="67">
        <v>2.77</v>
      </c>
      <c r="G37" s="70">
        <v>2.0E-4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1">
        <v>45445.0</v>
      </c>
      <c r="B38" s="68">
        <v>1134.05</v>
      </c>
      <c r="C38" s="68">
        <v>1125.0</v>
      </c>
      <c r="D38" s="68">
        <v>1156.1</v>
      </c>
      <c r="E38" s="68">
        <v>1123.0</v>
      </c>
      <c r="F38" s="67">
        <v>9.86</v>
      </c>
      <c r="G38" s="70">
        <v>0.0184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1">
        <v>45414.0</v>
      </c>
      <c r="B39" s="68">
        <v>1113.55</v>
      </c>
      <c r="C39" s="68">
        <v>1154.35</v>
      </c>
      <c r="D39" s="68">
        <v>1159.65</v>
      </c>
      <c r="E39" s="68">
        <v>1110.0</v>
      </c>
      <c r="F39" s="67">
        <v>7.81</v>
      </c>
      <c r="G39" s="70">
        <v>-0.0324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1">
        <v>45324.0</v>
      </c>
      <c r="B40" s="68">
        <v>1150.8</v>
      </c>
      <c r="C40" s="68">
        <v>1155.0</v>
      </c>
      <c r="D40" s="68">
        <v>1175.2</v>
      </c>
      <c r="E40" s="68">
        <v>1145.3</v>
      </c>
      <c r="F40" s="67">
        <v>4.97</v>
      </c>
      <c r="G40" s="70">
        <v>-3.0E-4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1">
        <v>45293.0</v>
      </c>
      <c r="B41" s="68">
        <v>1151.2</v>
      </c>
      <c r="C41" s="68">
        <v>1165.05</v>
      </c>
      <c r="D41" s="68">
        <v>1170.2</v>
      </c>
      <c r="E41" s="68">
        <v>1148.95</v>
      </c>
      <c r="F41" s="67">
        <v>3.61</v>
      </c>
      <c r="G41" s="70">
        <v>-0.0167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16.88"/>
    <col customWidth="1" min="3" max="3" width="17.5"/>
    <col customWidth="1" min="4" max="4" width="12.5"/>
    <col customWidth="1" min="5" max="5" width="12.63"/>
    <col customWidth="1" min="6" max="6" width="16.0"/>
    <col customWidth="1" min="10" max="10" width="21.25"/>
    <col customWidth="1" min="11" max="11" width="22.38"/>
    <col customWidth="1" min="12" max="12" width="12.13"/>
    <col customWidth="1" min="13" max="13" width="15.13"/>
    <col customWidth="1" min="14" max="14" width="23.13"/>
  </cols>
  <sheetData>
    <row r="1" ht="26.25" customHeight="1">
      <c r="A1" s="74"/>
      <c r="B1" s="74"/>
      <c r="C1" s="74"/>
      <c r="D1" s="75" t="s">
        <v>575</v>
      </c>
      <c r="E1" s="74"/>
      <c r="F1" s="74"/>
      <c r="G1" s="74"/>
      <c r="H1" s="74"/>
      <c r="I1" s="74"/>
      <c r="J1" s="11" t="s">
        <v>576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76"/>
      <c r="B2" s="76"/>
      <c r="C2" s="76"/>
      <c r="D2" s="76"/>
      <c r="E2" s="76"/>
      <c r="F2" s="76"/>
      <c r="G2" s="76"/>
      <c r="H2" s="76"/>
      <c r="I2" s="77"/>
      <c r="J2" s="9"/>
      <c r="K2" s="6"/>
      <c r="L2" s="6"/>
      <c r="M2" s="6"/>
      <c r="N2" s="6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76" t="s">
        <v>16</v>
      </c>
      <c r="B3" s="76" t="s">
        <v>17</v>
      </c>
      <c r="C3" s="76" t="s">
        <v>18</v>
      </c>
      <c r="D3" s="76" t="s">
        <v>19</v>
      </c>
      <c r="E3" s="76" t="s">
        <v>16</v>
      </c>
      <c r="F3" s="76" t="s">
        <v>17</v>
      </c>
      <c r="G3" s="76" t="s">
        <v>18</v>
      </c>
      <c r="H3" s="76" t="s">
        <v>19</v>
      </c>
      <c r="I3" s="77"/>
      <c r="J3" s="9"/>
      <c r="K3" s="6"/>
      <c r="L3" s="6"/>
      <c r="M3" s="6"/>
      <c r="N3" s="6"/>
      <c r="O3" s="10"/>
      <c r="P3" s="10"/>
      <c r="Q3" s="10"/>
      <c r="R3" s="10"/>
      <c r="S3" s="10"/>
      <c r="T3" s="10"/>
      <c r="U3" s="10"/>
      <c r="V3" s="10"/>
      <c r="W3" s="10"/>
    </row>
    <row r="4" ht="15.75" customHeight="1">
      <c r="A4" s="11" t="s">
        <v>21</v>
      </c>
      <c r="B4" s="38">
        <v>13.25</v>
      </c>
      <c r="C4" s="11">
        <f t="shared" ref="C4:C745" si="1">B4/B5-1</f>
        <v>-0.003759398496</v>
      </c>
      <c r="D4" s="13">
        <f t="shared" ref="D4:D745" si="2">C4</f>
        <v>-0.003759398496</v>
      </c>
      <c r="E4" s="11" t="s">
        <v>21</v>
      </c>
      <c r="F4" s="12">
        <v>22326.9</v>
      </c>
      <c r="G4" s="11">
        <v>0.009187001</v>
      </c>
      <c r="H4" s="13">
        <v>0.0092</v>
      </c>
      <c r="I4" s="14"/>
    </row>
    <row r="5" ht="15.75" customHeight="1">
      <c r="A5" s="11" t="s">
        <v>23</v>
      </c>
      <c r="B5" s="38">
        <v>13.3</v>
      </c>
      <c r="C5" s="11">
        <f t="shared" si="1"/>
        <v>0</v>
      </c>
      <c r="D5" s="13">
        <f t="shared" si="2"/>
        <v>0</v>
      </c>
      <c r="E5" s="11" t="s">
        <v>23</v>
      </c>
      <c r="F5" s="12">
        <v>22123.65</v>
      </c>
      <c r="G5" s="11">
        <v>0.005405663</v>
      </c>
      <c r="H5" s="13">
        <v>0.0054</v>
      </c>
      <c r="I5" s="11"/>
      <c r="J5" s="15"/>
      <c r="K5" s="16">
        <f>(B4/B746)^(1/3)</f>
        <v>1.098344618</v>
      </c>
      <c r="L5" s="11"/>
      <c r="M5" s="11"/>
      <c r="N5" s="11"/>
    </row>
    <row r="6" ht="15.75" customHeight="1">
      <c r="A6" s="11" t="s">
        <v>24</v>
      </c>
      <c r="B6" s="38">
        <v>13.3</v>
      </c>
      <c r="C6" s="11">
        <f t="shared" si="1"/>
        <v>0</v>
      </c>
      <c r="D6" s="13">
        <f t="shared" si="2"/>
        <v>0</v>
      </c>
      <c r="E6" s="11" t="s">
        <v>24</v>
      </c>
      <c r="F6" s="12">
        <v>22004.7</v>
      </c>
      <c r="G6" s="11">
        <v>-0.004165771</v>
      </c>
      <c r="H6" s="13">
        <v>-0.0042</v>
      </c>
      <c r="J6" s="78" t="s">
        <v>25</v>
      </c>
      <c r="K6" s="16">
        <f>K5-1</f>
        <v>0.09834461751</v>
      </c>
      <c r="L6" s="11"/>
      <c r="M6" s="11"/>
      <c r="N6" s="79">
        <f>(7.08+7.29+4.64)/3</f>
        <v>6.336666667</v>
      </c>
    </row>
    <row r="7" ht="15.75" customHeight="1">
      <c r="A7" s="11" t="s">
        <v>27</v>
      </c>
      <c r="B7" s="38">
        <v>13.3</v>
      </c>
      <c r="C7" s="11">
        <f t="shared" si="1"/>
        <v>0.0390625</v>
      </c>
      <c r="D7" s="13">
        <f t="shared" si="2"/>
        <v>0.0390625</v>
      </c>
      <c r="E7" s="11" t="s">
        <v>27</v>
      </c>
      <c r="F7" s="12">
        <v>22096.75</v>
      </c>
      <c r="G7" s="11">
        <v>0.003852453</v>
      </c>
      <c r="H7" s="13">
        <v>0.0039</v>
      </c>
      <c r="J7" s="15"/>
      <c r="K7" s="80">
        <f>K6</f>
        <v>0.09834461751</v>
      </c>
      <c r="L7" s="15"/>
      <c r="M7" s="20" t="s">
        <v>28</v>
      </c>
      <c r="N7" s="21">
        <v>0.0633</v>
      </c>
      <c r="O7" s="81" t="s">
        <v>29</v>
      </c>
      <c r="P7" s="81"/>
      <c r="Q7" s="81"/>
    </row>
    <row r="8" ht="15.75" customHeight="1">
      <c r="A8" s="11" t="s">
        <v>30</v>
      </c>
      <c r="B8" s="38">
        <v>12.8</v>
      </c>
      <c r="C8" s="11">
        <f t="shared" si="1"/>
        <v>0.003921568627</v>
      </c>
      <c r="D8" s="13">
        <f t="shared" si="2"/>
        <v>0.003921568627</v>
      </c>
      <c r="E8" s="11" t="s">
        <v>30</v>
      </c>
      <c r="F8" s="12">
        <v>22011.95</v>
      </c>
      <c r="G8" s="11">
        <v>0.007914703</v>
      </c>
      <c r="H8" s="13">
        <v>0.0079</v>
      </c>
      <c r="J8" s="15"/>
      <c r="K8" s="11"/>
      <c r="L8" s="11"/>
      <c r="M8" s="11"/>
      <c r="N8" s="20">
        <v>0.0633</v>
      </c>
    </row>
    <row r="9" ht="15.75" customHeight="1">
      <c r="A9" s="11" t="s">
        <v>31</v>
      </c>
      <c r="B9" s="38">
        <v>12.75</v>
      </c>
      <c r="C9" s="11">
        <f t="shared" si="1"/>
        <v>-0.007782101167</v>
      </c>
      <c r="D9" s="13">
        <f t="shared" si="2"/>
        <v>-0.007782101167</v>
      </c>
      <c r="E9" s="11" t="s">
        <v>31</v>
      </c>
      <c r="F9" s="12">
        <v>21839.1</v>
      </c>
      <c r="G9" s="11">
        <v>9.92325E-4</v>
      </c>
      <c r="H9" s="13">
        <v>0.001</v>
      </c>
      <c r="J9" s="74" t="s">
        <v>32</v>
      </c>
      <c r="K9" s="20">
        <f>_xlfn.COVARIANCE.P(C4:C745,G4:G745)/_xlfn.VAR.P(G4:G745)</f>
        <v>1.273213129</v>
      </c>
      <c r="L9" s="11"/>
      <c r="M9" s="11"/>
      <c r="N9" s="11"/>
    </row>
    <row r="10" ht="15.75" customHeight="1">
      <c r="A10" s="11" t="s">
        <v>33</v>
      </c>
      <c r="B10" s="38">
        <v>12.85</v>
      </c>
      <c r="C10" s="11">
        <f t="shared" si="1"/>
        <v>-0.02281368821</v>
      </c>
      <c r="D10" s="13">
        <f t="shared" si="2"/>
        <v>-0.02281368821</v>
      </c>
      <c r="E10" s="11" t="s">
        <v>33</v>
      </c>
      <c r="F10" s="12">
        <v>21817.45</v>
      </c>
      <c r="G10" s="11">
        <v>-0.010802196</v>
      </c>
      <c r="H10" s="13">
        <v>-0.0108</v>
      </c>
      <c r="J10" s="74" t="s">
        <v>34</v>
      </c>
      <c r="K10" s="20">
        <f>SLOPE(C4:C745,G4:G745)</f>
        <v>1.273213129</v>
      </c>
      <c r="L10" s="11"/>
      <c r="M10" s="11"/>
      <c r="N10" s="23" t="s">
        <v>35</v>
      </c>
      <c r="O10" s="24" t="s">
        <v>36</v>
      </c>
      <c r="P10" s="24" t="s">
        <v>37</v>
      </c>
      <c r="Q10" s="24" t="s">
        <v>38</v>
      </c>
    </row>
    <row r="11" ht="15.75" customHeight="1">
      <c r="A11" s="11" t="s">
        <v>44</v>
      </c>
      <c r="B11" s="38">
        <v>13.15</v>
      </c>
      <c r="C11" s="11">
        <f t="shared" si="1"/>
        <v>0</v>
      </c>
      <c r="D11" s="13">
        <f t="shared" si="2"/>
        <v>0</v>
      </c>
      <c r="E11" s="11" t="s">
        <v>44</v>
      </c>
      <c r="F11" s="12">
        <v>22055.7</v>
      </c>
      <c r="G11" s="11">
        <v>0.001468896</v>
      </c>
      <c r="H11" s="13">
        <v>0.0015</v>
      </c>
      <c r="J11" s="74" t="s">
        <v>45</v>
      </c>
      <c r="K11" s="20">
        <f>0.7853</f>
        <v>0.7853</v>
      </c>
      <c r="L11" s="11"/>
      <c r="M11" s="11"/>
      <c r="N11" s="23" t="s">
        <v>46</v>
      </c>
      <c r="O11" s="24">
        <f t="shared" ref="O11:O12" si="3">AVERAGE(C499:C746)</f>
        <v>0.001053043397</v>
      </c>
      <c r="P11" s="24">
        <f>AVERAGE(C250:C498)</f>
        <v>-0.001697363569</v>
      </c>
      <c r="Q11" s="24">
        <f>AVERAGE(C4:C249)</f>
        <v>0.003976445727</v>
      </c>
    </row>
    <row r="12" ht="15.75" customHeight="1">
      <c r="A12" s="11" t="s">
        <v>48</v>
      </c>
      <c r="B12" s="38">
        <v>13.15</v>
      </c>
      <c r="C12" s="11">
        <f t="shared" si="1"/>
        <v>0.003816793893</v>
      </c>
      <c r="D12" s="13">
        <f t="shared" si="2"/>
        <v>0.003816793893</v>
      </c>
      <c r="E12" s="11" t="s">
        <v>48</v>
      </c>
      <c r="F12" s="12">
        <v>22023.35</v>
      </c>
      <c r="G12" s="11">
        <v>-0.005567433</v>
      </c>
      <c r="H12" s="13">
        <v>-0.0056</v>
      </c>
      <c r="J12" s="82" t="s">
        <v>49</v>
      </c>
      <c r="K12" s="11">
        <f>K6-N8</f>
        <v>0.03504461751</v>
      </c>
      <c r="N12" s="23" t="s">
        <v>46</v>
      </c>
      <c r="O12" s="29">
        <f t="shared" si="3"/>
        <v>0.001139862958</v>
      </c>
      <c r="P12" s="29">
        <f t="shared" ref="P12:Q12" si="4">P11</f>
        <v>-0.001697363569</v>
      </c>
      <c r="Q12" s="30">
        <f t="shared" si="4"/>
        <v>0.003976445727</v>
      </c>
    </row>
    <row r="13" ht="15.75" customHeight="1">
      <c r="A13" s="11" t="s">
        <v>51</v>
      </c>
      <c r="B13" s="38">
        <v>13.1</v>
      </c>
      <c r="C13" s="11">
        <f t="shared" si="1"/>
        <v>0.0564516129</v>
      </c>
      <c r="D13" s="13">
        <f t="shared" si="2"/>
        <v>0.0564516129</v>
      </c>
      <c r="E13" s="11" t="s">
        <v>51</v>
      </c>
      <c r="F13" s="12">
        <v>22146.65</v>
      </c>
      <c r="G13" s="11">
        <v>0.006771162</v>
      </c>
      <c r="H13" s="13">
        <v>0.0068</v>
      </c>
      <c r="J13" s="82" t="s">
        <v>52</v>
      </c>
      <c r="K13" s="11">
        <f>K12*K9</f>
        <v>0.04461926714</v>
      </c>
      <c r="N13" s="23" t="s">
        <v>53</v>
      </c>
      <c r="O13" s="29">
        <f>AVERAGE(O12:Q12)</f>
        <v>0.001139648372</v>
      </c>
      <c r="P13" s="31"/>
      <c r="Q13" s="31"/>
    </row>
    <row r="14" ht="15.75" customHeight="1">
      <c r="A14" s="11" t="s">
        <v>55</v>
      </c>
      <c r="B14" s="38">
        <v>12.4</v>
      </c>
      <c r="C14" s="11">
        <f t="shared" si="1"/>
        <v>-0.09489051095</v>
      </c>
      <c r="D14" s="13">
        <f t="shared" si="2"/>
        <v>-0.09489051095</v>
      </c>
      <c r="E14" s="11" t="s">
        <v>55</v>
      </c>
      <c r="F14" s="12">
        <v>21997.7</v>
      </c>
      <c r="G14" s="11">
        <v>-0.015132725</v>
      </c>
      <c r="H14" s="13">
        <v>-0.0151</v>
      </c>
      <c r="J14" s="78" t="s">
        <v>56</v>
      </c>
      <c r="K14" s="83">
        <f>K13+N8</f>
        <v>0.1079192671</v>
      </c>
      <c r="N14" s="23" t="s">
        <v>57</v>
      </c>
      <c r="O14" s="31">
        <f>B499/B746-1</f>
        <v>-0.035</v>
      </c>
      <c r="P14" s="31">
        <f>B249/B498-1</f>
        <v>-0.3910891089</v>
      </c>
      <c r="Q14" s="31">
        <f>B4/B249-1</f>
        <v>1.154471545</v>
      </c>
    </row>
    <row r="15" ht="15.75" customHeight="1">
      <c r="A15" s="35">
        <v>45629.0</v>
      </c>
      <c r="B15" s="38">
        <v>13.7</v>
      </c>
      <c r="C15" s="11">
        <f t="shared" si="1"/>
        <v>-0.003636363636</v>
      </c>
      <c r="D15" s="13">
        <f t="shared" si="2"/>
        <v>-0.003636363636</v>
      </c>
      <c r="E15" s="35">
        <v>45629.0</v>
      </c>
      <c r="F15" s="12">
        <v>22335.7</v>
      </c>
      <c r="G15" s="11">
        <v>1.36571E-4</v>
      </c>
      <c r="H15" s="13">
        <v>1.0E-4</v>
      </c>
      <c r="J15" s="78" t="s">
        <v>59</v>
      </c>
      <c r="K15" s="84">
        <f>K14</f>
        <v>0.1079192671</v>
      </c>
      <c r="N15" s="23" t="s">
        <v>60</v>
      </c>
      <c r="O15" s="29">
        <f t="shared" ref="O15:Q15" si="5">O14</f>
        <v>-0.035</v>
      </c>
      <c r="P15" s="29">
        <f t="shared" si="5"/>
        <v>-0.3910891089</v>
      </c>
      <c r="Q15" s="29">
        <f t="shared" si="5"/>
        <v>1.154471545</v>
      </c>
    </row>
    <row r="16" ht="15.75" customHeight="1">
      <c r="A16" s="35">
        <v>45599.0</v>
      </c>
      <c r="B16" s="38">
        <v>13.75</v>
      </c>
      <c r="C16" s="11">
        <f t="shared" si="1"/>
        <v>-0.0350877193</v>
      </c>
      <c r="D16" s="13">
        <f t="shared" si="2"/>
        <v>-0.0350877193</v>
      </c>
      <c r="E16" s="35">
        <v>45599.0</v>
      </c>
      <c r="F16" s="12">
        <v>22332.65</v>
      </c>
      <c r="G16" s="11">
        <v>-0.007153162</v>
      </c>
      <c r="H16" s="13">
        <v>-0.0072</v>
      </c>
      <c r="J16" s="15"/>
      <c r="K16" s="11"/>
      <c r="L16" s="11"/>
      <c r="M16" s="11"/>
      <c r="N16" s="23" t="s">
        <v>61</v>
      </c>
      <c r="O16" s="29">
        <f>AVERAGE(O15:Q15)</f>
        <v>0.2427941453</v>
      </c>
      <c r="P16" s="31"/>
      <c r="Q16" s="31"/>
    </row>
    <row r="17">
      <c r="A17" s="35">
        <v>45476.0</v>
      </c>
      <c r="B17" s="38">
        <v>14.25</v>
      </c>
      <c r="C17" s="11">
        <f t="shared" si="1"/>
        <v>0.01063829787</v>
      </c>
      <c r="D17" s="13">
        <f t="shared" si="2"/>
        <v>0.01063829787</v>
      </c>
      <c r="E17" s="35">
        <v>45476.0</v>
      </c>
      <c r="F17" s="12">
        <v>22493.55</v>
      </c>
      <c r="G17" s="11">
        <v>8.67667E-4</v>
      </c>
      <c r="H17" s="13">
        <v>9.0E-4</v>
      </c>
      <c r="J17" s="15"/>
      <c r="K17" s="11"/>
      <c r="L17" s="11"/>
      <c r="M17" s="11"/>
      <c r="N17" s="11"/>
      <c r="O17" s="37"/>
      <c r="P17" s="37"/>
      <c r="Q17" s="37"/>
    </row>
    <row r="18">
      <c r="A18" s="35">
        <v>45446.0</v>
      </c>
      <c r="B18" s="38">
        <v>14.1</v>
      </c>
      <c r="C18" s="11">
        <f t="shared" si="1"/>
        <v>-0.01742160279</v>
      </c>
      <c r="D18" s="13">
        <f t="shared" si="2"/>
        <v>-0.01742160279</v>
      </c>
      <c r="E18" s="35">
        <v>45446.0</v>
      </c>
      <c r="F18" s="12">
        <v>22474.05</v>
      </c>
      <c r="G18" s="11">
        <v>0.005266972</v>
      </c>
      <c r="H18" s="13">
        <v>0.0053</v>
      </c>
      <c r="J18" s="15"/>
      <c r="K18" s="11"/>
      <c r="L18" s="11"/>
      <c r="M18" s="11"/>
      <c r="N18" s="11"/>
    </row>
    <row r="19">
      <c r="A19" s="35">
        <v>45415.0</v>
      </c>
      <c r="B19" s="38">
        <v>14.35</v>
      </c>
      <c r="C19" s="11">
        <f t="shared" si="1"/>
        <v>0.01056338028</v>
      </c>
      <c r="D19" s="13">
        <f t="shared" si="2"/>
        <v>0.01056338028</v>
      </c>
      <c r="E19" s="35">
        <v>45415.0</v>
      </c>
      <c r="F19" s="12">
        <v>22356.3</v>
      </c>
      <c r="G19" s="11">
        <v>-0.002200343</v>
      </c>
      <c r="H19" s="13">
        <v>-0.0022</v>
      </c>
      <c r="J19" s="15"/>
      <c r="K19" s="11"/>
      <c r="L19" s="11"/>
      <c r="M19" s="11"/>
      <c r="N19" s="11"/>
    </row>
    <row r="20">
      <c r="A20" s="35">
        <v>45385.0</v>
      </c>
      <c r="B20" s="38">
        <v>14.2</v>
      </c>
      <c r="C20" s="11">
        <f t="shared" si="1"/>
        <v>-0.02739726027</v>
      </c>
      <c r="D20" s="13">
        <f t="shared" si="2"/>
        <v>-0.02739726027</v>
      </c>
      <c r="E20" s="35">
        <v>45385.0</v>
      </c>
      <c r="F20" s="12">
        <v>22405.6</v>
      </c>
      <c r="G20" s="11">
        <v>0.001215458</v>
      </c>
      <c r="H20" s="13">
        <v>0.0012</v>
      </c>
      <c r="J20" s="15"/>
      <c r="K20" s="11"/>
      <c r="L20" s="11"/>
      <c r="M20" s="11"/>
      <c r="N20" s="11"/>
    </row>
    <row r="21" ht="15.75" customHeight="1">
      <c r="A21" s="35">
        <v>45325.0</v>
      </c>
      <c r="B21" s="38">
        <v>14.6</v>
      </c>
      <c r="C21" s="11">
        <f t="shared" si="1"/>
        <v>0.02816901408</v>
      </c>
      <c r="D21" s="13">
        <f t="shared" si="2"/>
        <v>0.02816901408</v>
      </c>
      <c r="E21" s="35">
        <v>45325.0</v>
      </c>
      <c r="F21" s="12">
        <v>22378.4</v>
      </c>
      <c r="G21" s="11">
        <v>0.001774943</v>
      </c>
      <c r="H21" s="13">
        <v>0.0018</v>
      </c>
      <c r="J21" s="15"/>
      <c r="K21" s="11"/>
      <c r="L21" s="11"/>
      <c r="M21" s="11"/>
      <c r="N21" s="11"/>
    </row>
    <row r="22" ht="15.75" customHeight="1">
      <c r="A22" s="35">
        <v>45294.0</v>
      </c>
      <c r="B22" s="38">
        <v>14.2</v>
      </c>
      <c r="C22" s="11">
        <f t="shared" si="1"/>
        <v>0.04029304029</v>
      </c>
      <c r="D22" s="13">
        <f t="shared" si="2"/>
        <v>0.04029304029</v>
      </c>
      <c r="E22" s="35">
        <v>45294.0</v>
      </c>
      <c r="F22" s="12">
        <v>22338.75</v>
      </c>
      <c r="G22" s="11">
        <v>0.016192205</v>
      </c>
      <c r="H22" s="13">
        <v>0.0162</v>
      </c>
      <c r="J22" s="15"/>
      <c r="K22" s="11"/>
      <c r="L22" s="11"/>
      <c r="M22" s="11"/>
      <c r="N22" s="11"/>
    </row>
    <row r="23" ht="15.75" customHeight="1">
      <c r="A23" s="11" t="s">
        <v>62</v>
      </c>
      <c r="B23" s="38">
        <v>13.65</v>
      </c>
      <c r="C23" s="11">
        <f t="shared" si="1"/>
        <v>0</v>
      </c>
      <c r="D23" s="13">
        <f t="shared" si="2"/>
        <v>0</v>
      </c>
      <c r="E23" s="11" t="s">
        <v>62</v>
      </c>
      <c r="F23" s="12">
        <v>21982.8</v>
      </c>
      <c r="G23" s="11">
        <v>0.001441838</v>
      </c>
      <c r="H23" s="13">
        <v>0.0014</v>
      </c>
      <c r="J23" s="15"/>
      <c r="K23" s="11"/>
      <c r="L23" s="11"/>
      <c r="M23" s="11"/>
      <c r="N23" s="11"/>
    </row>
    <row r="24" ht="15.75" customHeight="1">
      <c r="A24" s="11" t="s">
        <v>63</v>
      </c>
      <c r="B24" s="38">
        <v>13.65</v>
      </c>
      <c r="C24" s="11">
        <f t="shared" si="1"/>
        <v>-0.1388012618</v>
      </c>
      <c r="D24" s="13">
        <f t="shared" si="2"/>
        <v>-0.1388012618</v>
      </c>
      <c r="E24" s="11" t="s">
        <v>63</v>
      </c>
      <c r="F24" s="12">
        <v>21951.15</v>
      </c>
      <c r="G24" s="11">
        <v>-0.011135963</v>
      </c>
      <c r="H24" s="13">
        <v>-0.0111</v>
      </c>
      <c r="J24" s="9"/>
      <c r="K24" s="11"/>
      <c r="L24" s="11"/>
      <c r="M24" s="11"/>
      <c r="N24" s="11"/>
    </row>
    <row r="25" ht="15.75" customHeight="1">
      <c r="A25" s="11" t="s">
        <v>66</v>
      </c>
      <c r="B25" s="38">
        <v>15.85</v>
      </c>
      <c r="C25" s="11">
        <f t="shared" si="1"/>
        <v>-0.05934718101</v>
      </c>
      <c r="D25" s="13">
        <f t="shared" si="2"/>
        <v>-0.05934718101</v>
      </c>
      <c r="E25" s="11" t="s">
        <v>66</v>
      </c>
      <c r="F25" s="12">
        <v>22198.35</v>
      </c>
      <c r="G25" s="11">
        <v>0.003449047</v>
      </c>
      <c r="H25" s="13">
        <v>0.0034</v>
      </c>
      <c r="J25" s="15"/>
      <c r="K25" s="11"/>
      <c r="L25" s="11"/>
      <c r="M25" s="11"/>
      <c r="N25" s="11"/>
    </row>
    <row r="26" ht="15.75" customHeight="1">
      <c r="A26" s="11" t="s">
        <v>69</v>
      </c>
      <c r="B26" s="38">
        <v>16.85</v>
      </c>
      <c r="C26" s="11">
        <f t="shared" si="1"/>
        <v>-0.03988603989</v>
      </c>
      <c r="D26" s="13">
        <f t="shared" si="2"/>
        <v>-0.03988603989</v>
      </c>
      <c r="E26" s="11" t="s">
        <v>69</v>
      </c>
      <c r="F26" s="12">
        <v>22122.05</v>
      </c>
      <c r="G26" s="11">
        <v>-0.004080999</v>
      </c>
      <c r="H26" s="13">
        <v>-0.0041</v>
      </c>
      <c r="J26" s="15"/>
      <c r="K26" s="11"/>
      <c r="L26" s="11"/>
      <c r="M26" s="11"/>
      <c r="N26" s="11"/>
    </row>
    <row r="27" ht="15.75" customHeight="1">
      <c r="A27" s="11" t="s">
        <v>71</v>
      </c>
      <c r="B27" s="38">
        <v>17.55</v>
      </c>
      <c r="C27" s="11">
        <f t="shared" si="1"/>
        <v>0.07668711656</v>
      </c>
      <c r="D27" s="13">
        <f t="shared" si="2"/>
        <v>0.07668711656</v>
      </c>
      <c r="E27" s="11" t="s">
        <v>71</v>
      </c>
      <c r="F27" s="12">
        <v>22212.7</v>
      </c>
      <c r="G27" s="11">
        <v>-2.13796E-4</v>
      </c>
      <c r="H27" s="13">
        <v>-2.0E-4</v>
      </c>
      <c r="J27" s="15"/>
      <c r="K27" s="11"/>
      <c r="L27" s="11"/>
      <c r="M27" s="11"/>
      <c r="N27" s="11"/>
    </row>
    <row r="28" ht="15.75" customHeight="1">
      <c r="A28" s="11" t="s">
        <v>77</v>
      </c>
      <c r="B28" s="38">
        <v>16.3</v>
      </c>
      <c r="C28" s="11">
        <f t="shared" si="1"/>
        <v>0.06188925081</v>
      </c>
      <c r="D28" s="13">
        <f t="shared" si="2"/>
        <v>0.06188925081</v>
      </c>
      <c r="E28" s="11" t="s">
        <v>77</v>
      </c>
      <c r="F28" s="12">
        <v>22217.45</v>
      </c>
      <c r="G28" s="11">
        <v>0.007363393</v>
      </c>
      <c r="H28" s="13">
        <v>0.0074</v>
      </c>
      <c r="J28" s="15"/>
      <c r="K28" s="13"/>
      <c r="L28" s="13"/>
      <c r="M28" s="13"/>
      <c r="N28" s="13"/>
    </row>
    <row r="29" ht="15.75" customHeight="1">
      <c r="A29" s="11" t="s">
        <v>79</v>
      </c>
      <c r="B29" s="38">
        <v>15.35</v>
      </c>
      <c r="C29" s="11">
        <f t="shared" si="1"/>
        <v>-0.03761755486</v>
      </c>
      <c r="D29" s="13">
        <f t="shared" si="2"/>
        <v>-0.03761755486</v>
      </c>
      <c r="E29" s="11" t="s">
        <v>79</v>
      </c>
      <c r="F29" s="12">
        <v>22055.05</v>
      </c>
      <c r="G29" s="11">
        <v>-0.00639277</v>
      </c>
      <c r="H29" s="13">
        <v>-0.0064</v>
      </c>
      <c r="J29" s="15"/>
      <c r="K29" s="6"/>
      <c r="L29" s="6"/>
      <c r="M29" s="6"/>
      <c r="N29" s="11"/>
      <c r="P29" s="81" t="s">
        <v>81</v>
      </c>
      <c r="Q29" s="81"/>
      <c r="R29" s="81"/>
      <c r="S29" s="81"/>
    </row>
    <row r="30" ht="15.75" customHeight="1">
      <c r="A30" s="11" t="s">
        <v>82</v>
      </c>
      <c r="B30" s="38">
        <v>15.95</v>
      </c>
      <c r="C30" s="11">
        <f t="shared" si="1"/>
        <v>-0.003125</v>
      </c>
      <c r="D30" s="13">
        <f t="shared" si="2"/>
        <v>-0.003125</v>
      </c>
      <c r="E30" s="11" t="s">
        <v>82</v>
      </c>
      <c r="F30" s="12">
        <v>22196.95</v>
      </c>
      <c r="G30" s="11">
        <v>0.003376691</v>
      </c>
      <c r="H30" s="13">
        <v>0.0034</v>
      </c>
      <c r="J30" s="15"/>
      <c r="K30" s="11"/>
      <c r="L30" s="11"/>
      <c r="M30" s="11"/>
      <c r="N30" s="11"/>
      <c r="P30" s="81"/>
      <c r="Q30" s="81"/>
      <c r="R30" s="81"/>
      <c r="S30" s="81"/>
    </row>
    <row r="31" ht="15.75" customHeight="1">
      <c r="A31" s="11" t="s">
        <v>84</v>
      </c>
      <c r="B31" s="38">
        <v>16.0</v>
      </c>
      <c r="C31" s="11">
        <f t="shared" si="1"/>
        <v>0.006289308176</v>
      </c>
      <c r="D31" s="13">
        <f t="shared" si="2"/>
        <v>0.006289308176</v>
      </c>
      <c r="E31" s="11" t="s">
        <v>84</v>
      </c>
      <c r="F31" s="12">
        <v>22122.25</v>
      </c>
      <c r="G31" s="11">
        <v>0.003699973</v>
      </c>
      <c r="H31" s="13">
        <v>0.0037</v>
      </c>
      <c r="J31" s="15"/>
      <c r="K31" s="85"/>
      <c r="L31" s="85"/>
      <c r="M31" s="85"/>
      <c r="N31" s="85"/>
    </row>
    <row r="32" ht="15.75" customHeight="1">
      <c r="A32" s="11" t="s">
        <v>86</v>
      </c>
      <c r="B32" s="38">
        <v>15.9</v>
      </c>
      <c r="C32" s="11">
        <f t="shared" si="1"/>
        <v>-0.003134796238</v>
      </c>
      <c r="D32" s="13">
        <f t="shared" si="2"/>
        <v>-0.003134796238</v>
      </c>
      <c r="E32" s="11" t="s">
        <v>86</v>
      </c>
      <c r="F32" s="12">
        <v>22040.7</v>
      </c>
      <c r="G32" s="11">
        <v>0.005930879</v>
      </c>
      <c r="H32" s="13">
        <v>0.0059</v>
      </c>
      <c r="J32" s="15"/>
      <c r="K32" s="13"/>
      <c r="L32" s="13"/>
      <c r="M32" s="13"/>
      <c r="N32" s="13"/>
    </row>
    <row r="33" ht="15.75" customHeight="1">
      <c r="A33" s="11" t="s">
        <v>88</v>
      </c>
      <c r="B33" s="38">
        <v>15.95</v>
      </c>
      <c r="C33" s="11">
        <f t="shared" si="1"/>
        <v>0.02572347267</v>
      </c>
      <c r="D33" s="13">
        <f t="shared" si="2"/>
        <v>0.02572347267</v>
      </c>
      <c r="E33" s="11" t="s">
        <v>88</v>
      </c>
      <c r="F33" s="12">
        <v>21910.75</v>
      </c>
      <c r="G33" s="11">
        <v>0.003237172</v>
      </c>
      <c r="H33" s="13">
        <v>0.0032</v>
      </c>
      <c r="J33" s="15"/>
      <c r="K33" s="11"/>
      <c r="L33" s="11"/>
      <c r="M33" s="11"/>
      <c r="N33" s="11"/>
    </row>
    <row r="34" ht="15.75" customHeight="1">
      <c r="A34" s="11" t="s">
        <v>91</v>
      </c>
      <c r="B34" s="38">
        <v>15.55</v>
      </c>
      <c r="C34" s="11">
        <f t="shared" si="1"/>
        <v>0.05782312925</v>
      </c>
      <c r="D34" s="13">
        <f t="shared" si="2"/>
        <v>0.05782312925</v>
      </c>
      <c r="E34" s="11" t="s">
        <v>91</v>
      </c>
      <c r="F34" s="12">
        <v>21840.05</v>
      </c>
      <c r="G34" s="11">
        <v>0.004451956</v>
      </c>
      <c r="H34" s="13">
        <v>0.0045</v>
      </c>
      <c r="J34" s="15"/>
      <c r="K34" s="11"/>
      <c r="L34" s="11"/>
      <c r="M34" s="11"/>
      <c r="N34" s="11"/>
    </row>
    <row r="35" ht="15.75" customHeight="1">
      <c r="A35" s="11" t="s">
        <v>94</v>
      </c>
      <c r="B35" s="38">
        <v>14.7</v>
      </c>
      <c r="C35" s="11">
        <f t="shared" si="1"/>
        <v>0.01730103806</v>
      </c>
      <c r="D35" s="13">
        <f t="shared" si="2"/>
        <v>0.01730103806</v>
      </c>
      <c r="E35" s="11" t="s">
        <v>94</v>
      </c>
      <c r="F35" s="12">
        <v>21743.25</v>
      </c>
      <c r="G35" s="11">
        <v>0.005884516</v>
      </c>
      <c r="H35" s="13">
        <v>0.0059</v>
      </c>
      <c r="J35" s="15"/>
      <c r="K35" s="11"/>
      <c r="L35" s="11"/>
      <c r="M35" s="11"/>
      <c r="N35" s="11"/>
    </row>
    <row r="36" ht="15.75" customHeight="1">
      <c r="A36" s="35">
        <v>45628.0</v>
      </c>
      <c r="B36" s="38">
        <v>14.45</v>
      </c>
      <c r="C36" s="11">
        <f t="shared" si="1"/>
        <v>-0.06774193548</v>
      </c>
      <c r="D36" s="13">
        <f t="shared" si="2"/>
        <v>-0.06774193548</v>
      </c>
      <c r="E36" s="35">
        <v>45628.0</v>
      </c>
      <c r="F36" s="12">
        <v>21616.05</v>
      </c>
      <c r="G36" s="11">
        <v>-0.007641455</v>
      </c>
      <c r="H36" s="13">
        <v>-0.0076</v>
      </c>
      <c r="J36" s="15"/>
      <c r="K36" s="11"/>
      <c r="L36" s="11"/>
      <c r="M36" s="11"/>
      <c r="N36" s="11"/>
    </row>
    <row r="37" ht="15.75" customHeight="1">
      <c r="A37" s="35">
        <v>45537.0</v>
      </c>
      <c r="B37" s="38">
        <v>15.5</v>
      </c>
      <c r="C37" s="11">
        <f t="shared" si="1"/>
        <v>0.0472972973</v>
      </c>
      <c r="D37" s="13">
        <f t="shared" si="2"/>
        <v>0.0472972973</v>
      </c>
      <c r="E37" s="35">
        <v>45537.0</v>
      </c>
      <c r="F37" s="12">
        <v>21782.5</v>
      </c>
      <c r="G37" s="11">
        <v>0.002972196</v>
      </c>
      <c r="H37" s="13">
        <v>0.003</v>
      </c>
      <c r="J37" s="15"/>
      <c r="K37" s="11"/>
      <c r="L37" s="11"/>
      <c r="M37" s="11"/>
      <c r="N37" s="11"/>
    </row>
    <row r="38" ht="15.75" customHeight="1">
      <c r="A38" s="35">
        <v>45506.0</v>
      </c>
      <c r="B38" s="38">
        <v>14.8</v>
      </c>
      <c r="C38" s="11">
        <f t="shared" si="1"/>
        <v>-0.01333333333</v>
      </c>
      <c r="D38" s="13">
        <f t="shared" si="2"/>
        <v>-0.01333333333</v>
      </c>
      <c r="E38" s="35">
        <v>45506.0</v>
      </c>
      <c r="F38" s="12">
        <v>21717.95</v>
      </c>
      <c r="G38" s="11">
        <v>-0.009691981</v>
      </c>
      <c r="H38" s="13">
        <v>-0.0097</v>
      </c>
      <c r="J38" s="15"/>
      <c r="K38" s="11"/>
      <c r="L38" s="11"/>
      <c r="M38" s="11"/>
      <c r="N38" s="11"/>
    </row>
    <row r="39" ht="15.75" customHeight="1">
      <c r="A39" s="35">
        <v>45475.0</v>
      </c>
      <c r="B39" s="38">
        <v>15.0</v>
      </c>
      <c r="C39" s="11">
        <f t="shared" si="1"/>
        <v>0.05263157895</v>
      </c>
      <c r="D39" s="13">
        <f t="shared" si="2"/>
        <v>0.05263157895</v>
      </c>
      <c r="E39" s="35">
        <v>45475.0</v>
      </c>
      <c r="F39" s="12">
        <v>21930.5</v>
      </c>
      <c r="G39" s="45">
        <v>5.0161E-5</v>
      </c>
      <c r="H39" s="13">
        <v>1.0E-4</v>
      </c>
      <c r="J39" s="15"/>
      <c r="K39" s="13"/>
      <c r="L39" s="13"/>
      <c r="M39" s="13"/>
      <c r="N39" s="13"/>
    </row>
    <row r="40" ht="15.75" customHeight="1">
      <c r="A40" s="35">
        <v>45445.0</v>
      </c>
      <c r="B40" s="38">
        <v>14.25</v>
      </c>
      <c r="C40" s="11">
        <f t="shared" si="1"/>
        <v>0.03636363636</v>
      </c>
      <c r="D40" s="13">
        <f t="shared" si="2"/>
        <v>0.03636363636</v>
      </c>
      <c r="E40" s="35">
        <v>45445.0</v>
      </c>
      <c r="F40" s="12">
        <v>21929.4</v>
      </c>
      <c r="G40" s="11">
        <v>0.007243348</v>
      </c>
      <c r="H40" s="13">
        <v>0.0072</v>
      </c>
      <c r="I40" s="11"/>
      <c r="J40" s="15"/>
      <c r="K40" s="11"/>
      <c r="L40" s="11"/>
      <c r="M40" s="11"/>
      <c r="N40" s="11"/>
    </row>
    <row r="41" ht="15.75" customHeight="1">
      <c r="A41" s="35">
        <v>45414.0</v>
      </c>
      <c r="B41" s="38">
        <v>13.75</v>
      </c>
      <c r="C41" s="11">
        <f t="shared" si="1"/>
        <v>-0.02135231317</v>
      </c>
      <c r="D41" s="13">
        <f t="shared" si="2"/>
        <v>-0.02135231317</v>
      </c>
      <c r="E41" s="35">
        <v>45414.0</v>
      </c>
      <c r="F41" s="12">
        <v>21771.7</v>
      </c>
      <c r="G41" s="11">
        <v>-0.003756784</v>
      </c>
      <c r="H41" s="13">
        <v>-0.0038</v>
      </c>
      <c r="J41" s="9"/>
      <c r="K41" s="84"/>
      <c r="L41" s="11"/>
      <c r="M41" s="11"/>
      <c r="N41" s="11"/>
    </row>
    <row r="42" ht="15.75" customHeight="1">
      <c r="A42" s="35">
        <v>45324.0</v>
      </c>
      <c r="B42" s="38">
        <v>14.05</v>
      </c>
      <c r="C42" s="11">
        <f t="shared" si="1"/>
        <v>-0.007067137809</v>
      </c>
      <c r="D42" s="13">
        <f t="shared" si="2"/>
        <v>-0.007067137809</v>
      </c>
      <c r="E42" s="35">
        <v>45324.0</v>
      </c>
      <c r="F42" s="12">
        <v>21853.8</v>
      </c>
      <c r="G42" s="11">
        <v>0.007205916</v>
      </c>
      <c r="H42" s="13">
        <v>0.0072</v>
      </c>
    </row>
    <row r="43" ht="15.75" customHeight="1">
      <c r="A43" s="35">
        <v>45293.0</v>
      </c>
      <c r="B43" s="38">
        <v>14.15</v>
      </c>
      <c r="C43" s="11">
        <f t="shared" si="1"/>
        <v>-0.01393728223</v>
      </c>
      <c r="D43" s="13">
        <f t="shared" si="2"/>
        <v>-0.01393728223</v>
      </c>
      <c r="E43" s="35">
        <v>45293.0</v>
      </c>
      <c r="F43" s="12">
        <v>21697.45</v>
      </c>
      <c r="G43" s="11">
        <v>-0.001300303</v>
      </c>
      <c r="H43" s="13">
        <v>-0.0013</v>
      </c>
    </row>
    <row r="44" ht="15.75" customHeight="1">
      <c r="A44" s="11" t="s">
        <v>101</v>
      </c>
      <c r="B44" s="38">
        <v>14.35</v>
      </c>
      <c r="C44" s="11">
        <f t="shared" si="1"/>
        <v>-0.01034482759</v>
      </c>
      <c r="D44" s="13">
        <f t="shared" si="2"/>
        <v>-0.01034482759</v>
      </c>
      <c r="E44" s="11" t="s">
        <v>101</v>
      </c>
      <c r="F44" s="12">
        <v>21725.7</v>
      </c>
      <c r="G44" s="11">
        <v>0.009460043</v>
      </c>
      <c r="H44" s="13">
        <v>0.0095</v>
      </c>
    </row>
    <row r="45" ht="15.75" customHeight="1">
      <c r="A45" s="11" t="s">
        <v>102</v>
      </c>
      <c r="B45" s="38">
        <v>14.5</v>
      </c>
      <c r="C45" s="11">
        <f t="shared" si="1"/>
        <v>-0.01360544218</v>
      </c>
      <c r="D45" s="13">
        <f t="shared" si="2"/>
        <v>-0.01360544218</v>
      </c>
      <c r="E45" s="11" t="s">
        <v>102</v>
      </c>
      <c r="F45" s="12">
        <v>21522.1</v>
      </c>
      <c r="G45" s="11">
        <v>-0.009913698</v>
      </c>
      <c r="H45" s="13">
        <v>-0.0099</v>
      </c>
    </row>
    <row r="46" ht="15.75" customHeight="1">
      <c r="A46" s="11" t="s">
        <v>103</v>
      </c>
      <c r="B46" s="38">
        <v>14.7</v>
      </c>
      <c r="C46" s="11">
        <f t="shared" si="1"/>
        <v>0.006849315068</v>
      </c>
      <c r="D46" s="13">
        <f t="shared" si="2"/>
        <v>0.006849315068</v>
      </c>
      <c r="E46" s="11" t="s">
        <v>103</v>
      </c>
      <c r="F46" s="12">
        <v>21737.6</v>
      </c>
      <c r="G46" s="11">
        <v>0.018030591</v>
      </c>
      <c r="H46" s="13">
        <v>0.018</v>
      </c>
    </row>
    <row r="47" ht="15.75" customHeight="1">
      <c r="A47" s="11" t="s">
        <v>104</v>
      </c>
      <c r="B47" s="38">
        <v>14.6</v>
      </c>
      <c r="C47" s="11">
        <f t="shared" si="1"/>
        <v>-0.02013422819</v>
      </c>
      <c r="D47" s="13">
        <f t="shared" si="2"/>
        <v>-0.02013422819</v>
      </c>
      <c r="E47" s="11" t="s">
        <v>104</v>
      </c>
      <c r="F47" s="12">
        <v>21352.6</v>
      </c>
      <c r="G47" s="11">
        <v>-0.004724072</v>
      </c>
      <c r="H47" s="13">
        <v>-0.0047</v>
      </c>
    </row>
    <row r="48" ht="15.75" customHeight="1">
      <c r="A48" s="11" t="s">
        <v>105</v>
      </c>
      <c r="B48" s="38">
        <v>14.9</v>
      </c>
      <c r="C48" s="11">
        <f t="shared" si="1"/>
        <v>0.03472222222</v>
      </c>
      <c r="D48" s="13">
        <f t="shared" si="2"/>
        <v>0.03472222222</v>
      </c>
      <c r="E48" s="11" t="s">
        <v>105</v>
      </c>
      <c r="F48" s="12">
        <v>21453.95</v>
      </c>
      <c r="G48" s="11">
        <v>0.010130045</v>
      </c>
      <c r="H48" s="13">
        <v>0.0101</v>
      </c>
    </row>
    <row r="49" ht="15.75" customHeight="1">
      <c r="A49" s="11" t="s">
        <v>106</v>
      </c>
      <c r="B49" s="38">
        <v>14.4</v>
      </c>
      <c r="C49" s="11">
        <f t="shared" si="1"/>
        <v>-0.04</v>
      </c>
      <c r="D49" s="13">
        <f t="shared" si="2"/>
        <v>-0.04</v>
      </c>
      <c r="E49" s="11" t="s">
        <v>106</v>
      </c>
      <c r="F49" s="12">
        <v>21238.8</v>
      </c>
      <c r="G49" s="11">
        <v>-0.01543682</v>
      </c>
      <c r="H49" s="13">
        <v>-0.0154</v>
      </c>
    </row>
    <row r="50" ht="15.75" customHeight="1">
      <c r="A50" s="11" t="s">
        <v>107</v>
      </c>
      <c r="B50" s="38">
        <v>15.0</v>
      </c>
      <c r="C50" s="11">
        <f t="shared" si="1"/>
        <v>-0.006622516556</v>
      </c>
      <c r="D50" s="13">
        <f t="shared" si="2"/>
        <v>-0.006622516556</v>
      </c>
      <c r="E50" s="11" t="s">
        <v>107</v>
      </c>
      <c r="F50" s="12">
        <v>21571.8</v>
      </c>
      <c r="G50" s="11">
        <v>-0.002340166</v>
      </c>
      <c r="H50" s="13">
        <v>-0.0023</v>
      </c>
    </row>
    <row r="51" ht="15.75" customHeight="1">
      <c r="A51" s="11" t="s">
        <v>108</v>
      </c>
      <c r="B51" s="38">
        <v>15.1</v>
      </c>
      <c r="C51" s="11">
        <f t="shared" si="1"/>
        <v>0</v>
      </c>
      <c r="D51" s="13">
        <f t="shared" si="2"/>
        <v>0</v>
      </c>
      <c r="E51" s="11" t="s">
        <v>108</v>
      </c>
      <c r="F51" s="12">
        <v>21622.4</v>
      </c>
      <c r="G51" s="11">
        <v>0.007461939</v>
      </c>
      <c r="H51" s="13">
        <v>0.0075</v>
      </c>
    </row>
    <row r="52" ht="15.75" customHeight="1">
      <c r="A52" s="11" t="s">
        <v>109</v>
      </c>
      <c r="B52" s="38">
        <v>15.1</v>
      </c>
      <c r="C52" s="11">
        <f t="shared" si="1"/>
        <v>0</v>
      </c>
      <c r="D52" s="13">
        <f t="shared" si="2"/>
        <v>0</v>
      </c>
      <c r="E52" s="11" t="s">
        <v>109</v>
      </c>
      <c r="F52" s="12">
        <v>21462.25</v>
      </c>
      <c r="G52" s="11">
        <v>-0.005085308</v>
      </c>
      <c r="H52" s="13">
        <v>-0.0051</v>
      </c>
    </row>
    <row r="53" ht="15.75" customHeight="1">
      <c r="A53" s="11" t="s">
        <v>110</v>
      </c>
      <c r="B53" s="38">
        <v>15.1</v>
      </c>
      <c r="C53" s="11">
        <f t="shared" si="1"/>
        <v>-0.04126984127</v>
      </c>
      <c r="D53" s="13">
        <f t="shared" si="2"/>
        <v>-0.04126984127</v>
      </c>
      <c r="E53" s="11" t="s">
        <v>110</v>
      </c>
      <c r="F53" s="12">
        <v>21571.95</v>
      </c>
      <c r="G53" s="11">
        <v>-0.020894323</v>
      </c>
      <c r="H53" s="13">
        <v>-0.0209</v>
      </c>
    </row>
    <row r="54" ht="15.75" customHeight="1">
      <c r="A54" s="11" t="s">
        <v>111</v>
      </c>
      <c r="B54" s="38">
        <v>15.75</v>
      </c>
      <c r="C54" s="11">
        <f t="shared" si="1"/>
        <v>-0.04545454545</v>
      </c>
      <c r="D54" s="13">
        <f t="shared" si="2"/>
        <v>-0.04545454545</v>
      </c>
      <c r="E54" s="11" t="s">
        <v>111</v>
      </c>
      <c r="F54" s="12">
        <v>22032.3</v>
      </c>
      <c r="G54" s="11">
        <v>-0.002948304</v>
      </c>
      <c r="H54" s="13">
        <v>-0.0029</v>
      </c>
    </row>
    <row r="55" ht="15.75" customHeight="1">
      <c r="A55" s="11" t="s">
        <v>112</v>
      </c>
      <c r="B55" s="38">
        <v>16.5</v>
      </c>
      <c r="C55" s="11">
        <f t="shared" si="1"/>
        <v>0.04100946372</v>
      </c>
      <c r="D55" s="13">
        <f t="shared" si="2"/>
        <v>0.04100946372</v>
      </c>
      <c r="E55" s="11" t="s">
        <v>112</v>
      </c>
      <c r="F55" s="12">
        <v>22097.45</v>
      </c>
      <c r="G55" s="11">
        <v>0.009267146</v>
      </c>
      <c r="H55" s="13">
        <v>0.0093</v>
      </c>
    </row>
    <row r="56" ht="15.75" customHeight="1">
      <c r="A56" s="35">
        <v>45627.0</v>
      </c>
      <c r="B56" s="38">
        <v>15.85</v>
      </c>
      <c r="C56" s="11">
        <f t="shared" si="1"/>
        <v>-0.01246105919</v>
      </c>
      <c r="D56" s="13">
        <f t="shared" si="2"/>
        <v>-0.01246105919</v>
      </c>
      <c r="E56" s="35">
        <v>45627.0</v>
      </c>
      <c r="F56" s="12">
        <v>21894.55</v>
      </c>
      <c r="G56" s="11">
        <v>0.01142642</v>
      </c>
      <c r="H56" s="13">
        <v>0.0114</v>
      </c>
    </row>
    <row r="57" ht="15.75" customHeight="1">
      <c r="A57" s="35">
        <v>45597.0</v>
      </c>
      <c r="B57" s="38">
        <v>16.05</v>
      </c>
      <c r="C57" s="11">
        <f t="shared" si="1"/>
        <v>-0.006191950464</v>
      </c>
      <c r="D57" s="13">
        <f t="shared" si="2"/>
        <v>-0.006191950464</v>
      </c>
      <c r="E57" s="35">
        <v>45597.0</v>
      </c>
      <c r="F57" s="12">
        <v>21647.2</v>
      </c>
      <c r="G57" s="11">
        <v>0.001318303</v>
      </c>
      <c r="H57" s="13">
        <v>0.0013</v>
      </c>
      <c r="J57" s="15"/>
      <c r="K57" s="11"/>
      <c r="L57" s="11"/>
      <c r="M57" s="11"/>
      <c r="N57" s="11"/>
    </row>
    <row r="58" ht="15.75" customHeight="1">
      <c r="A58" s="35">
        <v>45566.0</v>
      </c>
      <c r="B58" s="38">
        <v>16.15</v>
      </c>
      <c r="C58" s="11">
        <f t="shared" si="1"/>
        <v>-0.003086419753</v>
      </c>
      <c r="D58" s="13">
        <f t="shared" si="2"/>
        <v>-0.003086419753</v>
      </c>
      <c r="E58" s="35">
        <v>45566.0</v>
      </c>
      <c r="F58" s="12">
        <v>21618.7</v>
      </c>
      <c r="G58" s="11">
        <v>0.003427733</v>
      </c>
      <c r="H58" s="13">
        <v>0.0034</v>
      </c>
      <c r="J58" s="15"/>
      <c r="K58" s="11"/>
      <c r="L58" s="11"/>
      <c r="M58" s="11"/>
      <c r="N58" s="11"/>
    </row>
    <row r="59" ht="15.75" customHeight="1">
      <c r="A59" s="35">
        <v>45536.0</v>
      </c>
      <c r="B59" s="38">
        <v>16.2</v>
      </c>
      <c r="C59" s="11">
        <f t="shared" si="1"/>
        <v>-0.05539358601</v>
      </c>
      <c r="D59" s="13">
        <f t="shared" si="2"/>
        <v>-0.05539358601</v>
      </c>
      <c r="E59" s="35">
        <v>45536.0</v>
      </c>
      <c r="F59" s="12">
        <v>21544.85</v>
      </c>
      <c r="G59" s="11">
        <v>0.0014805</v>
      </c>
      <c r="H59" s="13">
        <v>0.0015</v>
      </c>
      <c r="J59" s="15"/>
      <c r="K59" s="11"/>
      <c r="L59" s="11"/>
      <c r="M59" s="11"/>
      <c r="N59" s="11"/>
    </row>
    <row r="60" ht="15.75" customHeight="1">
      <c r="A60" s="35">
        <v>45505.0</v>
      </c>
      <c r="B60" s="38">
        <v>17.15</v>
      </c>
      <c r="C60" s="11">
        <f t="shared" si="1"/>
        <v>0.002923976608</v>
      </c>
      <c r="D60" s="13">
        <f t="shared" si="2"/>
        <v>0.002923976608</v>
      </c>
      <c r="E60" s="35">
        <v>45505.0</v>
      </c>
      <c r="F60" s="12">
        <v>21513.0</v>
      </c>
      <c r="G60" s="11">
        <v>-0.009110673</v>
      </c>
      <c r="H60" s="13">
        <v>-0.0091</v>
      </c>
      <c r="J60" s="78" t="s">
        <v>100</v>
      </c>
      <c r="K60" s="84">
        <v>0.088</v>
      </c>
      <c r="L60" s="11"/>
      <c r="M60" s="11"/>
      <c r="N60" s="11"/>
    </row>
    <row r="61" ht="15.75" customHeight="1">
      <c r="A61" s="35">
        <v>45413.0</v>
      </c>
      <c r="B61" s="38">
        <v>17.1</v>
      </c>
      <c r="C61" s="11">
        <f t="shared" si="1"/>
        <v>0.01785714286</v>
      </c>
      <c r="D61" s="13">
        <f t="shared" si="2"/>
        <v>0.01785714286</v>
      </c>
      <c r="E61" s="35">
        <v>45413.0</v>
      </c>
      <c r="F61" s="12">
        <v>21710.8</v>
      </c>
      <c r="G61" s="11">
        <v>0.002410128</v>
      </c>
      <c r="H61" s="13">
        <v>0.0024</v>
      </c>
      <c r="J61" s="15"/>
      <c r="K61" s="11"/>
      <c r="L61" s="11"/>
      <c r="M61" s="11"/>
      <c r="N61" s="11"/>
    </row>
    <row r="62" ht="15.75" customHeight="1">
      <c r="A62" s="35">
        <v>45383.0</v>
      </c>
      <c r="B62" s="38">
        <v>16.8</v>
      </c>
      <c r="C62" s="11">
        <f t="shared" si="1"/>
        <v>0.05993690852</v>
      </c>
      <c r="D62" s="13">
        <f t="shared" si="2"/>
        <v>0.05993690852</v>
      </c>
      <c r="E62" s="35">
        <v>45383.0</v>
      </c>
      <c r="F62" s="12">
        <v>21658.6</v>
      </c>
      <c r="G62" s="11">
        <v>0.00656447</v>
      </c>
      <c r="H62" s="13">
        <v>0.0066</v>
      </c>
      <c r="J62" s="15"/>
      <c r="K62" s="11"/>
      <c r="L62" s="11"/>
      <c r="M62" s="11"/>
      <c r="N62" s="11"/>
    </row>
    <row r="63" ht="15.75" customHeight="1">
      <c r="A63" s="35">
        <v>45352.0</v>
      </c>
      <c r="B63" s="38">
        <v>15.85</v>
      </c>
      <c r="C63" s="11">
        <f t="shared" si="1"/>
        <v>-0.01246105919</v>
      </c>
      <c r="D63" s="13">
        <f t="shared" si="2"/>
        <v>-0.01246105919</v>
      </c>
      <c r="E63" s="35">
        <v>45352.0</v>
      </c>
      <c r="F63" s="12">
        <v>21517.35</v>
      </c>
      <c r="G63" s="11">
        <v>-0.006851813</v>
      </c>
      <c r="H63" s="13">
        <v>-0.0069</v>
      </c>
      <c r="J63" s="15"/>
      <c r="K63" s="11"/>
      <c r="L63" s="11"/>
      <c r="M63" s="11"/>
      <c r="N63" s="11"/>
    </row>
    <row r="64" ht="15.75" customHeight="1">
      <c r="A64" s="35">
        <v>45323.0</v>
      </c>
      <c r="B64" s="38">
        <v>16.05</v>
      </c>
      <c r="C64" s="11">
        <f t="shared" si="1"/>
        <v>-0.05588235294</v>
      </c>
      <c r="D64" s="13">
        <f t="shared" si="2"/>
        <v>-0.05588235294</v>
      </c>
      <c r="E64" s="35">
        <v>45323.0</v>
      </c>
      <c r="F64" s="12">
        <v>21665.8</v>
      </c>
      <c r="G64" s="11">
        <v>-0.003500154</v>
      </c>
      <c r="H64" s="13">
        <v>-0.0035</v>
      </c>
      <c r="I64" s="11"/>
      <c r="J64" s="15"/>
      <c r="K64" s="11"/>
      <c r="L64" s="11"/>
      <c r="M64" s="11"/>
      <c r="N64" s="11"/>
    </row>
    <row r="65" ht="15.75" customHeight="1">
      <c r="A65" s="35">
        <v>45292.0</v>
      </c>
      <c r="B65" s="38">
        <v>17.0</v>
      </c>
      <c r="C65" s="11">
        <f t="shared" si="1"/>
        <v>0.0625</v>
      </c>
      <c r="D65" s="13">
        <f t="shared" si="2"/>
        <v>0.0625</v>
      </c>
      <c r="E65" s="35">
        <v>45292.0</v>
      </c>
      <c r="F65" s="12">
        <v>21741.9</v>
      </c>
      <c r="G65" s="11">
        <v>4.83172E-4</v>
      </c>
      <c r="H65" s="13">
        <v>5.0E-4</v>
      </c>
      <c r="I65" s="11"/>
      <c r="J65" s="78" t="s">
        <v>116</v>
      </c>
      <c r="K65" s="74" t="s">
        <v>117</v>
      </c>
      <c r="L65" s="6"/>
      <c r="N65" s="6"/>
    </row>
    <row r="66" ht="15.75" customHeight="1">
      <c r="A66" s="11" t="s">
        <v>119</v>
      </c>
      <c r="B66" s="38">
        <v>16.0</v>
      </c>
      <c r="C66" s="11">
        <f t="shared" si="1"/>
        <v>0.2075471698</v>
      </c>
      <c r="D66" s="13">
        <f t="shared" si="2"/>
        <v>0.2075471698</v>
      </c>
      <c r="E66" s="11" t="s">
        <v>119</v>
      </c>
      <c r="F66" s="12">
        <v>21731.4</v>
      </c>
      <c r="G66" s="11">
        <v>-0.002171847</v>
      </c>
      <c r="H66" s="13">
        <v>-0.0022</v>
      </c>
      <c r="I66" s="11"/>
      <c r="J66" s="86">
        <f>_xlfn.VAR.S(C4:C745)</f>
        <v>0.001476615466</v>
      </c>
      <c r="K66" s="87">
        <f>_xlfn.VAR.P(G3:G745)</f>
        <v>0.00007456432323</v>
      </c>
      <c r="L66" s="11"/>
      <c r="N66" s="11"/>
    </row>
    <row r="67" ht="15.75" customHeight="1">
      <c r="A67" s="11" t="s">
        <v>120</v>
      </c>
      <c r="B67" s="38">
        <v>13.25</v>
      </c>
      <c r="C67" s="11">
        <f t="shared" si="1"/>
        <v>-0.01486988848</v>
      </c>
      <c r="D67" s="13">
        <f t="shared" si="2"/>
        <v>-0.01486988848</v>
      </c>
      <c r="E67" s="11" t="s">
        <v>120</v>
      </c>
      <c r="F67" s="12">
        <v>21778.7</v>
      </c>
      <c r="G67" s="11">
        <v>0.005723917</v>
      </c>
      <c r="H67" s="13">
        <v>0.0057</v>
      </c>
      <c r="I67" s="11"/>
      <c r="J67" s="15"/>
      <c r="K67" s="11"/>
      <c r="L67" s="11"/>
      <c r="M67" s="11"/>
      <c r="N67" s="11"/>
    </row>
    <row r="68" ht="15.75" customHeight="1">
      <c r="A68" s="11" t="s">
        <v>121</v>
      </c>
      <c r="B68" s="38">
        <v>13.45</v>
      </c>
      <c r="C68" s="11">
        <f t="shared" si="1"/>
        <v>0.007490636704</v>
      </c>
      <c r="D68" s="13">
        <f t="shared" si="2"/>
        <v>0.007490636704</v>
      </c>
      <c r="E68" s="11" t="s">
        <v>121</v>
      </c>
      <c r="F68" s="12">
        <v>21654.75</v>
      </c>
      <c r="G68" s="11">
        <v>0.009952732</v>
      </c>
      <c r="H68" s="13">
        <v>0.01</v>
      </c>
      <c r="I68" s="11"/>
      <c r="J68" s="74" t="s">
        <v>123</v>
      </c>
      <c r="K68" s="87">
        <f>J66-K69</f>
        <v>0.001355741353</v>
      </c>
      <c r="L68" s="11"/>
    </row>
    <row r="69" ht="15.75" customHeight="1">
      <c r="A69" s="11" t="s">
        <v>125</v>
      </c>
      <c r="B69" s="38">
        <v>13.35</v>
      </c>
      <c r="C69" s="11">
        <f t="shared" si="1"/>
        <v>-0.01838235294</v>
      </c>
      <c r="D69" s="13">
        <f t="shared" si="2"/>
        <v>-0.01838235294</v>
      </c>
      <c r="E69" s="11" t="s">
        <v>125</v>
      </c>
      <c r="F69" s="12">
        <v>21441.35</v>
      </c>
      <c r="G69" s="11">
        <v>0.004306913</v>
      </c>
      <c r="H69" s="13">
        <v>0.0043</v>
      </c>
      <c r="J69" s="74" t="s">
        <v>54</v>
      </c>
      <c r="K69" s="87">
        <f>K66*K9^2</f>
        <v>0.0001208741122</v>
      </c>
    </row>
    <row r="70" ht="15.75" customHeight="1">
      <c r="A70" s="11" t="s">
        <v>127</v>
      </c>
      <c r="B70" s="38">
        <v>13.6</v>
      </c>
      <c r="C70" s="11">
        <f t="shared" si="1"/>
        <v>-0.003663003663</v>
      </c>
      <c r="D70" s="13">
        <f t="shared" si="2"/>
        <v>-0.003663003663</v>
      </c>
      <c r="E70" s="11" t="s">
        <v>127</v>
      </c>
      <c r="F70" s="12">
        <v>21349.4</v>
      </c>
      <c r="G70" s="11">
        <v>0.004438945</v>
      </c>
      <c r="H70" s="13">
        <v>0.0044</v>
      </c>
      <c r="K70" s="11"/>
    </row>
    <row r="71" ht="15.75" customHeight="1">
      <c r="A71" s="11" t="s">
        <v>129</v>
      </c>
      <c r="B71" s="38">
        <v>13.65</v>
      </c>
      <c r="C71" s="11">
        <f t="shared" si="1"/>
        <v>0.04198473282</v>
      </c>
      <c r="D71" s="13">
        <f t="shared" si="2"/>
        <v>0.04198473282</v>
      </c>
      <c r="E71" s="11" t="s">
        <v>129</v>
      </c>
      <c r="F71" s="12">
        <v>21255.05</v>
      </c>
      <c r="G71" s="11">
        <v>0.004959776</v>
      </c>
      <c r="H71" s="13">
        <v>0.005</v>
      </c>
    </row>
    <row r="72" ht="15.75" customHeight="1">
      <c r="A72" s="11" t="s">
        <v>130</v>
      </c>
      <c r="B72" s="38">
        <v>13.1</v>
      </c>
      <c r="C72" s="11">
        <f t="shared" si="1"/>
        <v>-0.06428571429</v>
      </c>
      <c r="D72" s="13">
        <f t="shared" si="2"/>
        <v>-0.06428571429</v>
      </c>
      <c r="E72" s="11" t="s">
        <v>130</v>
      </c>
      <c r="F72" s="12">
        <v>21150.15</v>
      </c>
      <c r="G72" s="11">
        <v>-0.014121502</v>
      </c>
      <c r="H72" s="13">
        <v>-0.0141</v>
      </c>
      <c r="I72" s="11"/>
      <c r="J72" s="15"/>
      <c r="K72" s="11"/>
      <c r="L72" s="11"/>
    </row>
    <row r="73" ht="15.75" customHeight="1">
      <c r="A73" s="11" t="s">
        <v>132</v>
      </c>
      <c r="B73" s="38">
        <v>14.0</v>
      </c>
      <c r="C73" s="11">
        <f t="shared" si="1"/>
        <v>-0.007092198582</v>
      </c>
      <c r="D73" s="13">
        <f t="shared" si="2"/>
        <v>-0.007092198582</v>
      </c>
      <c r="E73" s="11" t="s">
        <v>132</v>
      </c>
      <c r="F73" s="12">
        <v>21453.1</v>
      </c>
      <c r="G73" s="11">
        <v>0.001608411</v>
      </c>
      <c r="H73" s="13">
        <v>0.0016</v>
      </c>
      <c r="J73" s="15"/>
      <c r="K73" s="11"/>
      <c r="L73" s="11"/>
      <c r="M73" s="11"/>
      <c r="N73" s="11"/>
    </row>
    <row r="74" ht="15.75" customHeight="1">
      <c r="A74" s="11" t="s">
        <v>133</v>
      </c>
      <c r="B74" s="38">
        <v>14.1</v>
      </c>
      <c r="C74" s="11">
        <f t="shared" si="1"/>
        <v>0.003558718861</v>
      </c>
      <c r="D74" s="13">
        <f t="shared" si="2"/>
        <v>0.003558718861</v>
      </c>
      <c r="E74" s="11" t="s">
        <v>133</v>
      </c>
      <c r="F74" s="12">
        <v>21418.65</v>
      </c>
      <c r="G74" s="11">
        <v>-0.001771013</v>
      </c>
      <c r="H74" s="13">
        <v>-0.0018</v>
      </c>
      <c r="J74" s="15"/>
      <c r="K74" s="11"/>
      <c r="L74" s="11"/>
      <c r="M74" s="11"/>
      <c r="N74" s="11"/>
    </row>
    <row r="75" ht="15.75" customHeight="1">
      <c r="A75" s="11" t="s">
        <v>134</v>
      </c>
      <c r="B75" s="38">
        <v>14.05</v>
      </c>
      <c r="C75" s="11">
        <f t="shared" si="1"/>
        <v>0.007168458781</v>
      </c>
      <c r="D75" s="13">
        <f t="shared" si="2"/>
        <v>0.007168458781</v>
      </c>
      <c r="E75" s="11" t="s">
        <v>134</v>
      </c>
      <c r="F75" s="12">
        <v>21456.65</v>
      </c>
      <c r="G75" s="11">
        <v>0.012932723</v>
      </c>
      <c r="H75" s="13">
        <v>0.0129</v>
      </c>
      <c r="J75" s="15"/>
      <c r="K75" s="11"/>
      <c r="L75" s="11"/>
      <c r="M75" s="11"/>
      <c r="N75" s="11"/>
    </row>
    <row r="76" ht="15.75" customHeight="1">
      <c r="A76" s="11" t="s">
        <v>135</v>
      </c>
      <c r="B76" s="38">
        <v>13.95</v>
      </c>
      <c r="C76" s="11">
        <f t="shared" si="1"/>
        <v>0.05681818182</v>
      </c>
      <c r="D76" s="13">
        <f t="shared" si="2"/>
        <v>0.05681818182</v>
      </c>
      <c r="E76" s="11" t="s">
        <v>135</v>
      </c>
      <c r="F76" s="12">
        <v>21182.7</v>
      </c>
      <c r="G76" s="11">
        <v>0.012250106</v>
      </c>
      <c r="H76" s="13">
        <v>0.0123</v>
      </c>
      <c r="J76" s="15"/>
      <c r="K76" s="11"/>
      <c r="L76" s="11"/>
      <c r="M76" s="11"/>
      <c r="N76" s="11"/>
    </row>
    <row r="77" ht="15.75" customHeight="1">
      <c r="A77" s="11" t="s">
        <v>136</v>
      </c>
      <c r="B77" s="38">
        <v>13.2</v>
      </c>
      <c r="C77" s="11">
        <f t="shared" si="1"/>
        <v>0.003802281369</v>
      </c>
      <c r="D77" s="13">
        <f t="shared" si="2"/>
        <v>0.003802281369</v>
      </c>
      <c r="E77" s="11" t="s">
        <v>136</v>
      </c>
      <c r="F77" s="12">
        <v>20926.35</v>
      </c>
      <c r="G77" s="11">
        <v>9.54253E-4</v>
      </c>
      <c r="H77" s="13">
        <v>0.001</v>
      </c>
      <c r="J77" s="15"/>
      <c r="K77" s="11"/>
      <c r="L77" s="11"/>
      <c r="M77" s="11"/>
      <c r="N77" s="11"/>
    </row>
    <row r="78" ht="15.75" customHeight="1">
      <c r="A78" s="55">
        <v>45272.0</v>
      </c>
      <c r="B78" s="38">
        <v>13.15</v>
      </c>
      <c r="C78" s="11">
        <f t="shared" si="1"/>
        <v>0</v>
      </c>
      <c r="D78" s="13">
        <f t="shared" si="2"/>
        <v>0</v>
      </c>
      <c r="E78" s="55">
        <v>45272.0</v>
      </c>
      <c r="F78" s="12">
        <v>20906.4</v>
      </c>
      <c r="G78" s="11">
        <v>-0.004319644</v>
      </c>
      <c r="H78" s="13">
        <v>-0.0043</v>
      </c>
      <c r="J78" s="15"/>
      <c r="K78" s="11"/>
      <c r="L78" s="11"/>
      <c r="M78" s="11"/>
      <c r="N78" s="11"/>
    </row>
    <row r="79" ht="15.75" customHeight="1">
      <c r="A79" s="55">
        <v>45242.0</v>
      </c>
      <c r="B79" s="38">
        <v>13.15</v>
      </c>
      <c r="C79" s="11">
        <f t="shared" si="1"/>
        <v>0.01937984496</v>
      </c>
      <c r="D79" s="13">
        <f t="shared" si="2"/>
        <v>0.01937984496</v>
      </c>
      <c r="E79" s="55">
        <v>45242.0</v>
      </c>
      <c r="F79" s="12">
        <v>20997.1</v>
      </c>
      <c r="G79" s="11">
        <v>0.001320972</v>
      </c>
      <c r="H79" s="13">
        <v>0.0013</v>
      </c>
      <c r="J79" s="15"/>
      <c r="K79" s="11"/>
      <c r="L79" s="11"/>
      <c r="M79" s="11"/>
      <c r="N79" s="11"/>
    </row>
    <row r="80" ht="15.75" customHeight="1">
      <c r="A80" s="35">
        <v>45150.0</v>
      </c>
      <c r="B80" s="38">
        <v>12.9</v>
      </c>
      <c r="C80" s="11">
        <f t="shared" si="1"/>
        <v>-0.02272727273</v>
      </c>
      <c r="D80" s="13">
        <f t="shared" si="2"/>
        <v>-0.02272727273</v>
      </c>
      <c r="E80" s="35">
        <v>45150.0</v>
      </c>
      <c r="F80" s="12">
        <v>20969.4</v>
      </c>
      <c r="G80" s="11">
        <v>0.003265371</v>
      </c>
      <c r="H80" s="13">
        <v>0.0033</v>
      </c>
      <c r="J80" s="15"/>
      <c r="K80" s="11"/>
      <c r="L80" s="11"/>
      <c r="M80" s="11"/>
      <c r="N80" s="11"/>
    </row>
    <row r="81" ht="15.75" customHeight="1">
      <c r="A81" s="35">
        <v>45119.0</v>
      </c>
      <c r="B81" s="38">
        <v>13.2</v>
      </c>
      <c r="C81" s="11">
        <f t="shared" si="1"/>
        <v>0.02723735409</v>
      </c>
      <c r="D81" s="13">
        <f t="shared" si="2"/>
        <v>0.02723735409</v>
      </c>
      <c r="E81" s="35">
        <v>45119.0</v>
      </c>
      <c r="F81" s="12">
        <v>20901.15</v>
      </c>
      <c r="G81" s="11">
        <v>-0.001745655</v>
      </c>
      <c r="H81" s="13">
        <v>-0.0017</v>
      </c>
      <c r="J81" s="15"/>
      <c r="K81" s="11"/>
      <c r="L81" s="11"/>
      <c r="M81" s="11"/>
      <c r="N81" s="11"/>
    </row>
    <row r="82" ht="15.75" customHeight="1">
      <c r="A82" s="35">
        <v>45089.0</v>
      </c>
      <c r="B82" s="38">
        <v>12.85</v>
      </c>
      <c r="C82" s="11">
        <f t="shared" si="1"/>
        <v>-0.0153256705</v>
      </c>
      <c r="D82" s="13">
        <f t="shared" si="2"/>
        <v>-0.0153256705</v>
      </c>
      <c r="E82" s="35">
        <v>45089.0</v>
      </c>
      <c r="F82" s="12">
        <v>20937.7</v>
      </c>
      <c r="G82" s="11">
        <v>0.003960662</v>
      </c>
      <c r="H82" s="13">
        <v>0.004</v>
      </c>
      <c r="J82" s="15"/>
      <c r="K82" s="11"/>
      <c r="L82" s="11"/>
      <c r="M82" s="11"/>
      <c r="N82" s="11"/>
    </row>
    <row r="83" ht="15.75" customHeight="1">
      <c r="A83" s="35">
        <v>45058.0</v>
      </c>
      <c r="B83" s="38">
        <v>13.05</v>
      </c>
      <c r="C83" s="11">
        <f t="shared" si="1"/>
        <v>-0.007604562738</v>
      </c>
      <c r="D83" s="13">
        <f t="shared" si="2"/>
        <v>-0.007604562738</v>
      </c>
      <c r="E83" s="35">
        <v>45058.0</v>
      </c>
      <c r="F83" s="12">
        <v>20855.1</v>
      </c>
      <c r="G83" s="11">
        <v>0.008135623</v>
      </c>
      <c r="H83" s="13">
        <v>0.0081</v>
      </c>
      <c r="I83" s="11"/>
      <c r="J83" s="15"/>
      <c r="K83" s="11"/>
      <c r="L83" s="11"/>
      <c r="M83" s="11"/>
      <c r="N83" s="11"/>
    </row>
    <row r="84" ht="15.75" customHeight="1">
      <c r="A84" s="35">
        <v>45028.0</v>
      </c>
      <c r="B84" s="38">
        <v>13.15</v>
      </c>
      <c r="C84" s="11">
        <f t="shared" si="1"/>
        <v>-0.007547169811</v>
      </c>
      <c r="D84" s="13">
        <f t="shared" si="2"/>
        <v>-0.007547169811</v>
      </c>
      <c r="E84" s="35">
        <v>45028.0</v>
      </c>
      <c r="F84" s="12">
        <v>20686.8</v>
      </c>
      <c r="G84" s="11">
        <v>0.02066815</v>
      </c>
      <c r="H84" s="13">
        <v>0.0207</v>
      </c>
      <c r="J84" s="56"/>
      <c r="K84" s="11"/>
      <c r="L84" s="11"/>
      <c r="M84" s="11"/>
      <c r="N84" s="11"/>
    </row>
    <row r="85" ht="15.75" customHeight="1">
      <c r="A85" s="35">
        <v>44938.0</v>
      </c>
      <c r="B85" s="38">
        <v>13.25</v>
      </c>
      <c r="C85" s="11">
        <f t="shared" si="1"/>
        <v>0.0153256705</v>
      </c>
      <c r="D85" s="13">
        <f t="shared" si="2"/>
        <v>0.0153256705</v>
      </c>
      <c r="E85" s="35">
        <v>44938.0</v>
      </c>
      <c r="F85" s="12">
        <v>20267.9</v>
      </c>
      <c r="G85" s="11">
        <v>0.006692942</v>
      </c>
      <c r="H85" s="13">
        <v>0.0067</v>
      </c>
      <c r="J85" s="15"/>
      <c r="K85" s="11"/>
      <c r="L85" s="11"/>
      <c r="M85" s="11"/>
      <c r="N85" s="11"/>
    </row>
    <row r="86" ht="15.75" customHeight="1">
      <c r="A86" s="11" t="s">
        <v>140</v>
      </c>
      <c r="B86" s="38">
        <v>13.05</v>
      </c>
      <c r="C86" s="11">
        <f t="shared" si="1"/>
        <v>-0.01136363636</v>
      </c>
      <c r="D86" s="13">
        <f t="shared" si="2"/>
        <v>-0.01136363636</v>
      </c>
      <c r="E86" s="11" t="s">
        <v>140</v>
      </c>
      <c r="F86" s="12">
        <v>20133.15</v>
      </c>
      <c r="G86" s="11">
        <v>0.001818716</v>
      </c>
      <c r="H86" s="13">
        <v>0.0018</v>
      </c>
      <c r="J86" s="15"/>
      <c r="K86" s="11"/>
      <c r="L86" s="11"/>
      <c r="M86" s="13"/>
      <c r="N86" s="11"/>
    </row>
    <row r="87" ht="15.75" customHeight="1">
      <c r="A87" s="11" t="s">
        <v>141</v>
      </c>
      <c r="B87" s="38">
        <v>13.2</v>
      </c>
      <c r="C87" s="11">
        <f t="shared" si="1"/>
        <v>-0.003773584906</v>
      </c>
      <c r="D87" s="13">
        <f t="shared" si="2"/>
        <v>-0.003773584906</v>
      </c>
      <c r="E87" s="11" t="s">
        <v>141</v>
      </c>
      <c r="F87" s="12">
        <v>20096.6</v>
      </c>
      <c r="G87" s="11">
        <v>0.010402369</v>
      </c>
      <c r="H87" s="13">
        <v>0.0104</v>
      </c>
      <c r="J87" s="15"/>
      <c r="K87" s="11"/>
      <c r="L87" s="11"/>
      <c r="M87" s="13"/>
      <c r="N87" s="11"/>
    </row>
    <row r="88" ht="15.75" customHeight="1">
      <c r="A88" s="11" t="s">
        <v>142</v>
      </c>
      <c r="B88" s="38">
        <v>13.25</v>
      </c>
      <c r="C88" s="11">
        <f t="shared" si="1"/>
        <v>-0.007490636704</v>
      </c>
      <c r="D88" s="13">
        <f t="shared" si="2"/>
        <v>-0.007490636704</v>
      </c>
      <c r="E88" s="11" t="s">
        <v>142</v>
      </c>
      <c r="F88" s="12">
        <v>19889.7</v>
      </c>
      <c r="G88" s="11">
        <v>0.004799264</v>
      </c>
      <c r="H88" s="13">
        <v>0.0048</v>
      </c>
      <c r="J88" s="15"/>
      <c r="K88" s="11"/>
      <c r="L88" s="11"/>
      <c r="M88" s="13"/>
      <c r="N88" s="11"/>
    </row>
    <row r="89" ht="15.75" customHeight="1">
      <c r="A89" s="11" t="s">
        <v>143</v>
      </c>
      <c r="B89" s="38">
        <v>13.35</v>
      </c>
      <c r="C89" s="11">
        <f t="shared" si="1"/>
        <v>-0.01838235294</v>
      </c>
      <c r="D89" s="13">
        <f t="shared" si="2"/>
        <v>-0.01838235294</v>
      </c>
      <c r="E89" s="11" t="s">
        <v>143</v>
      </c>
      <c r="F89" s="12">
        <v>19794.7</v>
      </c>
      <c r="G89" s="11">
        <v>-3.6865E-4</v>
      </c>
      <c r="H89" s="13">
        <v>-4.0E-4</v>
      </c>
      <c r="J89" s="9"/>
      <c r="K89" s="88"/>
      <c r="L89" s="6"/>
      <c r="M89" s="84"/>
      <c r="N89" s="11"/>
    </row>
    <row r="90" ht="15.75" customHeight="1">
      <c r="A90" s="11" t="s">
        <v>144</v>
      </c>
      <c r="B90" s="38">
        <v>13.6</v>
      </c>
      <c r="C90" s="11">
        <f t="shared" si="1"/>
        <v>0.007407407407</v>
      </c>
      <c r="D90" s="13">
        <f t="shared" si="2"/>
        <v>0.007407407407</v>
      </c>
      <c r="E90" s="11" t="s">
        <v>144</v>
      </c>
      <c r="F90" s="12">
        <v>19802.0</v>
      </c>
      <c r="G90" s="11">
        <v>-4.97177E-4</v>
      </c>
      <c r="H90" s="13">
        <v>-5.0E-4</v>
      </c>
      <c r="J90" s="15"/>
      <c r="K90" s="11"/>
      <c r="L90" s="11"/>
      <c r="M90" s="11"/>
      <c r="N90" s="11"/>
    </row>
    <row r="91" ht="15.75" customHeight="1">
      <c r="A91" s="11" t="s">
        <v>145</v>
      </c>
      <c r="B91" s="38">
        <v>13.5</v>
      </c>
      <c r="C91" s="11">
        <f t="shared" si="1"/>
        <v>-0.02527075812</v>
      </c>
      <c r="D91" s="13">
        <f t="shared" si="2"/>
        <v>-0.02527075812</v>
      </c>
      <c r="E91" s="11" t="s">
        <v>145</v>
      </c>
      <c r="F91" s="12">
        <v>19811.85</v>
      </c>
      <c r="G91" s="11">
        <v>0.001438074</v>
      </c>
      <c r="H91" s="13">
        <v>0.0014</v>
      </c>
      <c r="J91" s="15"/>
      <c r="K91" s="11"/>
      <c r="L91" s="11"/>
      <c r="M91" s="11"/>
      <c r="N91" s="11"/>
    </row>
    <row r="92" ht="15.75" customHeight="1">
      <c r="A92" s="11" t="s">
        <v>146</v>
      </c>
      <c r="B92" s="38">
        <v>13.85</v>
      </c>
      <c r="C92" s="11">
        <f t="shared" si="1"/>
        <v>-0.02120141343</v>
      </c>
      <c r="D92" s="13">
        <f t="shared" si="2"/>
        <v>-0.02120141343</v>
      </c>
      <c r="E92" s="11" t="s">
        <v>146</v>
      </c>
      <c r="F92" s="12">
        <v>19783.4</v>
      </c>
      <c r="G92" s="11">
        <v>0.004539454</v>
      </c>
      <c r="H92" s="13">
        <v>0.0045</v>
      </c>
      <c r="J92" s="15"/>
      <c r="K92" s="11"/>
      <c r="L92" s="11"/>
      <c r="M92" s="11"/>
      <c r="N92" s="11"/>
    </row>
    <row r="93" ht="15.75" customHeight="1">
      <c r="A93" s="11" t="s">
        <v>147</v>
      </c>
      <c r="B93" s="38">
        <v>14.15</v>
      </c>
      <c r="C93" s="11">
        <f t="shared" si="1"/>
        <v>-0.02749140893</v>
      </c>
      <c r="D93" s="13">
        <f t="shared" si="2"/>
        <v>-0.02749140893</v>
      </c>
      <c r="E93" s="11" t="s">
        <v>147</v>
      </c>
      <c r="F93" s="12">
        <v>19694.0</v>
      </c>
      <c r="G93" s="11">
        <v>-0.001915689</v>
      </c>
      <c r="H93" s="13">
        <v>-0.0019</v>
      </c>
      <c r="J93" s="15"/>
      <c r="K93" s="11"/>
      <c r="L93" s="11"/>
      <c r="M93" s="11"/>
      <c r="N93" s="11"/>
    </row>
    <row r="94" ht="15.75" customHeight="1">
      <c r="A94" s="11" t="s">
        <v>148</v>
      </c>
      <c r="B94" s="38">
        <v>14.55</v>
      </c>
      <c r="C94" s="11">
        <f t="shared" si="1"/>
        <v>0.01041666667</v>
      </c>
      <c r="D94" s="13">
        <f t="shared" si="2"/>
        <v>0.01041666667</v>
      </c>
      <c r="E94" s="11" t="s">
        <v>148</v>
      </c>
      <c r="F94" s="12">
        <v>19731.8</v>
      </c>
      <c r="G94" s="11">
        <v>-0.001689839</v>
      </c>
      <c r="H94" s="13">
        <v>-0.0017</v>
      </c>
      <c r="J94" s="15"/>
      <c r="K94" s="11"/>
      <c r="L94" s="11"/>
      <c r="M94" s="11"/>
      <c r="N94" s="11"/>
    </row>
    <row r="95" ht="15.75" customHeight="1">
      <c r="A95" s="11" t="s">
        <v>149</v>
      </c>
      <c r="B95" s="38">
        <v>14.4</v>
      </c>
      <c r="C95" s="11">
        <f t="shared" si="1"/>
        <v>0.02491103203</v>
      </c>
      <c r="D95" s="13">
        <f t="shared" si="2"/>
        <v>0.02491103203</v>
      </c>
      <c r="E95" s="11" t="s">
        <v>149</v>
      </c>
      <c r="F95" s="12">
        <v>19765.2</v>
      </c>
      <c r="G95" s="11">
        <v>0.004561522</v>
      </c>
      <c r="H95" s="13">
        <v>0.0046</v>
      </c>
      <c r="J95" s="15"/>
      <c r="K95" s="11"/>
      <c r="L95" s="11"/>
      <c r="M95" s="11"/>
      <c r="N95" s="11"/>
    </row>
    <row r="96" ht="15.75" customHeight="1">
      <c r="A96" s="11" t="s">
        <v>150</v>
      </c>
      <c r="B96" s="38">
        <v>14.05</v>
      </c>
      <c r="C96" s="11">
        <f t="shared" si="1"/>
        <v>0.007168458781</v>
      </c>
      <c r="D96" s="13">
        <f t="shared" si="2"/>
        <v>0.007168458781</v>
      </c>
      <c r="E96" s="11" t="s">
        <v>150</v>
      </c>
      <c r="F96" s="12">
        <v>19675.45</v>
      </c>
      <c r="G96" s="11">
        <v>0.011926834</v>
      </c>
      <c r="H96" s="13">
        <v>0.0119</v>
      </c>
      <c r="J96" s="15"/>
      <c r="K96" s="11"/>
      <c r="L96" s="11"/>
      <c r="M96" s="11"/>
      <c r="N96" s="11"/>
    </row>
    <row r="97" ht="15.75" customHeight="1">
      <c r="A97" s="11" t="s">
        <v>151</v>
      </c>
      <c r="B97" s="38">
        <v>13.95</v>
      </c>
      <c r="C97" s="11">
        <f t="shared" si="1"/>
        <v>0.007220216606</v>
      </c>
      <c r="D97" s="13">
        <f t="shared" si="2"/>
        <v>0.007220216606</v>
      </c>
      <c r="E97" s="11" t="s">
        <v>151</v>
      </c>
      <c r="F97" s="12">
        <v>19443.55</v>
      </c>
      <c r="G97" s="11">
        <v>-0.004199626</v>
      </c>
      <c r="H97" s="13">
        <v>-0.0042</v>
      </c>
      <c r="J97" s="15"/>
      <c r="K97" s="11"/>
      <c r="L97" s="11"/>
      <c r="M97" s="11"/>
      <c r="N97" s="11"/>
    </row>
    <row r="98" ht="15.75" customHeight="1">
      <c r="A98" s="55">
        <v>45271.0</v>
      </c>
      <c r="B98" s="38">
        <v>13.85</v>
      </c>
      <c r="C98" s="11">
        <f t="shared" si="1"/>
        <v>0.01094890511</v>
      </c>
      <c r="D98" s="13">
        <f t="shared" si="2"/>
        <v>0.01094890511</v>
      </c>
      <c r="E98" s="55">
        <v>45271.0</v>
      </c>
      <c r="F98" s="12">
        <v>19525.55</v>
      </c>
      <c r="G98" s="11">
        <v>0.005158208</v>
      </c>
      <c r="H98" s="13">
        <v>0.0052</v>
      </c>
      <c r="J98" s="15"/>
      <c r="K98" s="11"/>
      <c r="L98" s="11"/>
      <c r="M98" s="11"/>
      <c r="N98" s="11"/>
    </row>
    <row r="99" ht="15.75" customHeight="1">
      <c r="A99" s="55">
        <v>45210.0</v>
      </c>
      <c r="B99" s="38">
        <v>13.7</v>
      </c>
      <c r="C99" s="11">
        <f t="shared" si="1"/>
        <v>-0.01438848921</v>
      </c>
      <c r="D99" s="13">
        <f t="shared" si="2"/>
        <v>-0.01438848921</v>
      </c>
      <c r="E99" s="55">
        <v>45210.0</v>
      </c>
      <c r="F99" s="12">
        <v>19425.35</v>
      </c>
      <c r="G99" s="11">
        <v>0.001549344</v>
      </c>
      <c r="H99" s="13">
        <v>0.0015</v>
      </c>
      <c r="J99" s="2"/>
      <c r="K99" s="11"/>
      <c r="L99" s="11"/>
      <c r="M99" s="11"/>
      <c r="N99" s="11"/>
    </row>
    <row r="100" ht="15.75" customHeight="1">
      <c r="A100" s="35">
        <v>45180.0</v>
      </c>
      <c r="B100" s="38">
        <v>13.9</v>
      </c>
      <c r="C100" s="11">
        <f t="shared" si="1"/>
        <v>0.01831501832</v>
      </c>
      <c r="D100" s="13">
        <f t="shared" si="2"/>
        <v>0.01831501832</v>
      </c>
      <c r="E100" s="35">
        <v>45180.0</v>
      </c>
      <c r="F100" s="12">
        <v>19395.3</v>
      </c>
      <c r="G100" s="11">
        <v>-0.002478978</v>
      </c>
      <c r="H100" s="13">
        <v>-0.0025</v>
      </c>
      <c r="J100" s="15"/>
      <c r="K100" s="11"/>
      <c r="L100" s="11"/>
      <c r="M100" s="11"/>
      <c r="N100" s="11"/>
    </row>
    <row r="101" ht="15.75" customHeight="1">
      <c r="A101" s="35">
        <v>45149.0</v>
      </c>
      <c r="B101" s="38">
        <v>13.65</v>
      </c>
      <c r="C101" s="11">
        <f t="shared" si="1"/>
        <v>-0.01444043321</v>
      </c>
      <c r="D101" s="13">
        <f t="shared" si="2"/>
        <v>-0.01444043321</v>
      </c>
      <c r="E101" s="35">
        <v>45149.0</v>
      </c>
      <c r="F101" s="12">
        <v>19443.5</v>
      </c>
      <c r="G101" s="11">
        <v>0.001896252</v>
      </c>
      <c r="H101" s="13">
        <v>0.0019</v>
      </c>
      <c r="J101" s="15"/>
      <c r="K101" s="11"/>
      <c r="L101" s="11"/>
      <c r="M101" s="11"/>
      <c r="N101" s="11"/>
    </row>
    <row r="102" ht="15.75" customHeight="1">
      <c r="A102" s="35">
        <v>45118.0</v>
      </c>
      <c r="B102" s="38">
        <v>13.85</v>
      </c>
      <c r="C102" s="11">
        <f t="shared" si="1"/>
        <v>0.0221402214</v>
      </c>
      <c r="D102" s="13">
        <f t="shared" si="2"/>
        <v>0.0221402214</v>
      </c>
      <c r="E102" s="35">
        <v>45118.0</v>
      </c>
      <c r="F102" s="12">
        <v>19406.7</v>
      </c>
      <c r="G102" s="11">
        <v>-2.60152E-4</v>
      </c>
      <c r="H102" s="13">
        <v>-3.0E-4</v>
      </c>
      <c r="J102" s="62"/>
      <c r="K102" s="62"/>
      <c r="L102" s="62"/>
      <c r="M102" s="62"/>
      <c r="N102" s="62"/>
      <c r="O102" s="62"/>
      <c r="P102" s="62"/>
    </row>
    <row r="103" ht="15.75" customHeight="1">
      <c r="A103" s="35">
        <v>45088.0</v>
      </c>
      <c r="B103" s="38">
        <v>13.55</v>
      </c>
      <c r="C103" s="11">
        <f t="shared" si="1"/>
        <v>-0.01454545455</v>
      </c>
      <c r="D103" s="13">
        <f t="shared" si="2"/>
        <v>-0.01454545455</v>
      </c>
      <c r="E103" s="35">
        <v>45088.0</v>
      </c>
      <c r="F103" s="12">
        <v>19411.75</v>
      </c>
      <c r="G103" s="11">
        <v>0.009419883</v>
      </c>
      <c r="H103" s="13">
        <v>0.0094</v>
      </c>
      <c r="J103" s="2"/>
    </row>
    <row r="104" ht="15.75" customHeight="1">
      <c r="A104" s="35">
        <v>44996.0</v>
      </c>
      <c r="B104" s="38">
        <v>13.75</v>
      </c>
      <c r="C104" s="11">
        <f t="shared" si="1"/>
        <v>0</v>
      </c>
      <c r="D104" s="13">
        <f t="shared" si="2"/>
        <v>0</v>
      </c>
      <c r="E104" s="35">
        <v>44996.0</v>
      </c>
      <c r="F104" s="12">
        <v>19230.6</v>
      </c>
      <c r="G104" s="11">
        <v>0.005088001</v>
      </c>
      <c r="H104" s="13">
        <v>0.0051</v>
      </c>
    </row>
    <row r="105" ht="15.75" customHeight="1">
      <c r="A105" s="35">
        <v>44968.0</v>
      </c>
      <c r="B105" s="38">
        <v>13.75</v>
      </c>
      <c r="C105" s="11">
        <f t="shared" si="1"/>
        <v>0.07421875</v>
      </c>
      <c r="D105" s="13">
        <f t="shared" si="2"/>
        <v>0.07421875</v>
      </c>
      <c r="E105" s="35">
        <v>44968.0</v>
      </c>
      <c r="F105" s="12">
        <v>19133.25</v>
      </c>
      <c r="G105" s="11">
        <v>0.007588544</v>
      </c>
      <c r="H105" s="13">
        <v>0.0076</v>
      </c>
      <c r="I105" s="11"/>
      <c r="J105" s="2"/>
      <c r="K105" s="11"/>
      <c r="L105" s="11"/>
      <c r="M105" s="11"/>
      <c r="N105" s="11"/>
    </row>
    <row r="106" ht="15.75" customHeight="1">
      <c r="A106" s="35">
        <v>44937.0</v>
      </c>
      <c r="B106" s="38">
        <v>12.8</v>
      </c>
      <c r="C106" s="11">
        <f t="shared" si="1"/>
        <v>0.08016877637</v>
      </c>
      <c r="D106" s="13">
        <f t="shared" si="2"/>
        <v>0.08016877637</v>
      </c>
      <c r="E106" s="35">
        <v>44937.0</v>
      </c>
      <c r="F106" s="12">
        <v>18989.15</v>
      </c>
      <c r="G106" s="11">
        <v>-0.004740665</v>
      </c>
      <c r="H106" s="13">
        <v>-0.0047</v>
      </c>
      <c r="J106" s="2"/>
    </row>
    <row r="107" ht="15.75" customHeight="1">
      <c r="A107" s="11" t="s">
        <v>159</v>
      </c>
      <c r="B107" s="38">
        <v>11.85</v>
      </c>
      <c r="C107" s="11">
        <f t="shared" si="1"/>
        <v>0.01716738197</v>
      </c>
      <c r="D107" s="13">
        <f t="shared" si="2"/>
        <v>0.01716738197</v>
      </c>
      <c r="E107" s="11" t="s">
        <v>159</v>
      </c>
      <c r="F107" s="12">
        <v>19079.6</v>
      </c>
      <c r="G107" s="11">
        <v>-0.003202566</v>
      </c>
      <c r="H107" s="13">
        <v>-0.0032</v>
      </c>
      <c r="J107" s="2"/>
    </row>
    <row r="108" ht="15.75" customHeight="1">
      <c r="A108" s="11" t="s">
        <v>160</v>
      </c>
      <c r="B108" s="38">
        <v>11.65</v>
      </c>
      <c r="C108" s="11">
        <f t="shared" si="1"/>
        <v>0.06880733945</v>
      </c>
      <c r="D108" s="13">
        <f t="shared" si="2"/>
        <v>0.06880733945</v>
      </c>
      <c r="E108" s="11" t="s">
        <v>160</v>
      </c>
      <c r="F108" s="12">
        <v>19140.9</v>
      </c>
      <c r="G108" s="11">
        <v>0.00491672</v>
      </c>
      <c r="H108" s="13">
        <v>0.0049</v>
      </c>
      <c r="J108" s="2"/>
    </row>
    <row r="109" ht="15.75" customHeight="1">
      <c r="A109" s="11" t="s">
        <v>161</v>
      </c>
      <c r="B109" s="38">
        <v>10.9</v>
      </c>
      <c r="C109" s="11">
        <f t="shared" si="1"/>
        <v>0.01395348837</v>
      </c>
      <c r="D109" s="13">
        <f t="shared" si="2"/>
        <v>0.01395348837</v>
      </c>
      <c r="E109" s="11" t="s">
        <v>161</v>
      </c>
      <c r="F109" s="12">
        <v>19047.25</v>
      </c>
      <c r="G109" s="11">
        <v>0.0100757</v>
      </c>
      <c r="H109" s="13">
        <v>0.0101</v>
      </c>
      <c r="J109" s="62"/>
      <c r="K109" s="14"/>
      <c r="L109" s="14"/>
      <c r="M109" s="14"/>
      <c r="N109" s="14"/>
    </row>
    <row r="110" ht="15.75" customHeight="1">
      <c r="A110" s="11" t="s">
        <v>162</v>
      </c>
      <c r="B110" s="38">
        <v>10.75</v>
      </c>
      <c r="C110" s="11">
        <f t="shared" si="1"/>
        <v>-0.009216589862</v>
      </c>
      <c r="D110" s="13">
        <f t="shared" si="2"/>
        <v>-0.009216589862</v>
      </c>
      <c r="E110" s="11" t="s">
        <v>162</v>
      </c>
      <c r="F110" s="12">
        <v>18857.25</v>
      </c>
      <c r="G110" s="11">
        <v>-0.013853045</v>
      </c>
      <c r="H110" s="13">
        <v>-0.0139</v>
      </c>
      <c r="J110" s="62"/>
      <c r="K110" s="14"/>
      <c r="L110" s="14"/>
      <c r="M110" s="14"/>
      <c r="N110" s="14"/>
    </row>
    <row r="111" ht="15.75" customHeight="1">
      <c r="A111" s="11" t="s">
        <v>163</v>
      </c>
      <c r="B111" s="38">
        <v>10.85</v>
      </c>
      <c r="C111" s="11">
        <f t="shared" si="1"/>
        <v>-0.009132420091</v>
      </c>
      <c r="D111" s="13">
        <f t="shared" si="2"/>
        <v>-0.009132420091</v>
      </c>
      <c r="E111" s="11" t="s">
        <v>163</v>
      </c>
      <c r="F111" s="12">
        <v>19122.15</v>
      </c>
      <c r="G111" s="11">
        <v>-0.008277257</v>
      </c>
      <c r="H111" s="13">
        <v>-0.0083</v>
      </c>
      <c r="J111" s="63"/>
    </row>
    <row r="112" ht="15.75" customHeight="1">
      <c r="A112" s="11" t="s">
        <v>164</v>
      </c>
      <c r="B112" s="38">
        <v>10.95</v>
      </c>
      <c r="C112" s="11">
        <f t="shared" si="1"/>
        <v>-0.06808510638</v>
      </c>
      <c r="D112" s="13">
        <f t="shared" si="2"/>
        <v>-0.06808510638</v>
      </c>
      <c r="E112" s="11" t="s">
        <v>164</v>
      </c>
      <c r="F112" s="12">
        <v>19281.75</v>
      </c>
      <c r="G112" s="11">
        <v>-0.013350288</v>
      </c>
      <c r="H112" s="13">
        <v>-0.0134</v>
      </c>
      <c r="J112" s="2"/>
    </row>
    <row r="113" ht="15.75" customHeight="1">
      <c r="A113" s="11" t="s">
        <v>165</v>
      </c>
      <c r="B113" s="38">
        <v>11.75</v>
      </c>
      <c r="C113" s="11">
        <f t="shared" si="1"/>
        <v>-0.02083333333</v>
      </c>
      <c r="D113" s="13">
        <f t="shared" si="2"/>
        <v>-0.02083333333</v>
      </c>
      <c r="E113" s="11" t="s">
        <v>165</v>
      </c>
      <c r="F113" s="12">
        <v>19542.65</v>
      </c>
      <c r="G113" s="11">
        <v>-0.004180956</v>
      </c>
      <c r="H113" s="13">
        <v>-0.0042</v>
      </c>
      <c r="I113" s="11"/>
    </row>
    <row r="114" ht="15.75" customHeight="1">
      <c r="A114" s="11" t="s">
        <v>168</v>
      </c>
      <c r="B114" s="38">
        <v>12.0</v>
      </c>
      <c r="C114" s="11">
        <f t="shared" si="1"/>
        <v>0.02564102564</v>
      </c>
      <c r="D114" s="13">
        <f t="shared" si="2"/>
        <v>0.02564102564</v>
      </c>
      <c r="E114" s="11" t="s">
        <v>168</v>
      </c>
      <c r="F114" s="12">
        <v>19624.7</v>
      </c>
      <c r="G114" s="11">
        <v>-0.00235879</v>
      </c>
      <c r="H114" s="13">
        <v>-0.0024</v>
      </c>
    </row>
    <row r="115" ht="15.75" customHeight="1">
      <c r="A115" s="11" t="s">
        <v>170</v>
      </c>
      <c r="B115" s="38">
        <v>11.7</v>
      </c>
      <c r="C115" s="11">
        <f t="shared" si="1"/>
        <v>-0.01680672269</v>
      </c>
      <c r="D115" s="13">
        <f t="shared" si="2"/>
        <v>-0.01680672269</v>
      </c>
      <c r="E115" s="11" t="s">
        <v>170</v>
      </c>
      <c r="F115" s="12">
        <v>19671.1</v>
      </c>
      <c r="G115" s="11">
        <v>-0.007086793</v>
      </c>
      <c r="H115" s="13">
        <v>-0.0071</v>
      </c>
    </row>
    <row r="116" ht="15.75" customHeight="1">
      <c r="A116" s="11" t="s">
        <v>172</v>
      </c>
      <c r="B116" s="38">
        <v>11.9</v>
      </c>
      <c r="C116" s="11">
        <f t="shared" si="1"/>
        <v>0.008474576271</v>
      </c>
      <c r="D116" s="13">
        <f t="shared" si="2"/>
        <v>0.008474576271</v>
      </c>
      <c r="E116" s="11" t="s">
        <v>172</v>
      </c>
      <c r="F116" s="12">
        <v>19811.5</v>
      </c>
      <c r="G116" s="11">
        <v>0.004041709</v>
      </c>
      <c r="H116" s="13">
        <v>0.004</v>
      </c>
    </row>
    <row r="117" ht="15.75" customHeight="1">
      <c r="A117" s="11" t="s">
        <v>174</v>
      </c>
      <c r="B117" s="38">
        <v>11.8</v>
      </c>
      <c r="C117" s="11">
        <f t="shared" si="1"/>
        <v>-0.01666666667</v>
      </c>
      <c r="D117" s="13">
        <f t="shared" si="2"/>
        <v>-0.01666666667</v>
      </c>
      <c r="E117" s="11" t="s">
        <v>174</v>
      </c>
      <c r="F117" s="12">
        <v>19731.75</v>
      </c>
      <c r="G117" s="11">
        <v>-9.77163E-4</v>
      </c>
      <c r="H117" s="13">
        <v>-0.001</v>
      </c>
      <c r="J117" s="2"/>
      <c r="K117" s="11"/>
      <c r="L117" s="11"/>
    </row>
    <row r="118" ht="15.75" customHeight="1">
      <c r="A118" s="11" t="s">
        <v>176</v>
      </c>
      <c r="B118" s="38">
        <v>12.0</v>
      </c>
      <c r="C118" s="11">
        <f t="shared" si="1"/>
        <v>0.008403361345</v>
      </c>
      <c r="D118" s="13">
        <f t="shared" si="2"/>
        <v>0.008403361345</v>
      </c>
      <c r="E118" s="11" t="s">
        <v>176</v>
      </c>
      <c r="F118" s="12">
        <v>19751.05</v>
      </c>
      <c r="G118" s="11">
        <v>-0.002169849</v>
      </c>
      <c r="H118" s="13">
        <v>-0.0022</v>
      </c>
      <c r="K118" s="11"/>
      <c r="L118" s="11"/>
    </row>
    <row r="119" ht="15.75" customHeight="1">
      <c r="A119" s="55">
        <v>45270.0</v>
      </c>
      <c r="B119" s="38">
        <v>11.9</v>
      </c>
      <c r="C119" s="11">
        <f t="shared" si="1"/>
        <v>0.004219409283</v>
      </c>
      <c r="D119" s="13">
        <f t="shared" si="2"/>
        <v>0.004219409283</v>
      </c>
      <c r="E119" s="55">
        <v>45270.0</v>
      </c>
      <c r="F119" s="12">
        <v>19794.0</v>
      </c>
      <c r="G119" s="11">
        <v>-8.75761E-4</v>
      </c>
      <c r="H119" s="13">
        <v>-9.0E-4</v>
      </c>
      <c r="J119" s="15"/>
      <c r="K119" s="11"/>
      <c r="L119" s="11"/>
      <c r="M119" s="11"/>
      <c r="N119" s="11"/>
    </row>
    <row r="120" ht="15.75" customHeight="1">
      <c r="A120" s="55">
        <v>45240.0</v>
      </c>
      <c r="B120" s="38">
        <v>11.85</v>
      </c>
      <c r="C120" s="11">
        <f t="shared" si="1"/>
        <v>0.07239819005</v>
      </c>
      <c r="D120" s="13">
        <f t="shared" si="2"/>
        <v>0.07239819005</v>
      </c>
      <c r="E120" s="55">
        <v>45240.0</v>
      </c>
      <c r="F120" s="12">
        <v>19811.35</v>
      </c>
      <c r="G120" s="11">
        <v>0.006170692</v>
      </c>
      <c r="H120" s="13">
        <v>0.0062</v>
      </c>
      <c r="J120" s="15"/>
      <c r="K120" s="11"/>
      <c r="L120" s="11"/>
      <c r="M120" s="11"/>
      <c r="N120" s="11"/>
    </row>
    <row r="121" ht="15.75" customHeight="1">
      <c r="A121" s="55">
        <v>45209.0</v>
      </c>
      <c r="B121" s="38">
        <v>11.05</v>
      </c>
      <c r="C121" s="11">
        <f t="shared" si="1"/>
        <v>0.01376146789</v>
      </c>
      <c r="D121" s="13">
        <f t="shared" si="2"/>
        <v>0.01376146789</v>
      </c>
      <c r="E121" s="55">
        <v>45209.0</v>
      </c>
      <c r="F121" s="12">
        <v>19689.85</v>
      </c>
      <c r="G121" s="11">
        <v>0.009096803</v>
      </c>
      <c r="H121" s="13">
        <v>0.0091</v>
      </c>
      <c r="J121" s="15"/>
      <c r="K121" s="11"/>
      <c r="L121" s="11"/>
      <c r="M121" s="11"/>
      <c r="N121" s="11"/>
    </row>
    <row r="122" ht="15.75" customHeight="1">
      <c r="A122" s="35">
        <v>45179.0</v>
      </c>
      <c r="B122" s="38">
        <v>10.9</v>
      </c>
      <c r="C122" s="11">
        <f t="shared" si="1"/>
        <v>-0.004566210046</v>
      </c>
      <c r="D122" s="13">
        <f t="shared" si="2"/>
        <v>-0.004566210046</v>
      </c>
      <c r="E122" s="35">
        <v>45179.0</v>
      </c>
      <c r="F122" s="12">
        <v>19512.35</v>
      </c>
      <c r="G122" s="11">
        <v>-0.007181927</v>
      </c>
      <c r="H122" s="13">
        <v>-0.0072</v>
      </c>
      <c r="J122" s="15"/>
      <c r="K122" s="11"/>
      <c r="L122" s="11"/>
      <c r="M122" s="11"/>
      <c r="N122" s="11"/>
    </row>
    <row r="123" ht="15.75" customHeight="1">
      <c r="A123" s="35">
        <v>45087.0</v>
      </c>
      <c r="B123" s="38">
        <v>10.95</v>
      </c>
      <c r="C123" s="11">
        <f t="shared" si="1"/>
        <v>-0.02232142857</v>
      </c>
      <c r="D123" s="13">
        <f t="shared" si="2"/>
        <v>-0.02232142857</v>
      </c>
      <c r="E123" s="35">
        <v>45087.0</v>
      </c>
      <c r="F123" s="12">
        <v>19653.5</v>
      </c>
      <c r="G123" s="11">
        <v>0.005512707</v>
      </c>
      <c r="H123" s="13">
        <v>0.0055</v>
      </c>
      <c r="J123" s="15"/>
      <c r="K123" s="11"/>
      <c r="L123" s="11"/>
      <c r="M123" s="11"/>
      <c r="N123" s="11"/>
    </row>
    <row r="124" ht="15.75" customHeight="1">
      <c r="A124" s="35">
        <v>45056.0</v>
      </c>
      <c r="B124" s="38">
        <v>11.2</v>
      </c>
      <c r="C124" s="11">
        <f t="shared" si="1"/>
        <v>-0.02183406114</v>
      </c>
      <c r="D124" s="13">
        <f t="shared" si="2"/>
        <v>-0.02183406114</v>
      </c>
      <c r="E124" s="35">
        <v>45056.0</v>
      </c>
      <c r="F124" s="12">
        <v>19545.75</v>
      </c>
      <c r="G124" s="11">
        <v>0.005641564</v>
      </c>
      <c r="H124" s="13">
        <v>0.0056</v>
      </c>
      <c r="J124" s="15"/>
      <c r="K124" s="11"/>
      <c r="L124" s="11"/>
      <c r="M124" s="11"/>
      <c r="N124" s="11"/>
    </row>
    <row r="125" ht="15.75" customHeight="1">
      <c r="A125" s="35">
        <v>45026.0</v>
      </c>
      <c r="B125" s="38">
        <v>11.45</v>
      </c>
      <c r="C125" s="11">
        <f t="shared" si="1"/>
        <v>-0.04583333333</v>
      </c>
      <c r="D125" s="13">
        <f t="shared" si="2"/>
        <v>-0.04583333333</v>
      </c>
      <c r="E125" s="35">
        <v>45026.0</v>
      </c>
      <c r="F125" s="12">
        <v>19436.1</v>
      </c>
      <c r="G125" s="11">
        <v>-0.004744287</v>
      </c>
      <c r="H125" s="13">
        <v>-0.0047</v>
      </c>
      <c r="J125" s="15"/>
      <c r="K125" s="11"/>
      <c r="L125" s="11"/>
      <c r="M125" s="11"/>
      <c r="N125" s="11"/>
    </row>
    <row r="126" ht="15.75" customHeight="1">
      <c r="A126" s="35">
        <v>44995.0</v>
      </c>
      <c r="B126" s="38">
        <v>12.0</v>
      </c>
      <c r="C126" s="11">
        <f t="shared" si="1"/>
        <v>0.03004291845</v>
      </c>
      <c r="D126" s="13">
        <f t="shared" si="2"/>
        <v>0.03004291845</v>
      </c>
      <c r="E126" s="35">
        <v>44995.0</v>
      </c>
      <c r="F126" s="12">
        <v>19528.75</v>
      </c>
      <c r="G126" s="11">
        <v>-0.005578385</v>
      </c>
      <c r="H126" s="13">
        <v>-0.0056</v>
      </c>
      <c r="J126" s="15"/>
      <c r="K126" s="11"/>
      <c r="L126" s="11"/>
      <c r="M126" s="11"/>
      <c r="N126" s="11"/>
    </row>
    <row r="127" ht="15.75" customHeight="1">
      <c r="A127" s="11" t="s">
        <v>179</v>
      </c>
      <c r="B127" s="38">
        <v>11.65</v>
      </c>
      <c r="C127" s="11">
        <f t="shared" si="1"/>
        <v>0</v>
      </c>
      <c r="D127" s="13">
        <f t="shared" si="2"/>
        <v>0</v>
      </c>
      <c r="E127" s="11" t="s">
        <v>179</v>
      </c>
      <c r="F127" s="12">
        <v>19638.3</v>
      </c>
      <c r="G127" s="11">
        <v>0.005877517</v>
      </c>
      <c r="H127" s="13">
        <v>0.0059</v>
      </c>
      <c r="J127" s="15"/>
      <c r="K127" s="11"/>
      <c r="L127" s="11"/>
      <c r="M127" s="11"/>
      <c r="N127" s="11"/>
    </row>
    <row r="128" ht="15.75" customHeight="1">
      <c r="A128" s="11" t="s">
        <v>180</v>
      </c>
      <c r="B128" s="38">
        <v>11.65</v>
      </c>
      <c r="C128" s="11">
        <f t="shared" si="1"/>
        <v>-0.02916666667</v>
      </c>
      <c r="D128" s="13">
        <f t="shared" si="2"/>
        <v>-0.02916666667</v>
      </c>
      <c r="E128" s="11" t="s">
        <v>180</v>
      </c>
      <c r="F128" s="12">
        <v>19523.55</v>
      </c>
      <c r="G128" s="11">
        <v>-0.009783709</v>
      </c>
      <c r="H128" s="13">
        <v>-0.0098</v>
      </c>
      <c r="J128" s="15"/>
      <c r="K128" s="11"/>
      <c r="L128" s="11"/>
      <c r="M128" s="11"/>
      <c r="N128" s="11"/>
    </row>
    <row r="129" ht="15.75" customHeight="1">
      <c r="A129" s="11" t="s">
        <v>181</v>
      </c>
      <c r="B129" s="38">
        <v>12.0</v>
      </c>
      <c r="C129" s="11">
        <f t="shared" si="1"/>
        <v>-0.00826446281</v>
      </c>
      <c r="D129" s="13">
        <f t="shared" si="2"/>
        <v>-0.00826446281</v>
      </c>
      <c r="E129" s="11" t="s">
        <v>181</v>
      </c>
      <c r="F129" s="12">
        <v>19716.45</v>
      </c>
      <c r="G129" s="11">
        <v>0.002631619</v>
      </c>
      <c r="H129" s="13">
        <v>0.0026</v>
      </c>
      <c r="J129" s="15"/>
      <c r="K129" s="11"/>
      <c r="L129" s="11"/>
      <c r="M129" s="11"/>
      <c r="N129" s="11"/>
    </row>
    <row r="130" ht="15.75" customHeight="1">
      <c r="A130" s="11" t="s">
        <v>182</v>
      </c>
      <c r="B130" s="38">
        <v>12.1</v>
      </c>
      <c r="C130" s="11">
        <f t="shared" si="1"/>
        <v>0.07079646018</v>
      </c>
      <c r="D130" s="13">
        <f t="shared" si="2"/>
        <v>0.07079646018</v>
      </c>
      <c r="E130" s="11" t="s">
        <v>182</v>
      </c>
      <c r="F130" s="12">
        <v>19664.7</v>
      </c>
      <c r="G130" s="11">
        <v>-5.00647E-4</v>
      </c>
      <c r="H130" s="13">
        <v>-5.0E-4</v>
      </c>
      <c r="J130" s="15"/>
      <c r="K130" s="11"/>
      <c r="L130" s="11"/>
      <c r="M130" s="11"/>
      <c r="N130" s="11"/>
    </row>
    <row r="131" ht="15.75" customHeight="1">
      <c r="A131" s="11" t="s">
        <v>183</v>
      </c>
      <c r="B131" s="38">
        <v>11.3</v>
      </c>
      <c r="C131" s="11">
        <f t="shared" si="1"/>
        <v>0</v>
      </c>
      <c r="D131" s="13">
        <f t="shared" si="2"/>
        <v>0</v>
      </c>
      <c r="E131" s="11" t="s">
        <v>183</v>
      </c>
      <c r="F131" s="12">
        <v>19674.55</v>
      </c>
      <c r="G131" s="45">
        <v>1.52484E-5</v>
      </c>
      <c r="H131" s="13">
        <v>0.0</v>
      </c>
      <c r="J131" s="15"/>
      <c r="K131" s="11"/>
      <c r="L131" s="11"/>
      <c r="M131" s="11"/>
      <c r="N131" s="11"/>
    </row>
    <row r="132" ht="15.75" customHeight="1">
      <c r="A132" s="11" t="s">
        <v>184</v>
      </c>
      <c r="B132" s="38">
        <v>11.3</v>
      </c>
      <c r="C132" s="11">
        <f t="shared" si="1"/>
        <v>0.04147465438</v>
      </c>
      <c r="D132" s="13">
        <f t="shared" si="2"/>
        <v>0.04147465438</v>
      </c>
      <c r="E132" s="11" t="s">
        <v>184</v>
      </c>
      <c r="F132" s="12">
        <v>19674.25</v>
      </c>
      <c r="G132" s="11">
        <v>-0.003449437</v>
      </c>
      <c r="H132" s="13">
        <v>-0.0034</v>
      </c>
      <c r="J132" s="15"/>
      <c r="K132" s="11"/>
      <c r="L132" s="11"/>
      <c r="M132" s="11"/>
      <c r="N132" s="11"/>
    </row>
    <row r="133" ht="15.75" customHeight="1">
      <c r="A133" s="11" t="s">
        <v>185</v>
      </c>
      <c r="B133" s="38">
        <v>10.85</v>
      </c>
      <c r="C133" s="11">
        <f t="shared" si="1"/>
        <v>-0.01363636364</v>
      </c>
      <c r="D133" s="13">
        <f t="shared" si="2"/>
        <v>-0.01363636364</v>
      </c>
      <c r="E133" s="11" t="s">
        <v>185</v>
      </c>
      <c r="F133" s="12">
        <v>19742.35</v>
      </c>
      <c r="G133" s="11">
        <v>-0.0079919</v>
      </c>
      <c r="H133" s="13">
        <v>-0.008</v>
      </c>
      <c r="J133" s="15"/>
      <c r="K133" s="11"/>
      <c r="L133" s="11"/>
      <c r="M133" s="11"/>
      <c r="N133" s="11"/>
    </row>
    <row r="134" ht="15.75" customHeight="1">
      <c r="A134" s="11" t="s">
        <v>186</v>
      </c>
      <c r="B134" s="38">
        <v>11.0</v>
      </c>
      <c r="C134" s="11">
        <f t="shared" si="1"/>
        <v>0.009174311927</v>
      </c>
      <c r="D134" s="13">
        <f t="shared" si="2"/>
        <v>0.009174311927</v>
      </c>
      <c r="E134" s="11" t="s">
        <v>186</v>
      </c>
      <c r="F134" s="12">
        <v>19901.4</v>
      </c>
      <c r="G134" s="11">
        <v>-0.011518231</v>
      </c>
      <c r="H134" s="13">
        <v>-0.0115</v>
      </c>
      <c r="J134" s="15"/>
      <c r="K134" s="11"/>
      <c r="L134" s="11"/>
      <c r="M134" s="11"/>
      <c r="N134" s="11"/>
    </row>
    <row r="135" ht="15.75" customHeight="1">
      <c r="A135" s="11" t="s">
        <v>187</v>
      </c>
      <c r="B135" s="38">
        <v>10.9</v>
      </c>
      <c r="C135" s="11">
        <f t="shared" si="1"/>
        <v>-0.06837606838</v>
      </c>
      <c r="D135" s="13">
        <f t="shared" si="2"/>
        <v>-0.06837606838</v>
      </c>
      <c r="E135" s="11" t="s">
        <v>187</v>
      </c>
      <c r="F135" s="12">
        <v>20133.3</v>
      </c>
      <c r="G135" s="11">
        <v>-0.002924375</v>
      </c>
      <c r="H135" s="13">
        <v>-0.0029</v>
      </c>
      <c r="J135" s="15"/>
      <c r="K135" s="11"/>
      <c r="L135" s="11"/>
      <c r="M135" s="11"/>
      <c r="N135" s="11"/>
    </row>
    <row r="136" ht="15.75" customHeight="1">
      <c r="A136" s="11" t="s">
        <v>188</v>
      </c>
      <c r="B136" s="38">
        <v>11.7</v>
      </c>
      <c r="C136" s="11">
        <f t="shared" si="1"/>
        <v>0.07339449541</v>
      </c>
      <c r="D136" s="13">
        <f t="shared" si="2"/>
        <v>0.07339449541</v>
      </c>
      <c r="E136" s="11" t="s">
        <v>188</v>
      </c>
      <c r="F136" s="12">
        <v>20192.35</v>
      </c>
      <c r="G136" s="11">
        <v>0.004439614</v>
      </c>
      <c r="H136" s="13">
        <v>0.0044</v>
      </c>
      <c r="J136" s="15"/>
      <c r="K136" s="11"/>
      <c r="L136" s="11"/>
      <c r="M136" s="11"/>
      <c r="N136" s="11"/>
    </row>
    <row r="137" ht="15.75" customHeight="1">
      <c r="A137" s="11" t="s">
        <v>189</v>
      </c>
      <c r="B137" s="38">
        <v>10.9</v>
      </c>
      <c r="C137" s="11">
        <f t="shared" si="1"/>
        <v>-0.009090909091</v>
      </c>
      <c r="D137" s="13">
        <f t="shared" si="2"/>
        <v>-0.009090909091</v>
      </c>
      <c r="E137" s="11" t="s">
        <v>189</v>
      </c>
      <c r="F137" s="12">
        <v>20103.1</v>
      </c>
      <c r="G137" s="11">
        <v>0.001649228</v>
      </c>
      <c r="H137" s="13">
        <v>0.0016</v>
      </c>
      <c r="N137" s="11"/>
    </row>
    <row r="138" ht="15.75" customHeight="1">
      <c r="A138" s="11" t="s">
        <v>190</v>
      </c>
      <c r="B138" s="38">
        <v>11.0</v>
      </c>
      <c r="C138" s="11">
        <f t="shared" si="1"/>
        <v>0.04761904762</v>
      </c>
      <c r="D138" s="13">
        <f t="shared" si="2"/>
        <v>0.04761904762</v>
      </c>
      <c r="E138" s="11" t="s">
        <v>190</v>
      </c>
      <c r="F138" s="12">
        <v>20070.0</v>
      </c>
      <c r="G138" s="11">
        <v>0.003841306</v>
      </c>
      <c r="H138" s="13">
        <v>0.0038</v>
      </c>
      <c r="N138" s="11"/>
    </row>
    <row r="139" ht="15.75" customHeight="1">
      <c r="A139" s="35">
        <v>45269.0</v>
      </c>
      <c r="B139" s="38">
        <v>10.5</v>
      </c>
      <c r="C139" s="11">
        <f t="shared" si="1"/>
        <v>-0.07079646018</v>
      </c>
      <c r="D139" s="13">
        <f t="shared" si="2"/>
        <v>-0.07079646018</v>
      </c>
      <c r="E139" s="35">
        <v>45269.0</v>
      </c>
      <c r="F139" s="12">
        <v>19993.2</v>
      </c>
      <c r="G139" s="11">
        <v>-1.57529E-4</v>
      </c>
      <c r="H139" s="13">
        <v>-2.0E-4</v>
      </c>
      <c r="N139" s="11"/>
    </row>
    <row r="140" ht="15.75" customHeight="1">
      <c r="A140" s="35">
        <v>45239.0</v>
      </c>
      <c r="B140" s="38">
        <v>11.3</v>
      </c>
      <c r="C140" s="11">
        <f t="shared" si="1"/>
        <v>0.07619047619</v>
      </c>
      <c r="D140" s="13">
        <f t="shared" si="2"/>
        <v>0.07619047619</v>
      </c>
      <c r="E140" s="35">
        <v>45239.0</v>
      </c>
      <c r="F140" s="12">
        <v>19996.35</v>
      </c>
      <c r="G140" s="11">
        <v>0.008900123</v>
      </c>
      <c r="H140" s="13">
        <v>0.0089</v>
      </c>
      <c r="N140" s="11"/>
    </row>
    <row r="141" ht="15.75" customHeight="1">
      <c r="A141" s="35">
        <v>45147.0</v>
      </c>
      <c r="B141" s="38">
        <v>10.5</v>
      </c>
      <c r="C141" s="11">
        <f t="shared" si="1"/>
        <v>0</v>
      </c>
      <c r="D141" s="13">
        <f t="shared" si="2"/>
        <v>0</v>
      </c>
      <c r="E141" s="35">
        <v>45147.0</v>
      </c>
      <c r="F141" s="12">
        <v>19819.95</v>
      </c>
      <c r="G141" s="11">
        <v>0.00470927</v>
      </c>
      <c r="H141" s="13">
        <v>0.0047</v>
      </c>
      <c r="N141" s="11"/>
    </row>
    <row r="142" ht="15.75" customHeight="1">
      <c r="A142" s="35">
        <v>45116.0</v>
      </c>
      <c r="B142" s="38">
        <v>10.5</v>
      </c>
      <c r="C142" s="11">
        <f t="shared" si="1"/>
        <v>-0.01408450704</v>
      </c>
      <c r="D142" s="13">
        <f t="shared" si="2"/>
        <v>-0.01408450704</v>
      </c>
      <c r="E142" s="35">
        <v>45116.0</v>
      </c>
      <c r="F142" s="12">
        <v>19727.05</v>
      </c>
      <c r="G142" s="11">
        <v>0.005915033</v>
      </c>
      <c r="H142" s="13">
        <v>0.0059</v>
      </c>
      <c r="N142" s="11"/>
    </row>
    <row r="143" ht="15.75" customHeight="1">
      <c r="A143" s="35">
        <v>45086.0</v>
      </c>
      <c r="B143" s="38">
        <v>10.65</v>
      </c>
      <c r="C143" s="11">
        <f t="shared" si="1"/>
        <v>0.07575757576</v>
      </c>
      <c r="D143" s="13">
        <f t="shared" si="2"/>
        <v>0.07575757576</v>
      </c>
      <c r="E143" s="35">
        <v>45086.0</v>
      </c>
      <c r="F143" s="12">
        <v>19611.05</v>
      </c>
      <c r="G143" s="11">
        <v>0.001846753</v>
      </c>
      <c r="H143" s="13">
        <v>0.0018</v>
      </c>
      <c r="J143" s="15"/>
      <c r="K143" s="11"/>
      <c r="L143" s="11"/>
      <c r="M143" s="11"/>
      <c r="N143" s="11"/>
    </row>
    <row r="144" ht="15.75" customHeight="1">
      <c r="A144" s="35">
        <v>45055.0</v>
      </c>
      <c r="B144" s="38">
        <v>9.9</v>
      </c>
      <c r="C144" s="11">
        <f t="shared" si="1"/>
        <v>-0.01</v>
      </c>
      <c r="D144" s="13">
        <f t="shared" si="2"/>
        <v>-0.01</v>
      </c>
      <c r="E144" s="35">
        <v>45055.0</v>
      </c>
      <c r="F144" s="12">
        <v>19574.9</v>
      </c>
      <c r="G144" s="11">
        <v>0.002360616</v>
      </c>
      <c r="H144" s="13">
        <v>0.0024</v>
      </c>
      <c r="J144" s="15"/>
      <c r="K144" s="11"/>
      <c r="L144" s="11"/>
      <c r="M144" s="11"/>
      <c r="N144" s="11"/>
    </row>
    <row r="145" ht="15.75" customHeight="1">
      <c r="A145" s="35">
        <v>45025.0</v>
      </c>
      <c r="B145" s="38">
        <v>10.0</v>
      </c>
      <c r="C145" s="11">
        <f t="shared" si="1"/>
        <v>0</v>
      </c>
      <c r="D145" s="13">
        <f t="shared" si="2"/>
        <v>0</v>
      </c>
      <c r="E145" s="35">
        <v>45025.0</v>
      </c>
      <c r="F145" s="12">
        <v>19528.8</v>
      </c>
      <c r="G145" s="11">
        <v>0.004810834</v>
      </c>
      <c r="H145" s="13">
        <v>0.0048</v>
      </c>
      <c r="J145" s="15"/>
      <c r="K145" s="11"/>
      <c r="L145" s="11"/>
      <c r="M145" s="11"/>
      <c r="N145" s="11"/>
    </row>
    <row r="146" ht="15.75" customHeight="1">
      <c r="A146" s="35">
        <v>44935.0</v>
      </c>
      <c r="B146" s="38">
        <v>10.0</v>
      </c>
      <c r="C146" s="11">
        <f t="shared" si="1"/>
        <v>0.1049723757</v>
      </c>
      <c r="D146" s="13">
        <f t="shared" si="2"/>
        <v>0.1049723757</v>
      </c>
      <c r="E146" s="35">
        <v>44935.0</v>
      </c>
      <c r="F146" s="12">
        <v>19435.3</v>
      </c>
      <c r="G146" s="11">
        <v>0.009426711</v>
      </c>
      <c r="H146" s="13">
        <v>0.0094</v>
      </c>
      <c r="J146" s="15"/>
      <c r="K146" s="11"/>
      <c r="L146" s="11"/>
      <c r="M146" s="11"/>
      <c r="N146" s="11"/>
    </row>
    <row r="147" ht="15.75" customHeight="1">
      <c r="A147" s="11" t="s">
        <v>191</v>
      </c>
      <c r="B147" s="38">
        <v>9.05</v>
      </c>
      <c r="C147" s="11">
        <f t="shared" si="1"/>
        <v>0</v>
      </c>
      <c r="D147" s="13">
        <f t="shared" si="2"/>
        <v>0</v>
      </c>
      <c r="E147" s="11" t="s">
        <v>191</v>
      </c>
      <c r="F147" s="12">
        <v>19253.8</v>
      </c>
      <c r="G147" s="11">
        <v>-0.004840431</v>
      </c>
      <c r="H147" s="13">
        <v>-0.0048</v>
      </c>
      <c r="J147" s="15"/>
      <c r="K147" s="11"/>
      <c r="L147" s="11"/>
      <c r="M147" s="11"/>
      <c r="N147" s="11"/>
    </row>
    <row r="148" ht="15.75" customHeight="1">
      <c r="A148" s="11" t="s">
        <v>192</v>
      </c>
      <c r="B148" s="38">
        <v>9.05</v>
      </c>
      <c r="C148" s="11">
        <f t="shared" si="1"/>
        <v>0.01685393258</v>
      </c>
      <c r="D148" s="13">
        <f t="shared" si="2"/>
        <v>0.01685393258</v>
      </c>
      <c r="E148" s="11" t="s">
        <v>192</v>
      </c>
      <c r="F148" s="12">
        <v>19347.45</v>
      </c>
      <c r="G148" s="11">
        <v>2.48156E-4</v>
      </c>
      <c r="H148" s="13">
        <v>2.0E-4</v>
      </c>
      <c r="J148" s="15"/>
      <c r="K148" s="11"/>
      <c r="L148" s="11"/>
      <c r="M148" s="11"/>
      <c r="N148" s="11"/>
    </row>
    <row r="149" ht="15.75" customHeight="1">
      <c r="A149" s="11" t="s">
        <v>193</v>
      </c>
      <c r="B149" s="38">
        <v>8.9</v>
      </c>
      <c r="C149" s="11">
        <f t="shared" si="1"/>
        <v>-0.01111111111</v>
      </c>
      <c r="D149" s="13">
        <f t="shared" si="2"/>
        <v>-0.01111111111</v>
      </c>
      <c r="E149" s="11" t="s">
        <v>193</v>
      </c>
      <c r="F149" s="12">
        <v>19342.65</v>
      </c>
      <c r="G149" s="11">
        <v>0.001895779</v>
      </c>
      <c r="H149" s="13">
        <v>0.0019</v>
      </c>
      <c r="J149" s="15"/>
      <c r="K149" s="11"/>
      <c r="L149" s="11"/>
      <c r="M149" s="11"/>
      <c r="N149" s="11"/>
    </row>
    <row r="150" ht="15.75" customHeight="1">
      <c r="A150" s="11" t="s">
        <v>194</v>
      </c>
      <c r="B150" s="38">
        <v>9.0</v>
      </c>
      <c r="C150" s="11">
        <f t="shared" si="1"/>
        <v>0.03448275862</v>
      </c>
      <c r="D150" s="13">
        <f t="shared" si="2"/>
        <v>0.03448275862</v>
      </c>
      <c r="E150" s="11" t="s">
        <v>194</v>
      </c>
      <c r="F150" s="12">
        <v>19306.05</v>
      </c>
      <c r="G150" s="11">
        <v>0.002089194</v>
      </c>
      <c r="H150" s="13">
        <v>0.0021</v>
      </c>
      <c r="J150" s="15"/>
      <c r="K150" s="11"/>
      <c r="L150" s="11"/>
      <c r="M150" s="11"/>
      <c r="N150" s="11"/>
    </row>
    <row r="151" ht="15.75" customHeight="1">
      <c r="A151" s="11" t="s">
        <v>195</v>
      </c>
      <c r="B151" s="38">
        <v>8.7</v>
      </c>
      <c r="C151" s="11">
        <f t="shared" si="1"/>
        <v>0.09433962264</v>
      </c>
      <c r="D151" s="13">
        <f t="shared" si="2"/>
        <v>0.09433962264</v>
      </c>
      <c r="E151" s="11" t="s">
        <v>195</v>
      </c>
      <c r="F151" s="12">
        <v>19265.8</v>
      </c>
      <c r="G151" s="11">
        <v>-0.006236234</v>
      </c>
      <c r="H151" s="13">
        <v>-0.0062</v>
      </c>
      <c r="J151" s="15"/>
      <c r="K151" s="11"/>
      <c r="L151" s="11"/>
      <c r="M151" s="11"/>
      <c r="N151" s="11"/>
    </row>
    <row r="152" ht="15.75" customHeight="1">
      <c r="A152" s="11" t="s">
        <v>196</v>
      </c>
      <c r="B152" s="38">
        <v>7.95</v>
      </c>
      <c r="C152" s="11">
        <f t="shared" si="1"/>
        <v>0.01923076923</v>
      </c>
      <c r="D152" s="13">
        <f t="shared" si="2"/>
        <v>0.01923076923</v>
      </c>
      <c r="E152" s="11" t="s">
        <v>196</v>
      </c>
      <c r="F152" s="12">
        <v>19386.7</v>
      </c>
      <c r="G152" s="11">
        <v>-0.002946925</v>
      </c>
      <c r="H152" s="13">
        <v>-0.0029</v>
      </c>
      <c r="J152" s="15"/>
      <c r="K152" s="11"/>
      <c r="L152" s="11"/>
      <c r="M152" s="11"/>
      <c r="N152" s="11"/>
    </row>
    <row r="153" ht="15.75" customHeight="1">
      <c r="A153" s="11" t="s">
        <v>197</v>
      </c>
      <c r="B153" s="38">
        <v>7.8</v>
      </c>
      <c r="C153" s="11">
        <f t="shared" si="1"/>
        <v>0.01298701299</v>
      </c>
      <c r="D153" s="13">
        <f t="shared" si="2"/>
        <v>0.01298701299</v>
      </c>
      <c r="E153" s="11" t="s">
        <v>197</v>
      </c>
      <c r="F153" s="12">
        <v>19444.0</v>
      </c>
      <c r="G153" s="11">
        <v>0.00245148</v>
      </c>
      <c r="H153" s="13">
        <v>0.0025</v>
      </c>
      <c r="J153" s="15"/>
      <c r="K153" s="11"/>
      <c r="L153" s="11"/>
      <c r="M153" s="11"/>
      <c r="N153" s="11"/>
    </row>
    <row r="154" ht="15.75" customHeight="1">
      <c r="A154" s="11" t="s">
        <v>198</v>
      </c>
      <c r="B154" s="38">
        <v>7.7</v>
      </c>
      <c r="C154" s="11">
        <f t="shared" si="1"/>
        <v>0.01986754967</v>
      </c>
      <c r="D154" s="13">
        <f t="shared" si="2"/>
        <v>0.01986754967</v>
      </c>
      <c r="E154" s="11" t="s">
        <v>198</v>
      </c>
      <c r="F154" s="12">
        <v>19396.45</v>
      </c>
      <c r="G154" s="11">
        <v>1.46956E-4</v>
      </c>
      <c r="H154" s="13">
        <v>1.0E-4</v>
      </c>
      <c r="J154" s="15"/>
      <c r="K154" s="11"/>
      <c r="L154" s="11"/>
      <c r="M154" s="11"/>
      <c r="N154" s="11"/>
    </row>
    <row r="155" ht="15.75" customHeight="1">
      <c r="A155" s="11" t="s">
        <v>199</v>
      </c>
      <c r="B155" s="38">
        <v>7.55</v>
      </c>
      <c r="C155" s="11">
        <f t="shared" si="1"/>
        <v>-0.006578947368</v>
      </c>
      <c r="D155" s="13">
        <f t="shared" si="2"/>
        <v>-0.006578947368</v>
      </c>
      <c r="E155" s="11" t="s">
        <v>199</v>
      </c>
      <c r="F155" s="12">
        <v>19393.6</v>
      </c>
      <c r="G155" s="11">
        <v>0.004321561</v>
      </c>
      <c r="H155" s="13">
        <v>0.0043</v>
      </c>
      <c r="J155" s="15"/>
      <c r="K155" s="11"/>
      <c r="L155" s="11"/>
      <c r="M155" s="11"/>
      <c r="N155" s="11"/>
    </row>
    <row r="156" ht="15.75" customHeight="1">
      <c r="A156" s="11" t="s">
        <v>200</v>
      </c>
      <c r="B156" s="38">
        <v>7.6</v>
      </c>
      <c r="C156" s="11">
        <f t="shared" si="1"/>
        <v>-0.01935483871</v>
      </c>
      <c r="D156" s="13">
        <f t="shared" si="2"/>
        <v>-0.01935483871</v>
      </c>
      <c r="E156" s="11" t="s">
        <v>200</v>
      </c>
      <c r="F156" s="12">
        <v>19310.15</v>
      </c>
      <c r="G156" s="11">
        <v>-0.002845303</v>
      </c>
      <c r="H156" s="13">
        <v>-0.0028</v>
      </c>
      <c r="J156" s="15"/>
      <c r="K156" s="11"/>
      <c r="L156" s="11"/>
      <c r="M156" s="11"/>
      <c r="N156" s="11"/>
    </row>
    <row r="157" ht="15.75" customHeight="1">
      <c r="A157" s="11" t="s">
        <v>201</v>
      </c>
      <c r="B157" s="38">
        <v>7.75</v>
      </c>
      <c r="C157" s="11">
        <f t="shared" si="1"/>
        <v>-0.00641025641</v>
      </c>
      <c r="D157" s="13">
        <f t="shared" si="2"/>
        <v>-0.00641025641</v>
      </c>
      <c r="E157" s="11" t="s">
        <v>201</v>
      </c>
      <c r="F157" s="12">
        <v>19365.25</v>
      </c>
      <c r="G157" s="11">
        <v>-0.005124583</v>
      </c>
      <c r="H157" s="13">
        <v>-0.0051</v>
      </c>
      <c r="J157" s="15"/>
      <c r="K157" s="11"/>
      <c r="L157" s="11"/>
      <c r="M157" s="11"/>
      <c r="N157" s="11"/>
    </row>
    <row r="158" ht="15.75" customHeight="1">
      <c r="A158" s="11" t="s">
        <v>202</v>
      </c>
      <c r="B158" s="38">
        <v>7.8</v>
      </c>
      <c r="C158" s="11">
        <f t="shared" si="1"/>
        <v>-0.03105590062</v>
      </c>
      <c r="D158" s="13">
        <f t="shared" si="2"/>
        <v>-0.03105590062</v>
      </c>
      <c r="E158" s="11" t="s">
        <v>202</v>
      </c>
      <c r="F158" s="12">
        <v>19465.0</v>
      </c>
      <c r="G158" s="11">
        <v>0.001566797</v>
      </c>
      <c r="H158" s="13">
        <v>0.0016</v>
      </c>
      <c r="J158" s="15"/>
      <c r="K158" s="11"/>
      <c r="L158" s="11"/>
      <c r="M158" s="11"/>
      <c r="N158" s="11"/>
    </row>
    <row r="159" ht="15.75" customHeight="1">
      <c r="A159" s="11" t="s">
        <v>203</v>
      </c>
      <c r="B159" s="38">
        <v>8.05</v>
      </c>
      <c r="C159" s="11">
        <f t="shared" si="1"/>
        <v>-0.006172839506</v>
      </c>
      <c r="D159" s="13">
        <f t="shared" si="2"/>
        <v>-0.006172839506</v>
      </c>
      <c r="E159" s="11" t="s">
        <v>203</v>
      </c>
      <c r="F159" s="12">
        <v>19434.55</v>
      </c>
      <c r="G159" s="11">
        <v>3.21696E-4</v>
      </c>
      <c r="H159" s="13">
        <v>3.0E-4</v>
      </c>
      <c r="J159" s="15"/>
      <c r="K159" s="11"/>
      <c r="L159" s="11"/>
      <c r="M159" s="11"/>
      <c r="N159" s="11"/>
    </row>
    <row r="160" ht="15.75" customHeight="1">
      <c r="A160" s="35">
        <v>45238.0</v>
      </c>
      <c r="B160" s="38">
        <v>8.1</v>
      </c>
      <c r="C160" s="11">
        <f t="shared" si="1"/>
        <v>0.006211180124</v>
      </c>
      <c r="D160" s="13">
        <f t="shared" si="2"/>
        <v>0.006211180124</v>
      </c>
      <c r="E160" s="35">
        <v>45238.0</v>
      </c>
      <c r="F160" s="12">
        <v>19428.3</v>
      </c>
      <c r="G160" s="11">
        <v>-0.005874196</v>
      </c>
      <c r="H160" s="13">
        <v>-0.0059</v>
      </c>
      <c r="J160" s="15"/>
      <c r="K160" s="11"/>
      <c r="L160" s="11"/>
      <c r="M160" s="11"/>
      <c r="N160" s="11"/>
    </row>
    <row r="161" ht="15.75" customHeight="1">
      <c r="A161" s="35">
        <v>45207.0</v>
      </c>
      <c r="B161" s="38">
        <v>8.05</v>
      </c>
      <c r="C161" s="11">
        <f t="shared" si="1"/>
        <v>-0.01829268293</v>
      </c>
      <c r="D161" s="13">
        <f t="shared" si="2"/>
        <v>-0.01829268293</v>
      </c>
      <c r="E161" s="35">
        <v>45207.0</v>
      </c>
      <c r="F161" s="12">
        <v>19543.1</v>
      </c>
      <c r="G161" s="11">
        <v>-0.004556209</v>
      </c>
      <c r="H161" s="13">
        <v>-0.0046</v>
      </c>
      <c r="J161" s="15"/>
      <c r="K161" s="11"/>
      <c r="L161" s="11"/>
      <c r="M161" s="11"/>
      <c r="N161" s="11"/>
    </row>
    <row r="162" ht="15.75" customHeight="1">
      <c r="A162" s="35">
        <v>45177.0</v>
      </c>
      <c r="B162" s="38">
        <v>8.2</v>
      </c>
      <c r="C162" s="11">
        <f t="shared" si="1"/>
        <v>-0.01204819277</v>
      </c>
      <c r="D162" s="13">
        <f t="shared" si="2"/>
        <v>-0.01204819277</v>
      </c>
      <c r="E162" s="35">
        <v>45177.0</v>
      </c>
      <c r="F162" s="12">
        <v>19632.55</v>
      </c>
      <c r="G162" s="11">
        <v>0.003152648</v>
      </c>
      <c r="H162" s="13">
        <v>0.0032</v>
      </c>
      <c r="J162" s="15"/>
      <c r="K162" s="11"/>
      <c r="L162" s="11"/>
      <c r="M162" s="11"/>
      <c r="N162" s="11"/>
    </row>
    <row r="163" ht="15.75" customHeight="1">
      <c r="A163" s="35">
        <v>45146.0</v>
      </c>
      <c r="B163" s="38">
        <v>8.3</v>
      </c>
      <c r="C163" s="11">
        <f t="shared" si="1"/>
        <v>-0.005988023952</v>
      </c>
      <c r="D163" s="13">
        <f t="shared" si="2"/>
        <v>-0.005988023952</v>
      </c>
      <c r="E163" s="35">
        <v>45146.0</v>
      </c>
      <c r="F163" s="12">
        <v>19570.85</v>
      </c>
      <c r="G163" s="11">
        <v>-0.001349676</v>
      </c>
      <c r="H163" s="13">
        <v>-0.0013</v>
      </c>
      <c r="J163" s="15"/>
      <c r="K163" s="11"/>
      <c r="L163" s="11"/>
      <c r="M163" s="11"/>
      <c r="N163" s="11"/>
    </row>
    <row r="164" ht="15.75" customHeight="1">
      <c r="A164" s="35">
        <v>45115.0</v>
      </c>
      <c r="B164" s="38">
        <v>8.35</v>
      </c>
      <c r="C164" s="11">
        <f t="shared" si="1"/>
        <v>0.01212121212</v>
      </c>
      <c r="D164" s="13">
        <f t="shared" si="2"/>
        <v>0.01212121212</v>
      </c>
      <c r="E164" s="35">
        <v>45115.0</v>
      </c>
      <c r="F164" s="12">
        <v>19597.3</v>
      </c>
      <c r="G164" s="11">
        <v>0.004114362</v>
      </c>
      <c r="H164" s="13">
        <v>0.0041</v>
      </c>
      <c r="J164" s="15"/>
      <c r="K164" s="11"/>
      <c r="L164" s="11"/>
      <c r="M164" s="11"/>
      <c r="N164" s="11"/>
    </row>
    <row r="165" ht="15.75" customHeight="1">
      <c r="A165" s="35">
        <v>45024.0</v>
      </c>
      <c r="B165" s="38">
        <v>8.25</v>
      </c>
      <c r="C165" s="11">
        <f t="shared" si="1"/>
        <v>0.05095541401</v>
      </c>
      <c r="D165" s="13">
        <f t="shared" si="2"/>
        <v>0.05095541401</v>
      </c>
      <c r="E165" s="35">
        <v>45024.0</v>
      </c>
      <c r="F165" s="12">
        <v>19517.0</v>
      </c>
      <c r="G165" s="11">
        <v>0.00698341</v>
      </c>
      <c r="H165" s="13">
        <v>0.007</v>
      </c>
      <c r="J165" s="15"/>
      <c r="K165" s="11"/>
      <c r="L165" s="11"/>
      <c r="M165" s="11"/>
      <c r="N165" s="11"/>
    </row>
    <row r="166" ht="15.75" customHeight="1">
      <c r="A166" s="35">
        <v>44993.0</v>
      </c>
      <c r="B166" s="38">
        <v>7.85</v>
      </c>
      <c r="C166" s="11">
        <f t="shared" si="1"/>
        <v>-0.006329113924</v>
      </c>
      <c r="D166" s="13">
        <f t="shared" si="2"/>
        <v>-0.006329113924</v>
      </c>
      <c r="E166" s="35">
        <v>44993.0</v>
      </c>
      <c r="F166" s="12">
        <v>19381.65</v>
      </c>
      <c r="G166" s="11">
        <v>-0.007420666</v>
      </c>
      <c r="H166" s="13">
        <v>-0.0074</v>
      </c>
      <c r="J166" s="15"/>
      <c r="K166" s="11"/>
      <c r="L166" s="11"/>
      <c r="M166" s="11"/>
      <c r="N166" s="11"/>
    </row>
    <row r="167" ht="15.75" customHeight="1">
      <c r="A167" s="35">
        <v>44965.0</v>
      </c>
      <c r="B167" s="38">
        <v>7.9</v>
      </c>
      <c r="C167" s="11">
        <f t="shared" si="1"/>
        <v>-0.04242424242</v>
      </c>
      <c r="D167" s="13">
        <f t="shared" si="2"/>
        <v>-0.04242424242</v>
      </c>
      <c r="E167" s="35">
        <v>44965.0</v>
      </c>
      <c r="F167" s="12">
        <v>19526.55</v>
      </c>
      <c r="G167" s="11">
        <v>-0.01048975</v>
      </c>
      <c r="H167" s="13">
        <v>-0.0105</v>
      </c>
      <c r="J167" s="15"/>
      <c r="K167" s="11"/>
      <c r="L167" s="11"/>
      <c r="M167" s="11"/>
      <c r="N167" s="11"/>
    </row>
    <row r="168" ht="15.75" customHeight="1">
      <c r="A168" s="35">
        <v>44934.0</v>
      </c>
      <c r="B168" s="38">
        <v>8.25</v>
      </c>
      <c r="C168" s="11">
        <f t="shared" si="1"/>
        <v>-0.006024096386</v>
      </c>
      <c r="D168" s="13">
        <f t="shared" si="2"/>
        <v>-0.006024096386</v>
      </c>
      <c r="E168" s="35">
        <v>44934.0</v>
      </c>
      <c r="F168" s="12">
        <v>19733.55</v>
      </c>
      <c r="G168" s="11">
        <v>-0.001025119</v>
      </c>
      <c r="H168" s="13">
        <v>-0.001</v>
      </c>
      <c r="J168" s="15"/>
      <c r="K168" s="11"/>
      <c r="L168" s="11"/>
      <c r="M168" s="11"/>
      <c r="N168" s="11"/>
    </row>
    <row r="169" ht="15.75" customHeight="1">
      <c r="A169" s="11" t="s">
        <v>204</v>
      </c>
      <c r="B169" s="38">
        <v>8.3</v>
      </c>
      <c r="C169" s="11">
        <f t="shared" si="1"/>
        <v>-0.005988023952</v>
      </c>
      <c r="D169" s="13">
        <f t="shared" si="2"/>
        <v>-0.005988023952</v>
      </c>
      <c r="E169" s="11" t="s">
        <v>204</v>
      </c>
      <c r="F169" s="12">
        <v>19753.8</v>
      </c>
      <c r="G169" s="11">
        <v>0.005484563</v>
      </c>
      <c r="H169" s="13">
        <v>0.0055</v>
      </c>
      <c r="J169" s="15"/>
      <c r="K169" s="11"/>
      <c r="L169" s="11"/>
      <c r="M169" s="11"/>
      <c r="N169" s="11"/>
    </row>
    <row r="170" ht="15.75" customHeight="1">
      <c r="A170" s="11" t="s">
        <v>205</v>
      </c>
      <c r="B170" s="38">
        <v>8.35</v>
      </c>
      <c r="C170" s="11">
        <f t="shared" si="1"/>
        <v>-0.01764705882</v>
      </c>
      <c r="D170" s="13">
        <f t="shared" si="2"/>
        <v>-0.01764705882</v>
      </c>
      <c r="E170" s="11" t="s">
        <v>205</v>
      </c>
      <c r="F170" s="12">
        <v>19646.05</v>
      </c>
      <c r="G170" s="11">
        <v>-7.0448E-4</v>
      </c>
      <c r="H170" s="13">
        <v>-7.0E-4</v>
      </c>
      <c r="J170" s="15"/>
      <c r="K170" s="11"/>
      <c r="L170" s="11"/>
      <c r="M170" s="11"/>
      <c r="N170" s="11"/>
    </row>
    <row r="171" ht="15.75" customHeight="1">
      <c r="A171" s="11" t="s">
        <v>206</v>
      </c>
      <c r="B171" s="38">
        <v>8.5</v>
      </c>
      <c r="C171" s="11">
        <f t="shared" si="1"/>
        <v>-0.02857142857</v>
      </c>
      <c r="D171" s="13">
        <f t="shared" si="2"/>
        <v>-0.02857142857</v>
      </c>
      <c r="E171" s="11" t="s">
        <v>206</v>
      </c>
      <c r="F171" s="12">
        <v>19659.9</v>
      </c>
      <c r="G171" s="11">
        <v>-0.005986359</v>
      </c>
      <c r="H171" s="13">
        <v>-0.006</v>
      </c>
      <c r="J171" s="15"/>
      <c r="K171" s="11"/>
      <c r="L171" s="11"/>
      <c r="M171" s="11"/>
      <c r="N171" s="11"/>
    </row>
    <row r="172" ht="15.75" customHeight="1">
      <c r="A172" s="11" t="s">
        <v>207</v>
      </c>
      <c r="B172" s="38">
        <v>8.75</v>
      </c>
      <c r="C172" s="11">
        <f t="shared" si="1"/>
        <v>0.1075949367</v>
      </c>
      <c r="D172" s="13">
        <f t="shared" si="2"/>
        <v>0.1075949367</v>
      </c>
      <c r="E172" s="11" t="s">
        <v>207</v>
      </c>
      <c r="F172" s="12">
        <v>19778.3</v>
      </c>
      <c r="G172" s="11">
        <v>0.00496428</v>
      </c>
      <c r="H172" s="13">
        <v>0.005</v>
      </c>
      <c r="J172" s="15"/>
      <c r="K172" s="11"/>
      <c r="L172" s="11"/>
      <c r="M172" s="11"/>
      <c r="N172" s="11"/>
    </row>
    <row r="173" ht="15.75" customHeight="1">
      <c r="A173" s="11" t="s">
        <v>208</v>
      </c>
      <c r="B173" s="38">
        <v>7.9</v>
      </c>
      <c r="C173" s="11">
        <f t="shared" si="1"/>
        <v>0</v>
      </c>
      <c r="D173" s="13">
        <f t="shared" si="2"/>
        <v>0</v>
      </c>
      <c r="E173" s="11" t="s">
        <v>208</v>
      </c>
      <c r="F173" s="12">
        <v>19680.6</v>
      </c>
      <c r="G173" s="11">
        <v>4.1937E-4</v>
      </c>
      <c r="H173" s="13">
        <v>4.0E-4</v>
      </c>
      <c r="J173" s="15"/>
      <c r="K173" s="11"/>
      <c r="L173" s="11"/>
      <c r="M173" s="11"/>
      <c r="N173" s="11"/>
    </row>
    <row r="174" ht="15.75" customHeight="1">
      <c r="A174" s="11" t="s">
        <v>209</v>
      </c>
      <c r="B174" s="38">
        <v>7.9</v>
      </c>
      <c r="C174" s="11">
        <f t="shared" si="1"/>
        <v>0.006369426752</v>
      </c>
      <c r="D174" s="13">
        <f t="shared" si="2"/>
        <v>0.006369426752</v>
      </c>
      <c r="E174" s="11" t="s">
        <v>209</v>
      </c>
      <c r="F174" s="12">
        <v>19672.35</v>
      </c>
      <c r="G174" s="11">
        <v>-0.003679413</v>
      </c>
      <c r="H174" s="13">
        <v>-0.0037</v>
      </c>
      <c r="J174" s="15"/>
      <c r="K174" s="11"/>
      <c r="L174" s="11"/>
      <c r="M174" s="11"/>
      <c r="N174" s="11"/>
    </row>
    <row r="175" ht="15.75" customHeight="1">
      <c r="A175" s="11" t="s">
        <v>210</v>
      </c>
      <c r="B175" s="38">
        <v>7.85</v>
      </c>
      <c r="C175" s="11">
        <f t="shared" si="1"/>
        <v>0.03973509934</v>
      </c>
      <c r="D175" s="13">
        <f t="shared" si="2"/>
        <v>0.03973509934</v>
      </c>
      <c r="E175" s="11" t="s">
        <v>210</v>
      </c>
      <c r="F175" s="12">
        <v>19745.0</v>
      </c>
      <c r="G175" s="11">
        <v>-0.011719718</v>
      </c>
      <c r="H175" s="13">
        <v>-0.0117</v>
      </c>
      <c r="J175" s="15"/>
      <c r="K175" s="11"/>
      <c r="L175" s="11"/>
      <c r="M175" s="11"/>
      <c r="N175" s="11"/>
    </row>
    <row r="176" ht="15.75" customHeight="1">
      <c r="A176" s="11" t="s">
        <v>211</v>
      </c>
      <c r="B176" s="38">
        <v>7.55</v>
      </c>
      <c r="C176" s="11">
        <f t="shared" si="1"/>
        <v>-0.01948051948</v>
      </c>
      <c r="D176" s="13">
        <f t="shared" si="2"/>
        <v>-0.01948051948</v>
      </c>
      <c r="E176" s="11" t="s">
        <v>211</v>
      </c>
      <c r="F176" s="12">
        <v>19979.15</v>
      </c>
      <c r="G176" s="11">
        <v>0.007361413</v>
      </c>
      <c r="H176" s="13">
        <v>0.0074</v>
      </c>
      <c r="J176" s="15"/>
      <c r="K176" s="11"/>
      <c r="L176" s="11"/>
      <c r="M176" s="11"/>
      <c r="N176" s="11"/>
    </row>
    <row r="177" ht="15.75" customHeight="1">
      <c r="A177" s="11" t="s">
        <v>212</v>
      </c>
      <c r="B177" s="38">
        <v>7.7</v>
      </c>
      <c r="C177" s="11">
        <f t="shared" si="1"/>
        <v>0.006535947712</v>
      </c>
      <c r="D177" s="13">
        <f t="shared" si="2"/>
        <v>0.006535947712</v>
      </c>
      <c r="E177" s="11" t="s">
        <v>212</v>
      </c>
      <c r="F177" s="12">
        <v>19833.15</v>
      </c>
      <c r="G177" s="11">
        <v>0.004248263</v>
      </c>
      <c r="H177" s="13">
        <v>0.0042</v>
      </c>
      <c r="J177" s="15"/>
      <c r="K177" s="11"/>
      <c r="L177" s="11"/>
      <c r="M177" s="11"/>
      <c r="N177" s="11"/>
    </row>
    <row r="178" ht="15.75" customHeight="1">
      <c r="A178" s="11" t="s">
        <v>213</v>
      </c>
      <c r="B178" s="38">
        <v>7.65</v>
      </c>
      <c r="C178" s="11">
        <f t="shared" si="1"/>
        <v>0.006578947368</v>
      </c>
      <c r="D178" s="13">
        <f t="shared" si="2"/>
        <v>0.006578947368</v>
      </c>
      <c r="E178" s="11" t="s">
        <v>213</v>
      </c>
      <c r="F178" s="12">
        <v>19749.25</v>
      </c>
      <c r="G178" s="11">
        <v>0.001917667</v>
      </c>
      <c r="H178" s="13">
        <v>0.0019</v>
      </c>
      <c r="J178" s="15"/>
      <c r="K178" s="11"/>
      <c r="L178" s="11"/>
      <c r="M178" s="11"/>
      <c r="N178" s="11"/>
    </row>
    <row r="179" ht="15.75" customHeight="1">
      <c r="A179" s="11" t="s">
        <v>214</v>
      </c>
      <c r="B179" s="38">
        <v>7.6</v>
      </c>
      <c r="C179" s="11">
        <f t="shared" si="1"/>
        <v>0.03401360544</v>
      </c>
      <c r="D179" s="13">
        <f t="shared" si="2"/>
        <v>0.03401360544</v>
      </c>
      <c r="E179" s="11" t="s">
        <v>214</v>
      </c>
      <c r="F179" s="12">
        <v>19711.45</v>
      </c>
      <c r="G179" s="11">
        <v>0.007511053</v>
      </c>
      <c r="H179" s="13">
        <v>0.0075</v>
      </c>
      <c r="J179" s="15"/>
      <c r="K179" s="11"/>
      <c r="L179" s="11"/>
      <c r="M179" s="11"/>
      <c r="N179" s="11"/>
    </row>
    <row r="180" ht="15.75" customHeight="1">
      <c r="A180" s="11" t="s">
        <v>215</v>
      </c>
      <c r="B180" s="38">
        <v>7.35</v>
      </c>
      <c r="C180" s="11">
        <f t="shared" si="1"/>
        <v>0.01379310345</v>
      </c>
      <c r="D180" s="13">
        <f t="shared" si="2"/>
        <v>0.01379310345</v>
      </c>
      <c r="E180" s="11" t="s">
        <v>215</v>
      </c>
      <c r="F180" s="12">
        <v>19564.5</v>
      </c>
      <c r="G180" s="11">
        <v>0.007765115</v>
      </c>
      <c r="H180" s="13">
        <v>0.0078</v>
      </c>
      <c r="J180" s="15"/>
      <c r="K180" s="11"/>
      <c r="L180" s="11"/>
      <c r="M180" s="11"/>
      <c r="N180" s="11"/>
    </row>
    <row r="181" ht="15.75" customHeight="1">
      <c r="A181" s="11" t="s">
        <v>216</v>
      </c>
      <c r="B181" s="38">
        <v>7.25</v>
      </c>
      <c r="C181" s="11">
        <f t="shared" si="1"/>
        <v>-0.01360544218</v>
      </c>
      <c r="D181" s="13">
        <f t="shared" si="2"/>
        <v>-0.01360544218</v>
      </c>
      <c r="E181" s="11" t="s">
        <v>216</v>
      </c>
      <c r="F181" s="12">
        <v>19413.75</v>
      </c>
      <c r="G181" s="11">
        <v>0.001519271</v>
      </c>
      <c r="H181" s="13">
        <v>0.0015</v>
      </c>
      <c r="J181" s="15"/>
      <c r="K181" s="11"/>
      <c r="L181" s="11"/>
      <c r="M181" s="11"/>
      <c r="N181" s="11"/>
    </row>
    <row r="182" ht="15.75" customHeight="1">
      <c r="A182" s="35">
        <v>45267.0</v>
      </c>
      <c r="B182" s="38">
        <v>7.35</v>
      </c>
      <c r="C182" s="11">
        <f t="shared" si="1"/>
        <v>0</v>
      </c>
      <c r="D182" s="13">
        <f t="shared" si="2"/>
        <v>0</v>
      </c>
      <c r="E182" s="35">
        <v>45267.0</v>
      </c>
      <c r="F182" s="12">
        <v>19384.3</v>
      </c>
      <c r="G182" s="11">
        <v>-0.00283445</v>
      </c>
      <c r="H182" s="13">
        <v>-0.0028</v>
      </c>
      <c r="J182" s="15"/>
      <c r="K182" s="11"/>
      <c r="L182" s="11"/>
      <c r="M182" s="11"/>
      <c r="N182" s="11"/>
    </row>
    <row r="183" ht="15.75" customHeight="1">
      <c r="A183" s="35">
        <v>45237.0</v>
      </c>
      <c r="B183" s="38">
        <v>7.35</v>
      </c>
      <c r="C183" s="11">
        <f t="shared" si="1"/>
        <v>-0.006756756757</v>
      </c>
      <c r="D183" s="13">
        <f t="shared" si="2"/>
        <v>-0.006756756757</v>
      </c>
      <c r="E183" s="35">
        <v>45237.0</v>
      </c>
      <c r="F183" s="12">
        <v>19439.4</v>
      </c>
      <c r="G183" s="11">
        <v>0.00431393</v>
      </c>
      <c r="H183" s="13">
        <v>0.0043</v>
      </c>
      <c r="J183" s="15"/>
      <c r="K183" s="11"/>
      <c r="L183" s="11"/>
      <c r="M183" s="11"/>
      <c r="N183" s="11"/>
    </row>
    <row r="184" ht="15.75" customHeight="1">
      <c r="A184" s="35">
        <v>45206.0</v>
      </c>
      <c r="B184" s="38">
        <v>7.4</v>
      </c>
      <c r="C184" s="11">
        <f t="shared" si="1"/>
        <v>-0.006711409396</v>
      </c>
      <c r="D184" s="13">
        <f t="shared" si="2"/>
        <v>-0.006711409396</v>
      </c>
      <c r="E184" s="35">
        <v>45206.0</v>
      </c>
      <c r="F184" s="12">
        <v>19355.9</v>
      </c>
      <c r="G184" s="11">
        <v>0.001246651</v>
      </c>
      <c r="H184" s="13">
        <v>0.0012</v>
      </c>
      <c r="J184" s="15"/>
      <c r="K184" s="11"/>
      <c r="L184" s="11"/>
      <c r="M184" s="11"/>
      <c r="N184" s="11"/>
    </row>
    <row r="185" ht="15.75" customHeight="1">
      <c r="A185" s="35">
        <v>45114.0</v>
      </c>
      <c r="B185" s="38">
        <v>7.45</v>
      </c>
      <c r="C185" s="11">
        <f t="shared" si="1"/>
        <v>-0.006666666667</v>
      </c>
      <c r="D185" s="13">
        <f t="shared" si="2"/>
        <v>-0.006666666667</v>
      </c>
      <c r="E185" s="35">
        <v>45114.0</v>
      </c>
      <c r="F185" s="12">
        <v>19331.8</v>
      </c>
      <c r="G185" s="11">
        <v>-0.008488355</v>
      </c>
      <c r="H185" s="13">
        <v>-0.0085</v>
      </c>
      <c r="J185" s="15"/>
      <c r="K185" s="11"/>
      <c r="L185" s="11"/>
      <c r="M185" s="11"/>
      <c r="N185" s="11"/>
    </row>
    <row r="186" ht="15.75" customHeight="1">
      <c r="A186" s="35">
        <v>45084.0</v>
      </c>
      <c r="B186" s="38">
        <v>7.5</v>
      </c>
      <c r="C186" s="11">
        <f t="shared" si="1"/>
        <v>0.01351351351</v>
      </c>
      <c r="D186" s="13">
        <f t="shared" si="2"/>
        <v>0.01351351351</v>
      </c>
      <c r="E186" s="35">
        <v>45084.0</v>
      </c>
      <c r="F186" s="12">
        <v>19497.3</v>
      </c>
      <c r="G186" s="11">
        <v>0.005093177</v>
      </c>
      <c r="H186" s="13">
        <v>0.0051</v>
      </c>
      <c r="J186" s="15"/>
      <c r="K186" s="11"/>
      <c r="L186" s="11"/>
      <c r="M186" s="11"/>
      <c r="N186" s="11"/>
    </row>
    <row r="187" ht="15.75" customHeight="1">
      <c r="A187" s="35">
        <v>45053.0</v>
      </c>
      <c r="B187" s="38">
        <v>7.4</v>
      </c>
      <c r="C187" s="11">
        <f t="shared" si="1"/>
        <v>-0.006711409396</v>
      </c>
      <c r="D187" s="13">
        <f t="shared" si="2"/>
        <v>-0.006711409396</v>
      </c>
      <c r="E187" s="35">
        <v>45053.0</v>
      </c>
      <c r="F187" s="12">
        <v>19398.5</v>
      </c>
      <c r="G187" s="11">
        <v>4.89969E-4</v>
      </c>
      <c r="H187" s="13">
        <v>5.0E-4</v>
      </c>
      <c r="J187" s="15"/>
      <c r="K187" s="11"/>
      <c r="L187" s="11"/>
      <c r="M187" s="11"/>
      <c r="N187" s="11"/>
    </row>
    <row r="188" ht="15.75" customHeight="1">
      <c r="A188" s="35">
        <v>45023.0</v>
      </c>
      <c r="B188" s="38">
        <v>7.45</v>
      </c>
      <c r="C188" s="11">
        <f t="shared" si="1"/>
        <v>-0.01324503311</v>
      </c>
      <c r="D188" s="13">
        <f t="shared" si="2"/>
        <v>-0.01324503311</v>
      </c>
      <c r="E188" s="35">
        <v>45023.0</v>
      </c>
      <c r="F188" s="12">
        <v>19389.0</v>
      </c>
      <c r="G188" s="11">
        <v>0.003438987</v>
      </c>
      <c r="H188" s="13">
        <v>0.0034</v>
      </c>
      <c r="J188" s="15"/>
      <c r="K188" s="11"/>
      <c r="L188" s="11"/>
      <c r="M188" s="11"/>
      <c r="N188" s="11"/>
    </row>
    <row r="189" ht="15.75" customHeight="1">
      <c r="A189" s="35">
        <v>44992.0</v>
      </c>
      <c r="B189" s="38">
        <v>7.55</v>
      </c>
      <c r="C189" s="11">
        <f t="shared" si="1"/>
        <v>0.01342281879</v>
      </c>
      <c r="D189" s="13">
        <f t="shared" si="2"/>
        <v>0.01342281879</v>
      </c>
      <c r="E189" s="35">
        <v>44992.0</v>
      </c>
      <c r="F189" s="12">
        <v>19322.55</v>
      </c>
      <c r="G189" s="11">
        <v>0.006957093</v>
      </c>
      <c r="H189" s="13">
        <v>0.007</v>
      </c>
      <c r="J189" s="15"/>
      <c r="K189" s="11"/>
      <c r="L189" s="11"/>
      <c r="M189" s="11"/>
      <c r="N189" s="11"/>
    </row>
    <row r="190" ht="15.75" customHeight="1">
      <c r="A190" s="11" t="s">
        <v>217</v>
      </c>
      <c r="B190" s="38">
        <v>7.45</v>
      </c>
      <c r="C190" s="11">
        <f t="shared" si="1"/>
        <v>0</v>
      </c>
      <c r="D190" s="13">
        <f t="shared" si="2"/>
        <v>0</v>
      </c>
      <c r="E190" s="11" t="s">
        <v>217</v>
      </c>
      <c r="F190" s="12">
        <v>19189.05</v>
      </c>
      <c r="G190" s="11">
        <v>0.011435213</v>
      </c>
      <c r="H190" s="13">
        <v>0.0114</v>
      </c>
      <c r="J190" s="15"/>
      <c r="K190" s="11"/>
      <c r="L190" s="11"/>
      <c r="M190" s="11"/>
      <c r="N190" s="11"/>
    </row>
    <row r="191" ht="15.75" customHeight="1">
      <c r="A191" s="11" t="s">
        <v>218</v>
      </c>
      <c r="B191" s="38">
        <v>7.45</v>
      </c>
      <c r="C191" s="11">
        <f t="shared" si="1"/>
        <v>-0.006666666667</v>
      </c>
      <c r="D191" s="13">
        <f t="shared" si="2"/>
        <v>-0.006666666667</v>
      </c>
      <c r="E191" s="11" t="s">
        <v>218</v>
      </c>
      <c r="F191" s="12">
        <v>18972.1</v>
      </c>
      <c r="G191" s="11">
        <v>0.008221115</v>
      </c>
      <c r="H191" s="13">
        <v>0.0082</v>
      </c>
      <c r="J191" s="15"/>
      <c r="K191" s="11"/>
      <c r="L191" s="11"/>
      <c r="M191" s="11"/>
      <c r="N191" s="11"/>
    </row>
    <row r="192" ht="15.75" customHeight="1">
      <c r="A192" s="11" t="s">
        <v>219</v>
      </c>
      <c r="B192" s="38">
        <v>7.5</v>
      </c>
      <c r="C192" s="11">
        <f t="shared" si="1"/>
        <v>-0.01960784314</v>
      </c>
      <c r="D192" s="13">
        <f t="shared" si="2"/>
        <v>-0.01960784314</v>
      </c>
      <c r="E192" s="11" t="s">
        <v>219</v>
      </c>
      <c r="F192" s="12">
        <v>18817.4</v>
      </c>
      <c r="G192" s="11">
        <v>0.00675184</v>
      </c>
      <c r="H192" s="13">
        <v>0.0068</v>
      </c>
      <c r="J192" s="15"/>
      <c r="K192" s="11"/>
      <c r="L192" s="11"/>
      <c r="M192" s="11"/>
      <c r="N192" s="11"/>
    </row>
    <row r="193" ht="15.75" customHeight="1">
      <c r="A193" s="11" t="s">
        <v>220</v>
      </c>
      <c r="B193" s="38">
        <v>7.65</v>
      </c>
      <c r="C193" s="11">
        <f t="shared" si="1"/>
        <v>0.02684563758</v>
      </c>
      <c r="D193" s="13">
        <f t="shared" si="2"/>
        <v>0.02684563758</v>
      </c>
      <c r="E193" s="11" t="s">
        <v>220</v>
      </c>
      <c r="F193" s="12">
        <v>18691.2</v>
      </c>
      <c r="G193" s="11">
        <v>0.001376872</v>
      </c>
      <c r="H193" s="13">
        <v>0.0014</v>
      </c>
      <c r="J193" s="15"/>
      <c r="K193" s="11"/>
      <c r="L193" s="11"/>
      <c r="M193" s="11"/>
      <c r="N193" s="11"/>
    </row>
    <row r="194" ht="15.75" customHeight="1">
      <c r="A194" s="11" t="s">
        <v>221</v>
      </c>
      <c r="B194" s="38">
        <v>7.45</v>
      </c>
      <c r="C194" s="11">
        <f t="shared" si="1"/>
        <v>0</v>
      </c>
      <c r="D194" s="13">
        <f t="shared" si="2"/>
        <v>0</v>
      </c>
      <c r="E194" s="11" t="s">
        <v>221</v>
      </c>
      <c r="F194" s="12">
        <v>18665.5</v>
      </c>
      <c r="G194" s="11">
        <v>-0.005633615</v>
      </c>
      <c r="H194" s="13">
        <v>-0.0056</v>
      </c>
      <c r="J194" s="15"/>
      <c r="K194" s="11"/>
      <c r="L194" s="11"/>
      <c r="M194" s="11"/>
      <c r="N194" s="11"/>
    </row>
    <row r="195" ht="15.75" customHeight="1">
      <c r="A195" s="11" t="s">
        <v>222</v>
      </c>
      <c r="B195" s="38">
        <v>7.45</v>
      </c>
      <c r="C195" s="11">
        <f t="shared" si="1"/>
        <v>-0.03870967742</v>
      </c>
      <c r="D195" s="13">
        <f t="shared" si="2"/>
        <v>-0.03870967742</v>
      </c>
      <c r="E195" s="11" t="s">
        <v>222</v>
      </c>
      <c r="F195" s="12">
        <v>18771.25</v>
      </c>
      <c r="G195" s="11">
        <v>-0.004539464</v>
      </c>
      <c r="H195" s="13">
        <v>-0.0045</v>
      </c>
      <c r="J195" s="15"/>
      <c r="K195" s="11"/>
      <c r="L195" s="11"/>
      <c r="M195" s="11"/>
      <c r="N195" s="11"/>
    </row>
    <row r="196" ht="15.75" customHeight="1">
      <c r="A196" s="11" t="s">
        <v>223</v>
      </c>
      <c r="B196" s="38">
        <v>7.75</v>
      </c>
      <c r="C196" s="11">
        <f t="shared" si="1"/>
        <v>0.0472972973</v>
      </c>
      <c r="D196" s="13">
        <f t="shared" si="2"/>
        <v>0.0472972973</v>
      </c>
      <c r="E196" s="11" t="s">
        <v>223</v>
      </c>
      <c r="F196" s="12">
        <v>18856.85</v>
      </c>
      <c r="G196" s="11">
        <v>0.002133743</v>
      </c>
      <c r="H196" s="13">
        <v>0.0021</v>
      </c>
      <c r="J196" s="15"/>
      <c r="K196" s="11"/>
      <c r="L196" s="11"/>
      <c r="M196" s="11"/>
      <c r="N196" s="11"/>
    </row>
    <row r="197" ht="15.75" customHeight="1">
      <c r="A197" s="11" t="s">
        <v>224</v>
      </c>
      <c r="B197" s="38">
        <v>7.4</v>
      </c>
      <c r="C197" s="11">
        <f t="shared" si="1"/>
        <v>-0.02631578947</v>
      </c>
      <c r="D197" s="13">
        <f t="shared" si="2"/>
        <v>-0.02631578947</v>
      </c>
      <c r="E197" s="11" t="s">
        <v>224</v>
      </c>
      <c r="F197" s="12">
        <v>18816.7</v>
      </c>
      <c r="G197" s="11">
        <v>0.003265717</v>
      </c>
      <c r="H197" s="13">
        <v>0.0033</v>
      </c>
      <c r="J197" s="15"/>
      <c r="K197" s="11"/>
      <c r="L197" s="11"/>
      <c r="M197" s="11"/>
      <c r="N197" s="11"/>
    </row>
    <row r="198" ht="15.75" customHeight="1">
      <c r="A198" s="11" t="s">
        <v>225</v>
      </c>
      <c r="B198" s="38">
        <v>7.6</v>
      </c>
      <c r="C198" s="11">
        <f t="shared" si="1"/>
        <v>-0.02564102564</v>
      </c>
      <c r="D198" s="13">
        <f t="shared" si="2"/>
        <v>-0.02564102564</v>
      </c>
      <c r="E198" s="11" t="s">
        <v>225</v>
      </c>
      <c r="F198" s="12">
        <v>18755.45</v>
      </c>
      <c r="G198" s="11">
        <v>-0.003747477</v>
      </c>
      <c r="H198" s="13">
        <v>-0.0037</v>
      </c>
      <c r="J198" s="15"/>
      <c r="K198" s="11"/>
      <c r="L198" s="11"/>
      <c r="M198" s="11"/>
      <c r="N198" s="11"/>
    </row>
    <row r="199" ht="15.75" customHeight="1">
      <c r="A199" s="11" t="s">
        <v>226</v>
      </c>
      <c r="B199" s="38">
        <v>7.8</v>
      </c>
      <c r="C199" s="11">
        <f t="shared" si="1"/>
        <v>0</v>
      </c>
      <c r="D199" s="13">
        <f t="shared" si="2"/>
        <v>0</v>
      </c>
      <c r="E199" s="11" t="s">
        <v>226</v>
      </c>
      <c r="F199" s="12">
        <v>18826.0</v>
      </c>
      <c r="G199" s="11">
        <v>0.007379027</v>
      </c>
      <c r="H199" s="13">
        <v>0.0074</v>
      </c>
      <c r="J199" s="15"/>
      <c r="K199" s="11"/>
      <c r="L199" s="11"/>
      <c r="M199" s="11"/>
      <c r="N199" s="11"/>
    </row>
    <row r="200" ht="15.75" customHeight="1">
      <c r="A200" s="11" t="s">
        <v>227</v>
      </c>
      <c r="B200" s="38">
        <v>7.8</v>
      </c>
      <c r="C200" s="11">
        <f t="shared" si="1"/>
        <v>-0.01265822785</v>
      </c>
      <c r="D200" s="13">
        <f t="shared" si="2"/>
        <v>-0.01265822785</v>
      </c>
      <c r="E200" s="11" t="s">
        <v>227</v>
      </c>
      <c r="F200" s="12">
        <v>18688.1</v>
      </c>
      <c r="G200" s="11">
        <v>-0.003614863</v>
      </c>
      <c r="H200" s="13">
        <v>-0.0036</v>
      </c>
      <c r="J200" s="15"/>
      <c r="K200" s="11"/>
      <c r="L200" s="11"/>
      <c r="M200" s="11"/>
      <c r="N200" s="11"/>
    </row>
    <row r="201" ht="15.75" customHeight="1">
      <c r="A201" s="11" t="s">
        <v>228</v>
      </c>
      <c r="B201" s="38">
        <v>7.9</v>
      </c>
      <c r="C201" s="11">
        <f t="shared" si="1"/>
        <v>0.02597402597</v>
      </c>
      <c r="D201" s="13">
        <f t="shared" si="2"/>
        <v>0.02597402597</v>
      </c>
      <c r="E201" s="11" t="s">
        <v>228</v>
      </c>
      <c r="F201" s="12">
        <v>18755.9</v>
      </c>
      <c r="G201" s="11">
        <v>0.002123834</v>
      </c>
      <c r="H201" s="13">
        <v>0.0021</v>
      </c>
      <c r="J201" s="15"/>
      <c r="K201" s="11"/>
      <c r="L201" s="11"/>
      <c r="M201" s="11"/>
      <c r="N201" s="11"/>
    </row>
    <row r="202" ht="15.75" customHeight="1">
      <c r="A202" s="11" t="s">
        <v>229</v>
      </c>
      <c r="B202" s="38">
        <v>7.7</v>
      </c>
      <c r="C202" s="11">
        <f t="shared" si="1"/>
        <v>0.02666666667</v>
      </c>
      <c r="D202" s="13">
        <f t="shared" si="2"/>
        <v>0.02666666667</v>
      </c>
      <c r="E202" s="11" t="s">
        <v>229</v>
      </c>
      <c r="F202" s="12">
        <v>18716.15</v>
      </c>
      <c r="G202" s="11">
        <v>0.006163481</v>
      </c>
      <c r="H202" s="13">
        <v>0.0062</v>
      </c>
      <c r="J202" s="15"/>
      <c r="K202" s="11"/>
      <c r="L202" s="11"/>
      <c r="M202" s="11"/>
      <c r="N202" s="11"/>
    </row>
    <row r="203" ht="15.75" customHeight="1">
      <c r="A203" s="35">
        <v>45266.0</v>
      </c>
      <c r="B203" s="38">
        <v>7.5</v>
      </c>
      <c r="C203" s="11">
        <f t="shared" si="1"/>
        <v>0.02739726027</v>
      </c>
      <c r="D203" s="13">
        <f t="shared" si="2"/>
        <v>0.02739726027</v>
      </c>
      <c r="E203" s="35">
        <v>45266.0</v>
      </c>
      <c r="F203" s="12">
        <v>18601.5</v>
      </c>
      <c r="G203" s="11">
        <v>0.002052426</v>
      </c>
      <c r="H203" s="13">
        <v>0.0021</v>
      </c>
      <c r="J203" s="15"/>
      <c r="K203" s="11"/>
      <c r="L203" s="11"/>
      <c r="M203" s="11"/>
      <c r="N203" s="11"/>
    </row>
    <row r="204" ht="15.75" customHeight="1">
      <c r="A204" s="35">
        <v>45175.0</v>
      </c>
      <c r="B204" s="38">
        <v>7.3</v>
      </c>
      <c r="C204" s="11">
        <f t="shared" si="1"/>
        <v>-0.006802721088</v>
      </c>
      <c r="D204" s="13">
        <f t="shared" si="2"/>
        <v>-0.006802721088</v>
      </c>
      <c r="E204" s="35">
        <v>45175.0</v>
      </c>
      <c r="F204" s="12">
        <v>18563.4</v>
      </c>
      <c r="G204" s="11">
        <v>-0.003818176</v>
      </c>
      <c r="H204" s="13">
        <v>-0.0038</v>
      </c>
      <c r="J204" s="15"/>
      <c r="K204" s="11"/>
      <c r="L204" s="11"/>
      <c r="M204" s="11"/>
      <c r="N204" s="11"/>
    </row>
    <row r="205" ht="15.75" customHeight="1">
      <c r="A205" s="35">
        <v>45144.0</v>
      </c>
      <c r="B205" s="38">
        <v>7.35</v>
      </c>
      <c r="C205" s="11">
        <f t="shared" si="1"/>
        <v>-0.03921568627</v>
      </c>
      <c r="D205" s="13">
        <f t="shared" si="2"/>
        <v>-0.03921568627</v>
      </c>
      <c r="E205" s="35">
        <v>45144.0</v>
      </c>
      <c r="F205" s="12">
        <v>18634.55</v>
      </c>
      <c r="G205" s="11">
        <v>-0.00490484</v>
      </c>
      <c r="H205" s="13">
        <v>-0.0049</v>
      </c>
      <c r="J205" s="15"/>
      <c r="K205" s="11"/>
      <c r="L205" s="11"/>
      <c r="M205" s="11"/>
      <c r="N205" s="11"/>
    </row>
    <row r="206" ht="15.75" customHeight="1">
      <c r="A206" s="35">
        <v>45113.0</v>
      </c>
      <c r="B206" s="38">
        <v>7.65</v>
      </c>
      <c r="C206" s="11">
        <f t="shared" si="1"/>
        <v>0.08510638298</v>
      </c>
      <c r="D206" s="13">
        <f t="shared" si="2"/>
        <v>0.08510638298</v>
      </c>
      <c r="E206" s="35">
        <v>45113.0</v>
      </c>
      <c r="F206" s="12">
        <v>18726.4</v>
      </c>
      <c r="G206" s="11">
        <v>0.006849831</v>
      </c>
      <c r="H206" s="13">
        <v>0.0068</v>
      </c>
      <c r="J206" s="15"/>
      <c r="K206" s="11"/>
      <c r="L206" s="11"/>
      <c r="M206" s="11"/>
      <c r="N206" s="11"/>
    </row>
    <row r="207" ht="15.75" customHeight="1">
      <c r="A207" s="35">
        <v>45083.0</v>
      </c>
      <c r="B207" s="38">
        <v>7.05</v>
      </c>
      <c r="C207" s="11">
        <f t="shared" si="1"/>
        <v>-0.01398601399</v>
      </c>
      <c r="D207" s="13">
        <f t="shared" si="2"/>
        <v>-0.01398601399</v>
      </c>
      <c r="E207" s="35">
        <v>45083.0</v>
      </c>
      <c r="F207" s="12">
        <v>18599.0</v>
      </c>
      <c r="G207" s="11">
        <v>2.76973E-4</v>
      </c>
      <c r="H207" s="13">
        <v>3.0E-4</v>
      </c>
      <c r="J207" s="15"/>
      <c r="K207" s="11"/>
      <c r="L207" s="11"/>
      <c r="M207" s="11"/>
      <c r="N207" s="11"/>
    </row>
    <row r="208" ht="15.75" customHeight="1">
      <c r="A208" s="35">
        <v>45052.0</v>
      </c>
      <c r="B208" s="38">
        <v>7.15</v>
      </c>
      <c r="C208" s="11">
        <f t="shared" si="1"/>
        <v>0</v>
      </c>
      <c r="D208" s="13">
        <f t="shared" si="2"/>
        <v>0</v>
      </c>
      <c r="E208" s="35">
        <v>45052.0</v>
      </c>
      <c r="F208" s="12">
        <v>18593.85</v>
      </c>
      <c r="G208" s="11">
        <v>0.003223788</v>
      </c>
      <c r="H208" s="13">
        <v>0.0032</v>
      </c>
      <c r="J208" s="15"/>
      <c r="K208" s="11"/>
      <c r="L208" s="11"/>
      <c r="M208" s="11"/>
      <c r="N208" s="11"/>
    </row>
    <row r="209" ht="15.75" customHeight="1">
      <c r="A209" s="35">
        <v>44963.0</v>
      </c>
      <c r="B209" s="38">
        <v>7.15</v>
      </c>
      <c r="C209" s="11">
        <f t="shared" si="1"/>
        <v>0</v>
      </c>
      <c r="D209" s="13">
        <f t="shared" si="2"/>
        <v>0</v>
      </c>
      <c r="E209" s="35">
        <v>44963.0</v>
      </c>
      <c r="F209" s="12">
        <v>18534.1</v>
      </c>
      <c r="G209" s="11">
        <v>0.002507065</v>
      </c>
      <c r="H209" s="13">
        <v>0.0025</v>
      </c>
      <c r="J209" s="15"/>
      <c r="K209" s="11"/>
      <c r="L209" s="11"/>
      <c r="M209" s="11"/>
      <c r="N209" s="11"/>
    </row>
    <row r="210" ht="15.75" customHeight="1">
      <c r="A210" s="35">
        <v>44932.0</v>
      </c>
      <c r="B210" s="38">
        <v>7.15</v>
      </c>
      <c r="C210" s="11">
        <f t="shared" si="1"/>
        <v>-0.006944444444</v>
      </c>
      <c r="D210" s="13">
        <f t="shared" si="2"/>
        <v>-0.006944444444</v>
      </c>
      <c r="E210" s="35">
        <v>44932.0</v>
      </c>
      <c r="F210" s="12">
        <v>18487.75</v>
      </c>
      <c r="G210" s="11">
        <v>-0.002516941</v>
      </c>
      <c r="H210" s="13">
        <v>-0.0025</v>
      </c>
      <c r="J210" s="15"/>
      <c r="K210" s="11"/>
      <c r="L210" s="11"/>
      <c r="M210" s="11"/>
      <c r="N210" s="11"/>
    </row>
    <row r="211" ht="15.75" customHeight="1">
      <c r="A211" s="11" t="s">
        <v>230</v>
      </c>
      <c r="B211" s="38">
        <v>7.2</v>
      </c>
      <c r="C211" s="11">
        <f t="shared" si="1"/>
        <v>0.01408450704</v>
      </c>
      <c r="D211" s="13">
        <f t="shared" si="2"/>
        <v>0.01408450704</v>
      </c>
      <c r="E211" s="11" t="s">
        <v>230</v>
      </c>
      <c r="F211" s="12">
        <v>18534.4</v>
      </c>
      <c r="G211" s="11">
        <v>-0.005337061</v>
      </c>
      <c r="H211" s="13">
        <v>-0.0053</v>
      </c>
      <c r="J211" s="15"/>
      <c r="K211" s="11"/>
      <c r="L211" s="11"/>
      <c r="M211" s="11"/>
      <c r="N211" s="11"/>
    </row>
    <row r="212" ht="15.75" customHeight="1">
      <c r="A212" s="11" t="s">
        <v>231</v>
      </c>
      <c r="B212" s="38">
        <v>7.1</v>
      </c>
      <c r="C212" s="11">
        <f t="shared" si="1"/>
        <v>0</v>
      </c>
      <c r="D212" s="13">
        <f t="shared" si="2"/>
        <v>0</v>
      </c>
      <c r="E212" s="11" t="s">
        <v>231</v>
      </c>
      <c r="F212" s="12">
        <v>18633.85</v>
      </c>
      <c r="G212" s="11">
        <v>0.00189261</v>
      </c>
      <c r="H212" s="13">
        <v>0.0019</v>
      </c>
      <c r="J212" s="15"/>
      <c r="K212" s="11"/>
      <c r="L212" s="11"/>
      <c r="M212" s="11"/>
      <c r="N212" s="11"/>
    </row>
    <row r="213" ht="15.75" customHeight="1">
      <c r="A213" s="11" t="s">
        <v>232</v>
      </c>
      <c r="B213" s="38">
        <v>7.1</v>
      </c>
      <c r="C213" s="11">
        <f t="shared" si="1"/>
        <v>0.007092198582</v>
      </c>
      <c r="D213" s="13">
        <f t="shared" si="2"/>
        <v>0.007092198582</v>
      </c>
      <c r="E213" s="11" t="s">
        <v>232</v>
      </c>
      <c r="F213" s="12">
        <v>18598.65</v>
      </c>
      <c r="G213" s="11">
        <v>0.005367756</v>
      </c>
      <c r="H213" s="13">
        <v>0.0054</v>
      </c>
      <c r="J213" s="15"/>
      <c r="K213" s="11"/>
      <c r="L213" s="11"/>
      <c r="M213" s="11"/>
      <c r="N213" s="11"/>
    </row>
    <row r="214" ht="15.75" customHeight="1">
      <c r="A214" s="11" t="s">
        <v>233</v>
      </c>
      <c r="B214" s="38">
        <v>7.05</v>
      </c>
      <c r="C214" s="11">
        <f t="shared" si="1"/>
        <v>0.007142857143</v>
      </c>
      <c r="D214" s="13">
        <f t="shared" si="2"/>
        <v>0.007142857143</v>
      </c>
      <c r="E214" s="11" t="s">
        <v>233</v>
      </c>
      <c r="F214" s="12">
        <v>18499.35</v>
      </c>
      <c r="G214" s="11">
        <v>0.009726464</v>
      </c>
      <c r="H214" s="13">
        <v>0.0097</v>
      </c>
      <c r="J214" s="15"/>
      <c r="K214" s="11"/>
      <c r="L214" s="11"/>
      <c r="M214" s="11"/>
      <c r="N214" s="11"/>
    </row>
    <row r="215" ht="15.75" customHeight="1">
      <c r="A215" s="11" t="s">
        <v>234</v>
      </c>
      <c r="B215" s="38">
        <v>7.0</v>
      </c>
      <c r="C215" s="11">
        <f t="shared" si="1"/>
        <v>0.007194244604</v>
      </c>
      <c r="D215" s="13">
        <f t="shared" si="2"/>
        <v>0.007194244604</v>
      </c>
      <c r="E215" s="11" t="s">
        <v>234</v>
      </c>
      <c r="F215" s="12">
        <v>18321.15</v>
      </c>
      <c r="G215" s="11">
        <v>0.001955112</v>
      </c>
      <c r="H215" s="13">
        <v>0.002</v>
      </c>
      <c r="J215" s="15"/>
      <c r="K215" s="11"/>
      <c r="L215" s="11"/>
      <c r="M215" s="11"/>
      <c r="N215" s="11"/>
    </row>
    <row r="216" ht="15.75" customHeight="1">
      <c r="A216" s="11" t="s">
        <v>235</v>
      </c>
      <c r="B216" s="38">
        <v>6.95</v>
      </c>
      <c r="C216" s="11">
        <f t="shared" si="1"/>
        <v>0</v>
      </c>
      <c r="D216" s="13">
        <f t="shared" si="2"/>
        <v>0</v>
      </c>
      <c r="E216" s="11" t="s">
        <v>235</v>
      </c>
      <c r="F216" s="12">
        <v>18285.4</v>
      </c>
      <c r="G216" s="11">
        <v>-0.003411816</v>
      </c>
      <c r="H216" s="13">
        <v>-0.0034</v>
      </c>
      <c r="J216" s="15"/>
      <c r="K216" s="11"/>
      <c r="L216" s="11"/>
      <c r="M216" s="11"/>
      <c r="N216" s="11"/>
    </row>
    <row r="217" ht="15.75" customHeight="1">
      <c r="A217" s="11" t="s">
        <v>236</v>
      </c>
      <c r="B217" s="38">
        <v>6.95</v>
      </c>
      <c r="C217" s="11">
        <f t="shared" si="1"/>
        <v>-0.007142857143</v>
      </c>
      <c r="D217" s="13">
        <f t="shared" si="2"/>
        <v>-0.007142857143</v>
      </c>
      <c r="E217" s="11" t="s">
        <v>236</v>
      </c>
      <c r="F217" s="12">
        <v>18348.0</v>
      </c>
      <c r="G217" s="11">
        <v>0.001834622</v>
      </c>
      <c r="H217" s="13">
        <v>0.0018</v>
      </c>
      <c r="J217" s="15"/>
      <c r="K217" s="11"/>
      <c r="L217" s="11"/>
      <c r="M217" s="11"/>
      <c r="N217" s="11"/>
    </row>
    <row r="218" ht="15.75" customHeight="1">
      <c r="A218" s="11" t="s">
        <v>237</v>
      </c>
      <c r="B218" s="38">
        <v>7.0</v>
      </c>
      <c r="C218" s="11">
        <f t="shared" si="1"/>
        <v>-0.007092198582</v>
      </c>
      <c r="D218" s="13">
        <f t="shared" si="2"/>
        <v>-0.007092198582</v>
      </c>
      <c r="E218" s="11" t="s">
        <v>237</v>
      </c>
      <c r="F218" s="12">
        <v>18314.4</v>
      </c>
      <c r="G218" s="11">
        <v>0.006097762</v>
      </c>
      <c r="H218" s="13">
        <v>0.0061</v>
      </c>
      <c r="J218" s="15"/>
      <c r="K218" s="11"/>
      <c r="L218" s="11"/>
      <c r="M218" s="11"/>
      <c r="N218" s="11"/>
    </row>
    <row r="219" ht="15.75" customHeight="1">
      <c r="A219" s="11" t="s">
        <v>238</v>
      </c>
      <c r="B219" s="38">
        <v>7.05</v>
      </c>
      <c r="C219" s="11">
        <f t="shared" si="1"/>
        <v>0.007142857143</v>
      </c>
      <c r="D219" s="13">
        <f t="shared" si="2"/>
        <v>0.007142857143</v>
      </c>
      <c r="E219" s="11" t="s">
        <v>238</v>
      </c>
      <c r="F219" s="12">
        <v>18203.4</v>
      </c>
      <c r="G219" s="11">
        <v>0.004051307</v>
      </c>
      <c r="H219" s="13">
        <v>0.0041</v>
      </c>
      <c r="J219" s="15"/>
      <c r="K219" s="11"/>
      <c r="L219" s="11"/>
      <c r="M219" s="11"/>
      <c r="N219" s="11"/>
    </row>
    <row r="220" ht="15.75" customHeight="1">
      <c r="A220" s="11" t="s">
        <v>239</v>
      </c>
      <c r="B220" s="38">
        <v>7.0</v>
      </c>
      <c r="C220" s="11">
        <f t="shared" si="1"/>
        <v>-0.007092198582</v>
      </c>
      <c r="D220" s="13">
        <f t="shared" si="2"/>
        <v>-0.007092198582</v>
      </c>
      <c r="E220" s="11" t="s">
        <v>239</v>
      </c>
      <c r="F220" s="12">
        <v>18129.95</v>
      </c>
      <c r="G220" s="11">
        <v>-0.002849011</v>
      </c>
      <c r="H220" s="13">
        <v>-0.0028</v>
      </c>
      <c r="J220" s="15"/>
      <c r="K220" s="11"/>
      <c r="L220" s="11"/>
      <c r="M220" s="11"/>
      <c r="N220" s="11"/>
    </row>
    <row r="221" ht="15.75" customHeight="1">
      <c r="A221" s="11" t="s">
        <v>240</v>
      </c>
      <c r="B221" s="38">
        <v>7.05</v>
      </c>
      <c r="C221" s="11">
        <f t="shared" si="1"/>
        <v>-0.04081632653</v>
      </c>
      <c r="D221" s="13">
        <f t="shared" si="2"/>
        <v>-0.04081632653</v>
      </c>
      <c r="E221" s="11" t="s">
        <v>240</v>
      </c>
      <c r="F221" s="12">
        <v>18181.75</v>
      </c>
      <c r="G221" s="11">
        <v>-0.005728269</v>
      </c>
      <c r="H221" s="13">
        <v>-0.0057</v>
      </c>
      <c r="J221" s="15"/>
      <c r="K221" s="11"/>
      <c r="L221" s="11"/>
      <c r="M221" s="11"/>
      <c r="N221" s="11"/>
    </row>
    <row r="222" ht="15.75" customHeight="1">
      <c r="A222" s="11" t="s">
        <v>241</v>
      </c>
      <c r="B222" s="38">
        <v>7.35</v>
      </c>
      <c r="C222" s="11">
        <f t="shared" si="1"/>
        <v>0.04255319149</v>
      </c>
      <c r="D222" s="13">
        <f t="shared" si="2"/>
        <v>0.04255319149</v>
      </c>
      <c r="E222" s="11" t="s">
        <v>241</v>
      </c>
      <c r="F222" s="12">
        <v>18286.5</v>
      </c>
      <c r="G222" s="11">
        <v>-0.00610636</v>
      </c>
      <c r="H222" s="13">
        <v>-0.0061</v>
      </c>
      <c r="J222" s="15"/>
      <c r="K222" s="11"/>
      <c r="L222" s="11"/>
      <c r="M222" s="11"/>
      <c r="N222" s="11"/>
    </row>
    <row r="223" ht="15.75" customHeight="1">
      <c r="A223" s="11" t="s">
        <v>242</v>
      </c>
      <c r="B223" s="38">
        <v>7.05</v>
      </c>
      <c r="C223" s="11">
        <f t="shared" si="1"/>
        <v>0.007142857143</v>
      </c>
      <c r="D223" s="13">
        <f t="shared" si="2"/>
        <v>0.007142857143</v>
      </c>
      <c r="E223" s="11" t="s">
        <v>242</v>
      </c>
      <c r="F223" s="12">
        <v>18398.85</v>
      </c>
      <c r="G223" s="11">
        <v>0.004589185</v>
      </c>
      <c r="H223" s="13">
        <v>0.0046</v>
      </c>
      <c r="J223" s="15"/>
      <c r="K223" s="11"/>
      <c r="L223" s="11"/>
      <c r="M223" s="11"/>
      <c r="N223" s="11"/>
    </row>
    <row r="224" ht="15.75" customHeight="1">
      <c r="A224" s="35">
        <v>45265.0</v>
      </c>
      <c r="B224" s="38">
        <v>7.0</v>
      </c>
      <c r="C224" s="11">
        <f t="shared" si="1"/>
        <v>-0.02097902098</v>
      </c>
      <c r="D224" s="13">
        <f t="shared" si="2"/>
        <v>-0.02097902098</v>
      </c>
      <c r="E224" s="35">
        <v>45265.0</v>
      </c>
      <c r="F224" s="12">
        <v>18314.8</v>
      </c>
      <c r="G224" s="11">
        <v>9.72837E-4</v>
      </c>
      <c r="H224" s="13">
        <v>0.001</v>
      </c>
      <c r="J224" s="15"/>
      <c r="K224" s="11"/>
      <c r="L224" s="11"/>
      <c r="M224" s="11"/>
      <c r="N224" s="11"/>
    </row>
    <row r="225" ht="15.75" customHeight="1">
      <c r="A225" s="35">
        <v>45235.0</v>
      </c>
      <c r="B225" s="38">
        <v>7.15</v>
      </c>
      <c r="C225" s="11">
        <f t="shared" si="1"/>
        <v>0.05925925926</v>
      </c>
      <c r="D225" s="13">
        <f t="shared" si="2"/>
        <v>0.05925925926</v>
      </c>
      <c r="E225" s="35">
        <v>45235.0</v>
      </c>
      <c r="F225" s="12">
        <v>18297.0</v>
      </c>
      <c r="G225" s="11">
        <v>-9.88256E-4</v>
      </c>
      <c r="H225" s="13">
        <v>-0.001</v>
      </c>
      <c r="J225" s="15"/>
      <c r="K225" s="11"/>
      <c r="L225" s="11"/>
      <c r="M225" s="11"/>
      <c r="N225" s="11"/>
    </row>
    <row r="226" ht="15.75" customHeight="1">
      <c r="A226" s="35">
        <v>45204.0</v>
      </c>
      <c r="B226" s="38">
        <v>6.75</v>
      </c>
      <c r="C226" s="11">
        <f t="shared" si="1"/>
        <v>-0.007352941176</v>
      </c>
      <c r="D226" s="13">
        <f t="shared" si="2"/>
        <v>-0.007352941176</v>
      </c>
      <c r="E226" s="35">
        <v>45204.0</v>
      </c>
      <c r="F226" s="12">
        <v>18315.1</v>
      </c>
      <c r="G226" s="11">
        <v>0.002690799</v>
      </c>
      <c r="H226" s="13">
        <v>0.0027</v>
      </c>
      <c r="J226" s="15"/>
      <c r="K226" s="11"/>
      <c r="L226" s="11"/>
      <c r="M226" s="11"/>
      <c r="N226" s="11"/>
    </row>
    <row r="227" ht="15.75" customHeight="1">
      <c r="A227" s="35">
        <v>45174.0</v>
      </c>
      <c r="B227" s="38">
        <v>6.8</v>
      </c>
      <c r="C227" s="11">
        <f t="shared" si="1"/>
        <v>-0.01449275362</v>
      </c>
      <c r="D227" s="13">
        <f t="shared" si="2"/>
        <v>-0.01449275362</v>
      </c>
      <c r="E227" s="35">
        <v>45174.0</v>
      </c>
      <c r="F227" s="12">
        <v>18265.95</v>
      </c>
      <c r="G227" s="45">
        <v>8.48645E-5</v>
      </c>
      <c r="H227" s="13">
        <v>1.0E-4</v>
      </c>
      <c r="J227" s="15"/>
      <c r="K227" s="11"/>
      <c r="L227" s="11"/>
      <c r="M227" s="11"/>
      <c r="N227" s="11"/>
    </row>
    <row r="228" ht="15.75" customHeight="1">
      <c r="A228" s="35">
        <v>45143.0</v>
      </c>
      <c r="B228" s="38">
        <v>6.9</v>
      </c>
      <c r="C228" s="11">
        <f t="shared" si="1"/>
        <v>0</v>
      </c>
      <c r="D228" s="13">
        <f t="shared" si="2"/>
        <v>0</v>
      </c>
      <c r="E228" s="35">
        <v>45143.0</v>
      </c>
      <c r="F228" s="12">
        <v>18264.4</v>
      </c>
      <c r="G228" s="11">
        <v>0.010814101</v>
      </c>
      <c r="H228" s="13">
        <v>0.0108</v>
      </c>
      <c r="J228" s="15"/>
      <c r="K228" s="11"/>
      <c r="L228" s="11"/>
      <c r="M228" s="11"/>
      <c r="N228" s="11"/>
    </row>
    <row r="229" ht="15.75" customHeight="1">
      <c r="A229" s="35">
        <v>45051.0</v>
      </c>
      <c r="B229" s="38">
        <v>6.9</v>
      </c>
      <c r="C229" s="11">
        <f t="shared" si="1"/>
        <v>-0.01428571429</v>
      </c>
      <c r="D229" s="13">
        <f t="shared" si="2"/>
        <v>-0.01428571429</v>
      </c>
      <c r="E229" s="35">
        <v>45051.0</v>
      </c>
      <c r="F229" s="12">
        <v>18069.0</v>
      </c>
      <c r="G229" s="11">
        <v>-0.010232365</v>
      </c>
      <c r="H229" s="13">
        <v>-0.0102</v>
      </c>
      <c r="J229" s="15"/>
      <c r="K229" s="11"/>
      <c r="L229" s="11"/>
      <c r="M229" s="11"/>
      <c r="N229" s="11"/>
    </row>
    <row r="230" ht="15.75" customHeight="1">
      <c r="A230" s="35">
        <v>45021.0</v>
      </c>
      <c r="B230" s="38">
        <v>7.0</v>
      </c>
      <c r="C230" s="11">
        <f t="shared" si="1"/>
        <v>0.01449275362</v>
      </c>
      <c r="D230" s="13">
        <f t="shared" si="2"/>
        <v>0.01449275362</v>
      </c>
      <c r="E230" s="35">
        <v>45021.0</v>
      </c>
      <c r="F230" s="12">
        <v>18255.8</v>
      </c>
      <c r="G230" s="11">
        <v>0.009173653</v>
      </c>
      <c r="H230" s="13">
        <v>0.0092</v>
      </c>
      <c r="J230" s="15"/>
      <c r="K230" s="11"/>
      <c r="L230" s="11"/>
      <c r="M230" s="11"/>
      <c r="N230" s="11"/>
    </row>
    <row r="231" ht="15.75" customHeight="1">
      <c r="A231" s="35">
        <v>44990.0</v>
      </c>
      <c r="B231" s="38">
        <v>6.9</v>
      </c>
      <c r="C231" s="11">
        <f t="shared" si="1"/>
        <v>0</v>
      </c>
      <c r="D231" s="13">
        <f t="shared" si="2"/>
        <v>0</v>
      </c>
      <c r="E231" s="35">
        <v>44990.0</v>
      </c>
      <c r="F231" s="12">
        <v>18089.85</v>
      </c>
      <c r="G231" s="11">
        <v>-0.003184985</v>
      </c>
      <c r="H231" s="13">
        <v>-0.0032</v>
      </c>
      <c r="J231" s="15"/>
      <c r="K231" s="11"/>
      <c r="L231" s="11"/>
      <c r="M231" s="11"/>
      <c r="N231" s="11"/>
    </row>
    <row r="232" ht="15.75" customHeight="1">
      <c r="A232" s="35">
        <v>44962.0</v>
      </c>
      <c r="B232" s="38">
        <v>6.9</v>
      </c>
      <c r="C232" s="11">
        <f t="shared" si="1"/>
        <v>-0.007194244604</v>
      </c>
      <c r="D232" s="13">
        <f t="shared" si="2"/>
        <v>-0.007194244604</v>
      </c>
      <c r="E232" s="35">
        <v>44962.0</v>
      </c>
      <c r="F232" s="12">
        <v>18147.65</v>
      </c>
      <c r="G232" s="11">
        <v>0.004575145</v>
      </c>
      <c r="H232" s="13">
        <v>0.0046</v>
      </c>
      <c r="J232" s="15"/>
      <c r="K232" s="11"/>
      <c r="L232" s="11"/>
      <c r="M232" s="11"/>
      <c r="N232" s="11"/>
    </row>
    <row r="233" ht="15.75" customHeight="1">
      <c r="A233" s="11" t="s">
        <v>243</v>
      </c>
      <c r="B233" s="38">
        <v>6.95</v>
      </c>
      <c r="C233" s="11">
        <f t="shared" si="1"/>
        <v>0.007246376812</v>
      </c>
      <c r="D233" s="13">
        <f t="shared" si="2"/>
        <v>0.007246376812</v>
      </c>
      <c r="E233" s="11" t="s">
        <v>243</v>
      </c>
      <c r="F233" s="12">
        <v>18065.0</v>
      </c>
      <c r="G233" s="11">
        <v>0.008370058</v>
      </c>
      <c r="H233" s="13">
        <v>0.0084</v>
      </c>
      <c r="J233" s="15"/>
      <c r="K233" s="11"/>
      <c r="L233" s="11"/>
      <c r="M233" s="11"/>
      <c r="N233" s="11"/>
    </row>
    <row r="234" ht="15.75" customHeight="1">
      <c r="A234" s="11" t="s">
        <v>244</v>
      </c>
      <c r="B234" s="38">
        <v>6.9</v>
      </c>
      <c r="C234" s="11">
        <f t="shared" si="1"/>
        <v>0.0534351145</v>
      </c>
      <c r="D234" s="13">
        <f t="shared" si="2"/>
        <v>0.0534351145</v>
      </c>
      <c r="E234" s="11" t="s">
        <v>244</v>
      </c>
      <c r="F234" s="12">
        <v>17915.05</v>
      </c>
      <c r="G234" s="11">
        <v>0.005695087</v>
      </c>
      <c r="H234" s="13">
        <v>0.0057</v>
      </c>
      <c r="J234" s="15"/>
      <c r="K234" s="11"/>
      <c r="L234" s="11"/>
      <c r="M234" s="11"/>
      <c r="N234" s="11"/>
    </row>
    <row r="235" ht="15.75" customHeight="1">
      <c r="A235" s="11" t="s">
        <v>245</v>
      </c>
      <c r="B235" s="38">
        <v>6.55</v>
      </c>
      <c r="C235" s="11">
        <f t="shared" si="1"/>
        <v>0.03968253968</v>
      </c>
      <c r="D235" s="13">
        <f t="shared" si="2"/>
        <v>0.03968253968</v>
      </c>
      <c r="E235" s="11" t="s">
        <v>245</v>
      </c>
      <c r="F235" s="12">
        <v>17813.6</v>
      </c>
      <c r="G235" s="11">
        <v>0.002495885</v>
      </c>
      <c r="H235" s="13">
        <v>0.0025</v>
      </c>
      <c r="J235" s="15"/>
      <c r="K235" s="11"/>
      <c r="L235" s="11"/>
      <c r="M235" s="11"/>
      <c r="N235" s="11"/>
    </row>
    <row r="236" ht="15.75" customHeight="1">
      <c r="A236" s="11" t="s">
        <v>246</v>
      </c>
      <c r="B236" s="38">
        <v>6.3</v>
      </c>
      <c r="C236" s="11">
        <f t="shared" si="1"/>
        <v>-0.007874015748</v>
      </c>
      <c r="D236" s="13">
        <f t="shared" si="2"/>
        <v>-0.007874015748</v>
      </c>
      <c r="E236" s="11" t="s">
        <v>246</v>
      </c>
      <c r="F236" s="12">
        <v>17769.25</v>
      </c>
      <c r="G236" s="11">
        <v>0.00145688</v>
      </c>
      <c r="H236" s="13">
        <v>0.0015</v>
      </c>
      <c r="J236" s="15"/>
      <c r="K236" s="11"/>
      <c r="L236" s="11"/>
      <c r="M236" s="11"/>
      <c r="N236" s="11"/>
    </row>
    <row r="237" ht="15.75" customHeight="1">
      <c r="A237" s="11" t="s">
        <v>247</v>
      </c>
      <c r="B237" s="38">
        <v>6.35</v>
      </c>
      <c r="C237" s="11">
        <f t="shared" si="1"/>
        <v>-0.01550387597</v>
      </c>
      <c r="D237" s="13">
        <f t="shared" si="2"/>
        <v>-0.01550387597</v>
      </c>
      <c r="E237" s="11" t="s">
        <v>247</v>
      </c>
      <c r="F237" s="12">
        <v>17743.4</v>
      </c>
      <c r="G237" s="11">
        <v>0.006771996</v>
      </c>
      <c r="H237" s="13">
        <v>0.0068</v>
      </c>
      <c r="J237" s="15"/>
      <c r="K237" s="11"/>
      <c r="L237" s="11"/>
      <c r="M237" s="11"/>
      <c r="N237" s="11"/>
    </row>
    <row r="238" ht="15.75" customHeight="1">
      <c r="A238" s="11" t="s">
        <v>248</v>
      </c>
      <c r="B238" s="38">
        <v>6.45</v>
      </c>
      <c r="C238" s="11">
        <f t="shared" si="1"/>
        <v>0.06611570248</v>
      </c>
      <c r="D238" s="13">
        <f t="shared" si="2"/>
        <v>0.06611570248</v>
      </c>
      <c r="E238" s="11" t="s">
        <v>248</v>
      </c>
      <c r="F238" s="12">
        <v>17624.05</v>
      </c>
      <c r="G238" s="45">
        <v>-2.26957E-5</v>
      </c>
      <c r="H238" s="13">
        <v>0.0</v>
      </c>
      <c r="J238" s="15"/>
      <c r="K238" s="11"/>
      <c r="L238" s="11"/>
      <c r="M238" s="11"/>
      <c r="N238" s="11"/>
    </row>
    <row r="239" ht="15.75" customHeight="1">
      <c r="A239" s="11" t="s">
        <v>249</v>
      </c>
      <c r="B239" s="38">
        <v>6.05</v>
      </c>
      <c r="C239" s="11">
        <f t="shared" si="1"/>
        <v>0</v>
      </c>
      <c r="D239" s="13">
        <f t="shared" si="2"/>
        <v>0</v>
      </c>
      <c r="E239" s="11" t="s">
        <v>249</v>
      </c>
      <c r="F239" s="12">
        <v>17624.45</v>
      </c>
      <c r="G239" s="11">
        <v>3.23519E-4</v>
      </c>
      <c r="H239" s="13">
        <v>3.0E-4</v>
      </c>
      <c r="J239" s="15"/>
      <c r="K239" s="11"/>
      <c r="L239" s="11"/>
      <c r="M239" s="11"/>
      <c r="N239" s="11"/>
    </row>
    <row r="240" ht="15.75" customHeight="1">
      <c r="A240" s="11" t="s">
        <v>250</v>
      </c>
      <c r="B240" s="38">
        <v>6.05</v>
      </c>
      <c r="C240" s="11">
        <f t="shared" si="1"/>
        <v>0</v>
      </c>
      <c r="D240" s="13">
        <f t="shared" si="2"/>
        <v>0</v>
      </c>
      <c r="E240" s="11" t="s">
        <v>250</v>
      </c>
      <c r="F240" s="12">
        <v>17618.75</v>
      </c>
      <c r="G240" s="11">
        <v>-0.002344261</v>
      </c>
      <c r="H240" s="13">
        <v>-0.0023</v>
      </c>
      <c r="J240" s="15"/>
      <c r="K240" s="11"/>
      <c r="L240" s="11"/>
      <c r="M240" s="11"/>
      <c r="N240" s="11"/>
    </row>
    <row r="241" ht="15.75" customHeight="1">
      <c r="A241" s="11" t="s">
        <v>251</v>
      </c>
      <c r="B241" s="38">
        <v>6.05</v>
      </c>
      <c r="C241" s="11">
        <f t="shared" si="1"/>
        <v>0</v>
      </c>
      <c r="D241" s="13">
        <f t="shared" si="2"/>
        <v>0</v>
      </c>
      <c r="E241" s="11" t="s">
        <v>251</v>
      </c>
      <c r="F241" s="12">
        <v>17660.15</v>
      </c>
      <c r="G241" s="11">
        <v>-0.002637397</v>
      </c>
      <c r="H241" s="13">
        <v>-0.0026</v>
      </c>
      <c r="J241" s="15"/>
      <c r="K241" s="11"/>
      <c r="L241" s="11"/>
      <c r="M241" s="11"/>
      <c r="N241" s="11"/>
    </row>
    <row r="242" ht="15.75" customHeight="1">
      <c r="A242" s="11" t="s">
        <v>252</v>
      </c>
      <c r="B242" s="38">
        <v>6.05</v>
      </c>
      <c r="C242" s="11">
        <f t="shared" si="1"/>
        <v>0</v>
      </c>
      <c r="D242" s="13">
        <f t="shared" si="2"/>
        <v>0</v>
      </c>
      <c r="E242" s="11" t="s">
        <v>252</v>
      </c>
      <c r="F242" s="12">
        <v>17706.85</v>
      </c>
      <c r="G242" s="11">
        <v>-0.00679549</v>
      </c>
      <c r="H242" s="13">
        <v>-0.0068</v>
      </c>
      <c r="J242" s="15"/>
      <c r="K242" s="11"/>
      <c r="L242" s="11"/>
      <c r="M242" s="11"/>
      <c r="N242" s="11"/>
    </row>
    <row r="243" ht="15.75" customHeight="1">
      <c r="A243" s="11" t="s">
        <v>253</v>
      </c>
      <c r="B243" s="38">
        <v>6.05</v>
      </c>
      <c r="C243" s="11">
        <f t="shared" si="1"/>
        <v>-0.02419354839</v>
      </c>
      <c r="D243" s="13">
        <f t="shared" si="2"/>
        <v>-0.02419354839</v>
      </c>
      <c r="E243" s="11" t="s">
        <v>253</v>
      </c>
      <c r="F243" s="12">
        <v>17828.0</v>
      </c>
      <c r="G243" s="11">
        <v>8.75794E-4</v>
      </c>
      <c r="H243" s="13">
        <v>9.0E-4</v>
      </c>
      <c r="J243" s="15"/>
      <c r="K243" s="11"/>
      <c r="L243" s="11"/>
      <c r="M243" s="11"/>
      <c r="N243" s="11"/>
    </row>
    <row r="244" ht="15.75" customHeight="1">
      <c r="A244" s="35">
        <v>45264.0</v>
      </c>
      <c r="B244" s="38">
        <v>6.2</v>
      </c>
      <c r="C244" s="11">
        <f t="shared" si="1"/>
        <v>0.01639344262</v>
      </c>
      <c r="D244" s="13">
        <f t="shared" si="2"/>
        <v>0.01639344262</v>
      </c>
      <c r="E244" s="35">
        <v>45264.0</v>
      </c>
      <c r="F244" s="12">
        <v>17812.4</v>
      </c>
      <c r="G244" s="11">
        <v>0.00508399</v>
      </c>
      <c r="H244" s="13">
        <v>0.0051</v>
      </c>
      <c r="J244" s="15"/>
      <c r="K244" s="11"/>
      <c r="L244" s="11"/>
      <c r="M244" s="11"/>
      <c r="N244" s="11"/>
    </row>
    <row r="245" ht="15.75" customHeight="1">
      <c r="A245" s="35">
        <v>45234.0</v>
      </c>
      <c r="B245" s="38">
        <v>6.1</v>
      </c>
      <c r="C245" s="11">
        <f t="shared" si="1"/>
        <v>-0.008130081301</v>
      </c>
      <c r="D245" s="13">
        <f t="shared" si="2"/>
        <v>-0.008130081301</v>
      </c>
      <c r="E245" s="35">
        <v>45234.0</v>
      </c>
      <c r="F245" s="12">
        <v>17722.3</v>
      </c>
      <c r="G245" s="11">
        <v>0.005574769</v>
      </c>
      <c r="H245" s="13">
        <v>0.0056</v>
      </c>
      <c r="J245" s="15"/>
      <c r="K245" s="11"/>
      <c r="L245" s="11"/>
      <c r="M245" s="11"/>
      <c r="N245" s="11"/>
    </row>
    <row r="246" ht="15.75" customHeight="1">
      <c r="A246" s="35">
        <v>45203.0</v>
      </c>
      <c r="B246" s="38">
        <v>6.15</v>
      </c>
      <c r="C246" s="11">
        <f t="shared" si="1"/>
        <v>-0.016</v>
      </c>
      <c r="D246" s="13">
        <f t="shared" si="2"/>
        <v>-0.016</v>
      </c>
      <c r="E246" s="35">
        <v>45203.0</v>
      </c>
      <c r="F246" s="12">
        <v>17624.05</v>
      </c>
      <c r="G246" s="11">
        <v>0.001414841</v>
      </c>
      <c r="H246" s="13">
        <v>0.0014</v>
      </c>
      <c r="J246" s="15"/>
      <c r="K246" s="11"/>
      <c r="L246" s="11"/>
      <c r="M246" s="11"/>
      <c r="N246" s="11"/>
    </row>
    <row r="247" ht="15.75" customHeight="1">
      <c r="A247" s="35">
        <v>45081.0</v>
      </c>
      <c r="B247" s="38">
        <v>6.25</v>
      </c>
      <c r="C247" s="11">
        <f t="shared" si="1"/>
        <v>0</v>
      </c>
      <c r="D247" s="13">
        <f t="shared" si="2"/>
        <v>0</v>
      </c>
      <c r="E247" s="35">
        <v>45081.0</v>
      </c>
      <c r="F247" s="12">
        <v>17599.15</v>
      </c>
      <c r="G247" s="11">
        <v>0.002397897</v>
      </c>
      <c r="H247" s="13">
        <v>0.0024</v>
      </c>
      <c r="J247" s="15"/>
      <c r="K247" s="11"/>
      <c r="L247" s="11"/>
      <c r="M247" s="11"/>
      <c r="N247" s="11"/>
    </row>
    <row r="248" ht="15.75" customHeight="1">
      <c r="A248" s="35">
        <v>45050.0</v>
      </c>
      <c r="B248" s="38">
        <v>6.25</v>
      </c>
      <c r="C248" s="11">
        <f t="shared" si="1"/>
        <v>0.0162601626</v>
      </c>
      <c r="D248" s="13">
        <f t="shared" si="2"/>
        <v>0.0162601626</v>
      </c>
      <c r="E248" s="35">
        <v>45050.0</v>
      </c>
      <c r="F248" s="12">
        <v>17557.05</v>
      </c>
      <c r="G248" s="11">
        <v>0.009138955</v>
      </c>
      <c r="H248" s="13">
        <v>0.0091</v>
      </c>
      <c r="J248" s="15"/>
      <c r="K248" s="11"/>
      <c r="L248" s="11"/>
      <c r="M248" s="11"/>
      <c r="N248" s="11"/>
    </row>
    <row r="249" ht="15.75" customHeight="1">
      <c r="A249" s="35">
        <v>44989.0</v>
      </c>
      <c r="B249" s="38">
        <v>6.15</v>
      </c>
      <c r="C249" s="11">
        <f t="shared" si="1"/>
        <v>0.06034482759</v>
      </c>
      <c r="D249" s="13">
        <f t="shared" si="2"/>
        <v>0.06034482759</v>
      </c>
      <c r="E249" s="35">
        <v>44989.0</v>
      </c>
      <c r="F249" s="12">
        <v>17398.05</v>
      </c>
      <c r="G249" s="11">
        <v>0.002206253</v>
      </c>
      <c r="H249" s="13">
        <v>0.0022</v>
      </c>
      <c r="J249" s="15"/>
      <c r="K249" s="11"/>
      <c r="L249" s="11"/>
      <c r="M249" s="11"/>
      <c r="N249" s="11"/>
    </row>
    <row r="250" ht="15.75" customHeight="1">
      <c r="A250" s="11" t="s">
        <v>254</v>
      </c>
      <c r="B250" s="38">
        <v>5.8</v>
      </c>
      <c r="C250" s="11">
        <f t="shared" si="1"/>
        <v>-0.01694915254</v>
      </c>
      <c r="D250" s="13">
        <f t="shared" si="2"/>
        <v>-0.01694915254</v>
      </c>
      <c r="E250" s="11" t="s">
        <v>254</v>
      </c>
      <c r="F250" s="12">
        <v>17359.75</v>
      </c>
      <c r="G250" s="11">
        <v>0.016337152</v>
      </c>
      <c r="H250" s="13">
        <v>0.0163</v>
      </c>
      <c r="J250" s="15"/>
      <c r="K250" s="11"/>
      <c r="L250" s="11"/>
      <c r="M250" s="11"/>
      <c r="N250" s="11"/>
    </row>
    <row r="251" ht="15.75" customHeight="1">
      <c r="A251" s="11" t="s">
        <v>255</v>
      </c>
      <c r="B251" s="38">
        <v>5.9</v>
      </c>
      <c r="C251" s="11">
        <f t="shared" si="1"/>
        <v>0</v>
      </c>
      <c r="D251" s="13">
        <f t="shared" si="2"/>
        <v>0</v>
      </c>
      <c r="E251" s="11" t="s">
        <v>255</v>
      </c>
      <c r="F251" s="12">
        <v>17080.7</v>
      </c>
      <c r="G251" s="11">
        <v>0.007609856</v>
      </c>
      <c r="H251" s="13">
        <v>0.0076</v>
      </c>
      <c r="J251" s="15"/>
      <c r="K251" s="11"/>
      <c r="L251" s="11"/>
      <c r="M251" s="11"/>
      <c r="N251" s="11"/>
    </row>
    <row r="252" ht="15.75" customHeight="1">
      <c r="A252" s="11" t="s">
        <v>256</v>
      </c>
      <c r="B252" s="38">
        <v>5.9</v>
      </c>
      <c r="C252" s="11">
        <f t="shared" si="1"/>
        <v>-0.02479338843</v>
      </c>
      <c r="D252" s="13">
        <f t="shared" si="2"/>
        <v>-0.02479338843</v>
      </c>
      <c r="E252" s="11" t="s">
        <v>256</v>
      </c>
      <c r="F252" s="12">
        <v>16951.7</v>
      </c>
      <c r="G252" s="11">
        <v>-0.002001684</v>
      </c>
      <c r="H252" s="13">
        <v>-0.002</v>
      </c>
      <c r="J252" s="15"/>
      <c r="K252" s="11"/>
      <c r="L252" s="11"/>
      <c r="M252" s="11"/>
      <c r="N252" s="11"/>
    </row>
    <row r="253" ht="15.75" customHeight="1">
      <c r="A253" s="11" t="s">
        <v>257</v>
      </c>
      <c r="B253" s="38">
        <v>6.05</v>
      </c>
      <c r="C253" s="11">
        <f t="shared" si="1"/>
        <v>-0.032</v>
      </c>
      <c r="D253" s="13">
        <f t="shared" si="2"/>
        <v>-0.032</v>
      </c>
      <c r="E253" s="11" t="s">
        <v>257</v>
      </c>
      <c r="F253" s="12">
        <v>16985.7</v>
      </c>
      <c r="G253" s="11">
        <v>0.002398931</v>
      </c>
      <c r="H253" s="13">
        <v>0.0024</v>
      </c>
      <c r="J253" s="15"/>
      <c r="K253" s="11"/>
      <c r="L253" s="11"/>
      <c r="M253" s="11"/>
      <c r="N253" s="11"/>
    </row>
    <row r="254" ht="15.75" customHeight="1">
      <c r="A254" s="11" t="s">
        <v>258</v>
      </c>
      <c r="B254" s="38">
        <v>6.25</v>
      </c>
      <c r="C254" s="11">
        <f t="shared" si="1"/>
        <v>-0.03100775194</v>
      </c>
      <c r="D254" s="13">
        <f t="shared" si="2"/>
        <v>-0.03100775194</v>
      </c>
      <c r="E254" s="11" t="s">
        <v>258</v>
      </c>
      <c r="F254" s="12">
        <v>16945.05</v>
      </c>
      <c r="G254" s="11">
        <v>-0.007720956</v>
      </c>
      <c r="H254" s="13">
        <v>-0.0077</v>
      </c>
      <c r="J254" s="15"/>
      <c r="K254" s="11"/>
      <c r="L254" s="11"/>
      <c r="M254" s="11"/>
      <c r="N254" s="11"/>
    </row>
    <row r="255" ht="15.75" customHeight="1">
      <c r="A255" s="11" t="s">
        <v>259</v>
      </c>
      <c r="B255" s="38">
        <v>6.45</v>
      </c>
      <c r="C255" s="11">
        <f t="shared" si="1"/>
        <v>-0.01526717557</v>
      </c>
      <c r="D255" s="13">
        <f t="shared" si="2"/>
        <v>-0.01526717557</v>
      </c>
      <c r="E255" s="11" t="s">
        <v>259</v>
      </c>
      <c r="F255" s="12">
        <v>17076.9</v>
      </c>
      <c r="G255" s="11">
        <v>-0.004372693</v>
      </c>
      <c r="H255" s="13">
        <v>-0.0044</v>
      </c>
      <c r="J255" s="15"/>
      <c r="K255" s="11"/>
      <c r="L255" s="11"/>
      <c r="M255" s="11"/>
      <c r="N255" s="11"/>
    </row>
    <row r="256" ht="15.75" customHeight="1">
      <c r="A256" s="11" t="s">
        <v>260</v>
      </c>
      <c r="B256" s="38">
        <v>6.55</v>
      </c>
      <c r="C256" s="11">
        <f t="shared" si="1"/>
        <v>0.03968253968</v>
      </c>
      <c r="D256" s="13">
        <f t="shared" si="2"/>
        <v>0.03968253968</v>
      </c>
      <c r="E256" s="11" t="s">
        <v>260</v>
      </c>
      <c r="F256" s="12">
        <v>17151.9</v>
      </c>
      <c r="G256" s="11">
        <v>0.002595353</v>
      </c>
      <c r="H256" s="13">
        <v>0.0026</v>
      </c>
      <c r="J256" s="15"/>
      <c r="K256" s="11"/>
      <c r="L256" s="11"/>
      <c r="M256" s="11"/>
      <c r="N256" s="11"/>
    </row>
    <row r="257" ht="15.75" customHeight="1">
      <c r="A257" s="11" t="s">
        <v>261</v>
      </c>
      <c r="B257" s="38">
        <v>6.3</v>
      </c>
      <c r="C257" s="11">
        <f t="shared" si="1"/>
        <v>-0.007874015748</v>
      </c>
      <c r="D257" s="13">
        <f t="shared" si="2"/>
        <v>-0.007874015748</v>
      </c>
      <c r="E257" s="11" t="s">
        <v>261</v>
      </c>
      <c r="F257" s="12">
        <v>17107.5</v>
      </c>
      <c r="G257" s="11">
        <v>0.007010666</v>
      </c>
      <c r="H257" s="13">
        <v>0.007</v>
      </c>
      <c r="J257" s="15"/>
      <c r="K257" s="11"/>
      <c r="L257" s="11"/>
      <c r="M257" s="11"/>
      <c r="N257" s="11"/>
    </row>
    <row r="258" ht="15.75" customHeight="1">
      <c r="A258" s="11" t="s">
        <v>262</v>
      </c>
      <c r="B258" s="38">
        <v>6.35</v>
      </c>
      <c r="C258" s="11">
        <f t="shared" si="1"/>
        <v>-0.0078125</v>
      </c>
      <c r="D258" s="13">
        <f t="shared" si="2"/>
        <v>-0.0078125</v>
      </c>
      <c r="E258" s="11" t="s">
        <v>262</v>
      </c>
      <c r="F258" s="12">
        <v>16988.4</v>
      </c>
      <c r="G258" s="11">
        <v>-0.006529221</v>
      </c>
      <c r="H258" s="13">
        <v>-0.0065</v>
      </c>
      <c r="J258" s="15"/>
      <c r="K258" s="11"/>
      <c r="L258" s="11"/>
      <c r="M258" s="11"/>
      <c r="N258" s="11"/>
    </row>
    <row r="259" ht="15.75" customHeight="1">
      <c r="A259" s="11" t="s">
        <v>263</v>
      </c>
      <c r="B259" s="38">
        <v>6.4</v>
      </c>
      <c r="C259" s="11">
        <f t="shared" si="1"/>
        <v>-0.007751937984</v>
      </c>
      <c r="D259" s="13">
        <f t="shared" si="2"/>
        <v>-0.007751937984</v>
      </c>
      <c r="E259" s="11" t="s">
        <v>263</v>
      </c>
      <c r="F259" s="12">
        <v>17100.05</v>
      </c>
      <c r="G259" s="11">
        <v>0.00673806</v>
      </c>
      <c r="H259" s="13">
        <v>0.0067</v>
      </c>
      <c r="J259" s="15"/>
      <c r="K259" s="11"/>
      <c r="L259" s="11"/>
      <c r="M259" s="11"/>
      <c r="N259" s="11"/>
    </row>
    <row r="260" ht="15.75" customHeight="1">
      <c r="A260" s="11" t="s">
        <v>264</v>
      </c>
      <c r="B260" s="38">
        <v>6.45</v>
      </c>
      <c r="C260" s="11">
        <f t="shared" si="1"/>
        <v>0.0078125</v>
      </c>
      <c r="D260" s="13">
        <f t="shared" si="2"/>
        <v>0.0078125</v>
      </c>
      <c r="E260" s="11" t="s">
        <v>264</v>
      </c>
      <c r="F260" s="12">
        <v>16985.6</v>
      </c>
      <c r="G260" s="11">
        <v>7.92475E-4</v>
      </c>
      <c r="H260" s="13">
        <v>8.0E-4</v>
      </c>
      <c r="J260" s="15"/>
      <c r="K260" s="11"/>
      <c r="L260" s="11"/>
      <c r="M260" s="11"/>
      <c r="N260" s="11"/>
    </row>
    <row r="261" ht="15.75" customHeight="1">
      <c r="A261" s="11" t="s">
        <v>265</v>
      </c>
      <c r="B261" s="38">
        <v>6.4</v>
      </c>
      <c r="C261" s="11">
        <f t="shared" si="1"/>
        <v>-0.02290076336</v>
      </c>
      <c r="D261" s="13">
        <f t="shared" si="2"/>
        <v>-0.02290076336</v>
      </c>
      <c r="E261" s="11" t="s">
        <v>265</v>
      </c>
      <c r="F261" s="12">
        <v>16972.15</v>
      </c>
      <c r="G261" s="11">
        <v>-0.004174661</v>
      </c>
      <c r="H261" s="13">
        <v>-0.0042</v>
      </c>
      <c r="J261" s="15"/>
      <c r="K261" s="11"/>
      <c r="L261" s="11"/>
      <c r="M261" s="11"/>
      <c r="N261" s="11"/>
    </row>
    <row r="262" ht="15.75" customHeight="1">
      <c r="A262" s="11" t="s">
        <v>266</v>
      </c>
      <c r="B262" s="38">
        <v>6.55</v>
      </c>
      <c r="C262" s="11">
        <f t="shared" si="1"/>
        <v>-0.007575757576</v>
      </c>
      <c r="D262" s="13">
        <f t="shared" si="2"/>
        <v>-0.007575757576</v>
      </c>
      <c r="E262" s="11" t="s">
        <v>266</v>
      </c>
      <c r="F262" s="12">
        <v>17043.3</v>
      </c>
      <c r="G262" s="11">
        <v>-0.006470681</v>
      </c>
      <c r="H262" s="13">
        <v>-0.0065</v>
      </c>
      <c r="J262" s="15"/>
      <c r="K262" s="11"/>
      <c r="L262" s="11"/>
      <c r="M262" s="11"/>
      <c r="N262" s="11"/>
    </row>
    <row r="263" ht="15.75" customHeight="1">
      <c r="A263" s="11" t="s">
        <v>267</v>
      </c>
      <c r="B263" s="38">
        <v>6.6</v>
      </c>
      <c r="C263" s="11">
        <f t="shared" si="1"/>
        <v>-0.02222222222</v>
      </c>
      <c r="D263" s="13">
        <f t="shared" si="2"/>
        <v>-0.02222222222</v>
      </c>
      <c r="E263" s="11" t="s">
        <v>267</v>
      </c>
      <c r="F263" s="12">
        <v>17154.3</v>
      </c>
      <c r="G263" s="11">
        <v>-0.014851059</v>
      </c>
      <c r="H263" s="13">
        <v>-0.0149</v>
      </c>
      <c r="J263" s="15"/>
      <c r="K263" s="11"/>
      <c r="L263" s="11"/>
      <c r="M263" s="11"/>
      <c r="N263" s="11"/>
    </row>
    <row r="264" ht="15.75" customHeight="1">
      <c r="A264" s="35">
        <v>45202.0</v>
      </c>
      <c r="B264" s="38">
        <v>6.75</v>
      </c>
      <c r="C264" s="11">
        <f t="shared" si="1"/>
        <v>-0.01459854015</v>
      </c>
      <c r="D264" s="13">
        <f t="shared" si="2"/>
        <v>-0.01459854015</v>
      </c>
      <c r="E264" s="35">
        <v>45202.0</v>
      </c>
      <c r="F264" s="12">
        <v>17412.9</v>
      </c>
      <c r="G264" s="11">
        <v>-0.010045709</v>
      </c>
      <c r="H264" s="13">
        <v>-0.01</v>
      </c>
      <c r="J264" s="15"/>
      <c r="K264" s="11"/>
      <c r="L264" s="11"/>
      <c r="M264" s="11"/>
      <c r="N264" s="11"/>
    </row>
    <row r="265" ht="15.75" customHeight="1">
      <c r="A265" s="35">
        <v>45172.0</v>
      </c>
      <c r="B265" s="38">
        <v>6.85</v>
      </c>
      <c r="C265" s="11">
        <f t="shared" si="1"/>
        <v>-0.01438848921</v>
      </c>
      <c r="D265" s="13">
        <f t="shared" si="2"/>
        <v>-0.01438848921</v>
      </c>
      <c r="E265" s="35">
        <v>45172.0</v>
      </c>
      <c r="F265" s="12">
        <v>17589.6</v>
      </c>
      <c r="G265" s="11">
        <v>-0.009282206</v>
      </c>
      <c r="H265" s="13">
        <v>-0.0093</v>
      </c>
      <c r="J265" s="15"/>
      <c r="K265" s="11"/>
      <c r="L265" s="11"/>
      <c r="M265" s="11"/>
      <c r="N265" s="11"/>
    </row>
    <row r="266" ht="15.75" customHeight="1">
      <c r="A266" s="35">
        <v>45141.0</v>
      </c>
      <c r="B266" s="38">
        <v>6.95</v>
      </c>
      <c r="C266" s="11">
        <f t="shared" si="1"/>
        <v>0</v>
      </c>
      <c r="D266" s="13">
        <f t="shared" si="2"/>
        <v>0</v>
      </c>
      <c r="E266" s="35">
        <v>45141.0</v>
      </c>
      <c r="F266" s="12">
        <v>17754.4</v>
      </c>
      <c r="G266" s="11">
        <v>0.002424985</v>
      </c>
      <c r="H266" s="13">
        <v>0.0024</v>
      </c>
      <c r="J266" s="15"/>
      <c r="K266" s="11"/>
      <c r="L266" s="11"/>
      <c r="M266" s="11"/>
      <c r="N266" s="11"/>
    </row>
    <row r="267" ht="15.75" customHeight="1">
      <c r="A267" s="35">
        <v>45080.0</v>
      </c>
      <c r="B267" s="38">
        <v>6.95</v>
      </c>
      <c r="C267" s="11">
        <f t="shared" si="1"/>
        <v>0.007246376812</v>
      </c>
      <c r="D267" s="13">
        <f t="shared" si="2"/>
        <v>0.007246376812</v>
      </c>
      <c r="E267" s="35">
        <v>45080.0</v>
      </c>
      <c r="F267" s="12">
        <v>17711.45</v>
      </c>
      <c r="G267" s="11">
        <v>0.006655546</v>
      </c>
      <c r="H267" s="13">
        <v>0.0067</v>
      </c>
      <c r="J267" s="15"/>
      <c r="K267" s="11"/>
      <c r="L267" s="11"/>
      <c r="M267" s="11"/>
      <c r="N267" s="11"/>
    </row>
    <row r="268" ht="15.75" customHeight="1">
      <c r="A268" s="35">
        <v>44988.0</v>
      </c>
      <c r="B268" s="38">
        <v>6.9</v>
      </c>
      <c r="C268" s="11">
        <f t="shared" si="1"/>
        <v>-0.007194244604</v>
      </c>
      <c r="D268" s="13">
        <f t="shared" si="2"/>
        <v>-0.007194244604</v>
      </c>
      <c r="E268" s="35">
        <v>44988.0</v>
      </c>
      <c r="F268" s="12">
        <v>17594.35</v>
      </c>
      <c r="G268" s="11">
        <v>0.015728644</v>
      </c>
      <c r="H268" s="13">
        <v>0.0157</v>
      </c>
      <c r="J268" s="15"/>
      <c r="K268" s="11"/>
      <c r="L268" s="11"/>
      <c r="M268" s="11"/>
      <c r="N268" s="11"/>
    </row>
    <row r="269" ht="15.75" customHeight="1">
      <c r="A269" s="35">
        <v>44960.0</v>
      </c>
      <c r="B269" s="38">
        <v>6.95</v>
      </c>
      <c r="C269" s="11">
        <f t="shared" si="1"/>
        <v>0.007246376812</v>
      </c>
      <c r="D269" s="13">
        <f t="shared" si="2"/>
        <v>0.007246376812</v>
      </c>
      <c r="E269" s="35">
        <v>44960.0</v>
      </c>
      <c r="F269" s="12">
        <v>17321.9</v>
      </c>
      <c r="G269" s="11">
        <v>-0.007392169</v>
      </c>
      <c r="H269" s="13">
        <v>-0.0074</v>
      </c>
      <c r="J269" s="15"/>
      <c r="K269" s="11"/>
      <c r="L269" s="11"/>
      <c r="M269" s="11"/>
      <c r="N269" s="11"/>
    </row>
    <row r="270" ht="15.75" customHeight="1">
      <c r="A270" s="35">
        <v>44929.0</v>
      </c>
      <c r="B270" s="38">
        <v>6.9</v>
      </c>
      <c r="C270" s="11">
        <f t="shared" si="1"/>
        <v>0.01470588235</v>
      </c>
      <c r="D270" s="13">
        <f t="shared" si="2"/>
        <v>0.01470588235</v>
      </c>
      <c r="E270" s="35">
        <v>44929.0</v>
      </c>
      <c r="F270" s="12">
        <v>17450.9</v>
      </c>
      <c r="G270" s="11">
        <v>0.008492281</v>
      </c>
      <c r="H270" s="13">
        <v>0.0085</v>
      </c>
      <c r="J270" s="15"/>
      <c r="K270" s="11"/>
      <c r="L270" s="11"/>
      <c r="M270" s="11"/>
      <c r="N270" s="11"/>
    </row>
    <row r="271" ht="15.75" customHeight="1">
      <c r="A271" s="11" t="s">
        <v>268</v>
      </c>
      <c r="B271" s="38">
        <v>6.8</v>
      </c>
      <c r="C271" s="11">
        <f t="shared" si="1"/>
        <v>0.01492537313</v>
      </c>
      <c r="D271" s="13">
        <f t="shared" si="2"/>
        <v>0.01492537313</v>
      </c>
      <c r="E271" s="11" t="s">
        <v>268</v>
      </c>
      <c r="F271" s="12">
        <v>17303.95</v>
      </c>
      <c r="G271" s="11">
        <v>-0.005102716</v>
      </c>
      <c r="H271" s="13">
        <v>-0.0051</v>
      </c>
      <c r="J271" s="15"/>
      <c r="K271" s="11"/>
      <c r="L271" s="11"/>
      <c r="M271" s="11"/>
      <c r="N271" s="11"/>
    </row>
    <row r="272" ht="15.75" customHeight="1">
      <c r="A272" s="11" t="s">
        <v>269</v>
      </c>
      <c r="B272" s="38">
        <v>6.7</v>
      </c>
      <c r="C272" s="11">
        <f t="shared" si="1"/>
        <v>-0.007407407407</v>
      </c>
      <c r="D272" s="13">
        <f t="shared" si="2"/>
        <v>-0.007407407407</v>
      </c>
      <c r="E272" s="11" t="s">
        <v>269</v>
      </c>
      <c r="F272" s="12">
        <v>17392.7</v>
      </c>
      <c r="G272" s="11">
        <v>-0.004185322</v>
      </c>
      <c r="H272" s="13">
        <v>-0.0042</v>
      </c>
      <c r="J272" s="15"/>
      <c r="K272" s="11"/>
      <c r="L272" s="11"/>
      <c r="M272" s="11"/>
      <c r="N272" s="11"/>
    </row>
    <row r="273" ht="15.75" customHeight="1">
      <c r="A273" s="11" t="s">
        <v>270</v>
      </c>
      <c r="B273" s="38">
        <v>6.75</v>
      </c>
      <c r="C273" s="11">
        <f t="shared" si="1"/>
        <v>0.007462686567</v>
      </c>
      <c r="D273" s="13">
        <f t="shared" si="2"/>
        <v>0.007462686567</v>
      </c>
      <c r="E273" s="11" t="s">
        <v>270</v>
      </c>
      <c r="F273" s="12">
        <v>17465.8</v>
      </c>
      <c r="G273" s="11">
        <v>-0.002595474</v>
      </c>
      <c r="H273" s="13">
        <v>-0.0026</v>
      </c>
      <c r="J273" s="15"/>
      <c r="K273" s="11"/>
      <c r="L273" s="11"/>
      <c r="M273" s="11"/>
      <c r="N273" s="11"/>
    </row>
    <row r="274" ht="15.75" customHeight="1">
      <c r="A274" s="11" t="s">
        <v>271</v>
      </c>
      <c r="B274" s="38">
        <v>6.7</v>
      </c>
      <c r="C274" s="11">
        <f t="shared" si="1"/>
        <v>-0.04285714286</v>
      </c>
      <c r="D274" s="13">
        <f t="shared" si="2"/>
        <v>-0.04285714286</v>
      </c>
      <c r="E274" s="11" t="s">
        <v>271</v>
      </c>
      <c r="F274" s="12">
        <v>17511.25</v>
      </c>
      <c r="G274" s="11">
        <v>-0.002452391</v>
      </c>
      <c r="H274" s="13">
        <v>-0.0025</v>
      </c>
      <c r="J274" s="15"/>
      <c r="K274" s="11"/>
      <c r="L274" s="11"/>
      <c r="M274" s="11"/>
      <c r="N274" s="11"/>
    </row>
    <row r="275" ht="15.75" customHeight="1">
      <c r="A275" s="11" t="s">
        <v>272</v>
      </c>
      <c r="B275" s="38">
        <v>7.0</v>
      </c>
      <c r="C275" s="11">
        <f t="shared" si="1"/>
        <v>0</v>
      </c>
      <c r="D275" s="13">
        <f t="shared" si="2"/>
        <v>0</v>
      </c>
      <c r="E275" s="11" t="s">
        <v>272</v>
      </c>
      <c r="F275" s="12">
        <v>17554.3</v>
      </c>
      <c r="G275" s="11">
        <v>-0.01528045</v>
      </c>
      <c r="H275" s="13">
        <v>-0.0153</v>
      </c>
      <c r="J275" s="15"/>
      <c r="K275" s="11"/>
      <c r="L275" s="11"/>
      <c r="M275" s="11"/>
      <c r="N275" s="11"/>
    </row>
    <row r="276" ht="15.75" customHeight="1">
      <c r="A276" s="11" t="s">
        <v>273</v>
      </c>
      <c r="B276" s="38">
        <v>7.0</v>
      </c>
      <c r="C276" s="11">
        <f t="shared" si="1"/>
        <v>-0.007092198582</v>
      </c>
      <c r="D276" s="13">
        <f t="shared" si="2"/>
        <v>-0.007092198582</v>
      </c>
      <c r="E276" s="11" t="s">
        <v>273</v>
      </c>
      <c r="F276" s="12">
        <v>17826.7</v>
      </c>
      <c r="G276" s="11">
        <v>-0.001003105</v>
      </c>
      <c r="H276" s="13">
        <v>-0.001</v>
      </c>
      <c r="J276" s="15"/>
      <c r="K276" s="11"/>
      <c r="L276" s="11"/>
      <c r="M276" s="11"/>
      <c r="N276" s="11"/>
    </row>
    <row r="277" ht="15.75" customHeight="1">
      <c r="A277" s="11" t="s">
        <v>274</v>
      </c>
      <c r="B277" s="38">
        <v>7.05</v>
      </c>
      <c r="C277" s="11">
        <f t="shared" si="1"/>
        <v>-0.0275862069</v>
      </c>
      <c r="D277" s="13">
        <f t="shared" si="2"/>
        <v>-0.0275862069</v>
      </c>
      <c r="E277" s="11" t="s">
        <v>274</v>
      </c>
      <c r="F277" s="12">
        <v>17844.6</v>
      </c>
      <c r="G277" s="11">
        <v>-0.00555054</v>
      </c>
      <c r="H277" s="13">
        <v>-0.0056</v>
      </c>
      <c r="J277" s="15"/>
      <c r="K277" s="11"/>
      <c r="L277" s="11"/>
      <c r="M277" s="11"/>
      <c r="N277" s="11"/>
    </row>
    <row r="278" ht="15.75" customHeight="1">
      <c r="A278" s="11" t="s">
        <v>275</v>
      </c>
      <c r="B278" s="38">
        <v>7.25</v>
      </c>
      <c r="C278" s="11">
        <f t="shared" si="1"/>
        <v>-0.03333333333</v>
      </c>
      <c r="D278" s="13">
        <f t="shared" si="2"/>
        <v>-0.03333333333</v>
      </c>
      <c r="E278" s="11" t="s">
        <v>275</v>
      </c>
      <c r="F278" s="12">
        <v>17944.2</v>
      </c>
      <c r="G278" s="11">
        <v>-0.005081546</v>
      </c>
      <c r="H278" s="13">
        <v>-0.0051</v>
      </c>
      <c r="J278" s="15"/>
      <c r="K278" s="11"/>
      <c r="L278" s="11"/>
      <c r="M278" s="11"/>
      <c r="N278" s="11"/>
    </row>
    <row r="279" ht="15.75" customHeight="1">
      <c r="A279" s="11" t="s">
        <v>276</v>
      </c>
      <c r="B279" s="38">
        <v>7.5</v>
      </c>
      <c r="C279" s="11">
        <f t="shared" si="1"/>
        <v>-0.03225806452</v>
      </c>
      <c r="D279" s="13">
        <f t="shared" si="2"/>
        <v>-0.03225806452</v>
      </c>
      <c r="E279" s="11" t="s">
        <v>276</v>
      </c>
      <c r="F279" s="12">
        <v>18035.85</v>
      </c>
      <c r="G279" s="11">
        <v>0.001110134</v>
      </c>
      <c r="H279" s="13">
        <v>0.0011</v>
      </c>
      <c r="J279" s="15"/>
      <c r="K279" s="11"/>
      <c r="L279" s="11"/>
      <c r="M279" s="11"/>
      <c r="N279" s="11"/>
    </row>
    <row r="280" ht="15.75" customHeight="1">
      <c r="A280" s="11" t="s">
        <v>277</v>
      </c>
      <c r="B280" s="38">
        <v>7.75</v>
      </c>
      <c r="C280" s="11">
        <f t="shared" si="1"/>
        <v>0.006493506494</v>
      </c>
      <c r="D280" s="13">
        <f t="shared" si="2"/>
        <v>0.006493506494</v>
      </c>
      <c r="E280" s="11" t="s">
        <v>277</v>
      </c>
      <c r="F280" s="12">
        <v>18015.85</v>
      </c>
      <c r="G280" s="11">
        <v>0.004796471</v>
      </c>
      <c r="H280" s="13">
        <v>0.0048</v>
      </c>
      <c r="J280" s="15"/>
      <c r="K280" s="11"/>
      <c r="L280" s="11"/>
      <c r="M280" s="11"/>
      <c r="N280" s="11"/>
    </row>
    <row r="281" ht="15.75" customHeight="1">
      <c r="A281" s="11" t="s">
        <v>278</v>
      </c>
      <c r="B281" s="38">
        <v>7.7</v>
      </c>
      <c r="C281" s="11">
        <f t="shared" si="1"/>
        <v>-0.01910828025</v>
      </c>
      <c r="D281" s="13">
        <f t="shared" si="2"/>
        <v>-0.01910828025</v>
      </c>
      <c r="E281" s="11" t="s">
        <v>278</v>
      </c>
      <c r="F281" s="12">
        <v>17929.85</v>
      </c>
      <c r="G281" s="11">
        <v>0.008944398</v>
      </c>
      <c r="H281" s="13">
        <v>0.0089</v>
      </c>
      <c r="J281" s="15"/>
      <c r="K281" s="11"/>
      <c r="L281" s="11"/>
      <c r="M281" s="11"/>
      <c r="N281" s="11"/>
    </row>
    <row r="282" ht="15.75" customHeight="1">
      <c r="A282" s="11" t="s">
        <v>279</v>
      </c>
      <c r="B282" s="38">
        <v>7.85</v>
      </c>
      <c r="C282" s="11">
        <f t="shared" si="1"/>
        <v>0</v>
      </c>
      <c r="D282" s="13">
        <f t="shared" si="2"/>
        <v>0</v>
      </c>
      <c r="E282" s="11" t="s">
        <v>279</v>
      </c>
      <c r="F282" s="12">
        <v>17770.9</v>
      </c>
      <c r="G282" s="11">
        <v>-0.004793773</v>
      </c>
      <c r="H282" s="13">
        <v>-0.0048</v>
      </c>
      <c r="J282" s="15"/>
      <c r="K282" s="11"/>
      <c r="L282" s="11"/>
      <c r="M282" s="11"/>
      <c r="N282" s="11"/>
    </row>
    <row r="283" ht="15.75" customHeight="1">
      <c r="A283" s="35">
        <v>45201.0</v>
      </c>
      <c r="B283" s="38">
        <v>7.85</v>
      </c>
      <c r="C283" s="11">
        <f t="shared" si="1"/>
        <v>0</v>
      </c>
      <c r="D283" s="13">
        <f t="shared" si="2"/>
        <v>0</v>
      </c>
      <c r="E283" s="35">
        <v>45201.0</v>
      </c>
      <c r="F283" s="12">
        <v>17856.5</v>
      </c>
      <c r="G283" s="11">
        <v>-0.002065001</v>
      </c>
      <c r="H283" s="13">
        <v>-0.0021</v>
      </c>
      <c r="J283" s="15"/>
      <c r="K283" s="11"/>
      <c r="L283" s="11"/>
      <c r="M283" s="11"/>
      <c r="N283" s="11"/>
    </row>
    <row r="284" ht="15.75" customHeight="1">
      <c r="A284" s="35">
        <v>45171.0</v>
      </c>
      <c r="B284" s="38">
        <v>7.85</v>
      </c>
      <c r="C284" s="11">
        <f t="shared" si="1"/>
        <v>-0.006329113924</v>
      </c>
      <c r="D284" s="13">
        <f t="shared" si="2"/>
        <v>-0.006329113924</v>
      </c>
      <c r="E284" s="35">
        <v>45171.0</v>
      </c>
      <c r="F284" s="12">
        <v>17893.45</v>
      </c>
      <c r="G284" s="11">
        <v>0.001217008</v>
      </c>
      <c r="H284" s="13">
        <v>0.0012</v>
      </c>
      <c r="J284" s="15"/>
      <c r="K284" s="11"/>
      <c r="L284" s="11"/>
      <c r="M284" s="11"/>
      <c r="N284" s="11"/>
    </row>
    <row r="285" ht="15.75" customHeight="1">
      <c r="A285" s="35">
        <v>45140.0</v>
      </c>
      <c r="B285" s="38">
        <v>7.9</v>
      </c>
      <c r="C285" s="11">
        <f t="shared" si="1"/>
        <v>-0.006289308176</v>
      </c>
      <c r="D285" s="13">
        <f t="shared" si="2"/>
        <v>-0.006289308176</v>
      </c>
      <c r="E285" s="35">
        <v>45140.0</v>
      </c>
      <c r="F285" s="12">
        <v>17871.7</v>
      </c>
      <c r="G285" s="11">
        <v>0.008475581</v>
      </c>
      <c r="H285" s="13">
        <v>0.0085</v>
      </c>
      <c r="J285" s="15"/>
      <c r="K285" s="11"/>
      <c r="L285" s="11"/>
      <c r="M285" s="11"/>
      <c r="N285" s="11"/>
    </row>
    <row r="286" ht="15.75" customHeight="1">
      <c r="A286" s="35">
        <v>45109.0</v>
      </c>
      <c r="B286" s="38">
        <v>7.95</v>
      </c>
      <c r="C286" s="11">
        <f t="shared" si="1"/>
        <v>-0.03636363636</v>
      </c>
      <c r="D286" s="13">
        <f t="shared" si="2"/>
        <v>-0.03636363636</v>
      </c>
      <c r="E286" s="35">
        <v>45109.0</v>
      </c>
      <c r="F286" s="12">
        <v>17721.5</v>
      </c>
      <c r="G286" s="11">
        <v>-0.002426173</v>
      </c>
      <c r="H286" s="13">
        <v>-0.0024</v>
      </c>
      <c r="J286" s="15"/>
      <c r="K286" s="11"/>
      <c r="L286" s="11"/>
      <c r="M286" s="11"/>
      <c r="N286" s="11"/>
    </row>
    <row r="287" ht="15.75" customHeight="1">
      <c r="A287" s="35">
        <v>45079.0</v>
      </c>
      <c r="B287" s="38">
        <v>8.25</v>
      </c>
      <c r="C287" s="11">
        <f t="shared" si="1"/>
        <v>0.204379562</v>
      </c>
      <c r="D287" s="13">
        <f t="shared" si="2"/>
        <v>0.204379562</v>
      </c>
      <c r="E287" s="35">
        <v>45079.0</v>
      </c>
      <c r="F287" s="12">
        <v>17764.6</v>
      </c>
      <c r="G287" s="11">
        <v>-0.005010068</v>
      </c>
      <c r="H287" s="13">
        <v>-0.005</v>
      </c>
      <c r="J287" s="15"/>
      <c r="K287" s="11"/>
      <c r="L287" s="11"/>
      <c r="M287" s="11"/>
      <c r="N287" s="11"/>
    </row>
    <row r="288" ht="15.75" customHeight="1">
      <c r="A288" s="35">
        <v>44987.0</v>
      </c>
      <c r="B288" s="38">
        <v>6.85</v>
      </c>
      <c r="C288" s="11">
        <f t="shared" si="1"/>
        <v>0.007352941176</v>
      </c>
      <c r="D288" s="13">
        <f t="shared" si="2"/>
        <v>0.007352941176</v>
      </c>
      <c r="E288" s="35">
        <v>44987.0</v>
      </c>
      <c r="F288" s="12">
        <v>17854.05</v>
      </c>
      <c r="G288" s="11">
        <v>0.013835574</v>
      </c>
      <c r="H288" s="13">
        <v>0.0138</v>
      </c>
      <c r="J288" s="15"/>
      <c r="K288" s="11"/>
      <c r="L288" s="11"/>
      <c r="M288" s="11"/>
      <c r="N288" s="11"/>
    </row>
    <row r="289" ht="15.75" customHeight="1">
      <c r="A289" s="35">
        <v>44959.0</v>
      </c>
      <c r="B289" s="38">
        <v>6.8</v>
      </c>
      <c r="C289" s="11">
        <f t="shared" si="1"/>
        <v>0.01492537313</v>
      </c>
      <c r="D289" s="13">
        <f t="shared" si="2"/>
        <v>0.01492537313</v>
      </c>
      <c r="E289" s="35">
        <v>44959.0</v>
      </c>
      <c r="F289" s="12">
        <v>17610.4</v>
      </c>
      <c r="G289" s="11">
        <v>-3.34917E-4</v>
      </c>
      <c r="H289" s="13">
        <v>-3.0E-4</v>
      </c>
      <c r="J289" s="15"/>
      <c r="K289" s="11"/>
      <c r="L289" s="11"/>
      <c r="M289" s="11"/>
      <c r="N289" s="11"/>
    </row>
    <row r="290" ht="15.75" customHeight="1">
      <c r="A290" s="35">
        <v>44928.0</v>
      </c>
      <c r="B290" s="38">
        <v>6.7</v>
      </c>
      <c r="C290" s="11">
        <f t="shared" si="1"/>
        <v>-0.04964539007</v>
      </c>
      <c r="D290" s="13">
        <f t="shared" si="2"/>
        <v>-0.04964539007</v>
      </c>
      <c r="E290" s="35">
        <v>44928.0</v>
      </c>
      <c r="F290" s="12">
        <v>17616.3</v>
      </c>
      <c r="G290" s="11">
        <v>-0.002595947</v>
      </c>
      <c r="H290" s="13">
        <v>-0.0026</v>
      </c>
      <c r="J290" s="15"/>
      <c r="K290" s="11"/>
      <c r="L290" s="11"/>
      <c r="M290" s="11"/>
      <c r="N290" s="11"/>
    </row>
    <row r="291" ht="15.75" customHeight="1">
      <c r="A291" s="11" t="s">
        <v>280</v>
      </c>
      <c r="B291" s="38">
        <v>7.05</v>
      </c>
      <c r="C291" s="11">
        <f t="shared" si="1"/>
        <v>0.03676470588</v>
      </c>
      <c r="D291" s="13">
        <f t="shared" si="2"/>
        <v>0.03676470588</v>
      </c>
      <c r="E291" s="11" t="s">
        <v>280</v>
      </c>
      <c r="F291" s="12">
        <v>17662.15</v>
      </c>
      <c r="G291" s="11">
        <v>7.4792E-4</v>
      </c>
      <c r="H291" s="13">
        <v>7.0E-4</v>
      </c>
      <c r="J291" s="15"/>
      <c r="K291" s="11"/>
      <c r="L291" s="11"/>
      <c r="M291" s="11"/>
      <c r="N291" s="11"/>
    </row>
    <row r="292" ht="15.75" customHeight="1">
      <c r="A292" s="11" t="s">
        <v>281</v>
      </c>
      <c r="B292" s="38">
        <v>6.8</v>
      </c>
      <c r="C292" s="11">
        <f t="shared" si="1"/>
        <v>0.0625</v>
      </c>
      <c r="D292" s="13">
        <f t="shared" si="2"/>
        <v>0.0625</v>
      </c>
      <c r="E292" s="11" t="s">
        <v>281</v>
      </c>
      <c r="F292" s="12">
        <v>17648.95</v>
      </c>
      <c r="G292" s="11">
        <v>0.002533465</v>
      </c>
      <c r="H292" s="13">
        <v>0.0025</v>
      </c>
      <c r="J292" s="15"/>
      <c r="K292" s="11"/>
      <c r="L292" s="11"/>
      <c r="M292" s="11"/>
      <c r="N292" s="11"/>
    </row>
    <row r="293" ht="15.75" customHeight="1">
      <c r="A293" s="11" t="s">
        <v>282</v>
      </c>
      <c r="B293" s="38">
        <v>6.4</v>
      </c>
      <c r="C293" s="11">
        <f t="shared" si="1"/>
        <v>-0.05185185185</v>
      </c>
      <c r="D293" s="13">
        <f t="shared" si="2"/>
        <v>-0.05185185185</v>
      </c>
      <c r="E293" s="11" t="s">
        <v>282</v>
      </c>
      <c r="F293" s="12">
        <v>17604.35</v>
      </c>
      <c r="G293" s="11">
        <v>-0.016074268</v>
      </c>
      <c r="H293" s="13">
        <v>-0.0161</v>
      </c>
      <c r="J293" s="15"/>
      <c r="K293" s="11"/>
      <c r="L293" s="11"/>
      <c r="M293" s="11"/>
      <c r="N293" s="11"/>
    </row>
    <row r="294" ht="15.75" customHeight="1">
      <c r="A294" s="11" t="s">
        <v>283</v>
      </c>
      <c r="B294" s="38">
        <v>6.75</v>
      </c>
      <c r="C294" s="11">
        <f t="shared" si="1"/>
        <v>-0.04255319149</v>
      </c>
      <c r="D294" s="13">
        <f t="shared" si="2"/>
        <v>-0.04255319149</v>
      </c>
      <c r="E294" s="11" t="s">
        <v>283</v>
      </c>
      <c r="F294" s="12">
        <v>17891.95</v>
      </c>
      <c r="G294" s="11">
        <v>-0.012492894</v>
      </c>
      <c r="H294" s="13">
        <v>-0.0125</v>
      </c>
      <c r="J294" s="15"/>
      <c r="K294" s="11"/>
      <c r="L294" s="11"/>
      <c r="M294" s="11"/>
      <c r="N294" s="11"/>
    </row>
    <row r="295" ht="15.75" customHeight="1">
      <c r="A295" s="11" t="s">
        <v>284</v>
      </c>
      <c r="B295" s="38">
        <v>7.05</v>
      </c>
      <c r="C295" s="11">
        <f t="shared" si="1"/>
        <v>0</v>
      </c>
      <c r="D295" s="13">
        <f t="shared" si="2"/>
        <v>0</v>
      </c>
      <c r="E295" s="11" t="s">
        <v>284</v>
      </c>
      <c r="F295" s="12">
        <v>18118.3</v>
      </c>
      <c r="G295" s="45">
        <v>-1.3798E-5</v>
      </c>
      <c r="H295" s="13">
        <v>0.0</v>
      </c>
      <c r="J295" s="15"/>
      <c r="K295" s="11"/>
      <c r="L295" s="11"/>
      <c r="M295" s="11"/>
      <c r="N295" s="11"/>
    </row>
    <row r="296" ht="15.75" customHeight="1">
      <c r="A296" s="11" t="s">
        <v>285</v>
      </c>
      <c r="B296" s="38">
        <v>7.05</v>
      </c>
      <c r="C296" s="11">
        <f t="shared" si="1"/>
        <v>-0.0275862069</v>
      </c>
      <c r="D296" s="13">
        <f t="shared" si="2"/>
        <v>-0.0275862069</v>
      </c>
      <c r="E296" s="11" t="s">
        <v>285</v>
      </c>
      <c r="F296" s="12">
        <v>18118.55</v>
      </c>
      <c r="G296" s="11">
        <v>0.005042255</v>
      </c>
      <c r="H296" s="13">
        <v>0.005</v>
      </c>
      <c r="J296" s="15"/>
      <c r="K296" s="11"/>
      <c r="L296" s="11"/>
      <c r="M296" s="11"/>
      <c r="N296" s="11"/>
    </row>
    <row r="297" ht="15.75" customHeight="1">
      <c r="A297" s="11" t="s">
        <v>286</v>
      </c>
      <c r="B297" s="38">
        <v>7.25</v>
      </c>
      <c r="C297" s="11">
        <f t="shared" si="1"/>
        <v>-0.02027027027</v>
      </c>
      <c r="D297" s="13">
        <f t="shared" si="2"/>
        <v>-0.02027027027</v>
      </c>
      <c r="E297" s="11" t="s">
        <v>286</v>
      </c>
      <c r="F297" s="12">
        <v>18027.65</v>
      </c>
      <c r="G297" s="11">
        <v>-0.004429018</v>
      </c>
      <c r="H297" s="13">
        <v>-0.0044</v>
      </c>
      <c r="J297" s="15"/>
      <c r="K297" s="11"/>
      <c r="L297" s="11"/>
      <c r="M297" s="11"/>
      <c r="N297" s="11"/>
    </row>
    <row r="298" ht="15.75" customHeight="1">
      <c r="A298" s="11" t="s">
        <v>287</v>
      </c>
      <c r="B298" s="38">
        <v>7.4</v>
      </c>
      <c r="C298" s="11">
        <f t="shared" si="1"/>
        <v>0.01369863014</v>
      </c>
      <c r="D298" s="13">
        <f t="shared" si="2"/>
        <v>0.01369863014</v>
      </c>
      <c r="E298" s="11" t="s">
        <v>287</v>
      </c>
      <c r="F298" s="12">
        <v>18107.85</v>
      </c>
      <c r="G298" s="11">
        <v>-0.003165367</v>
      </c>
      <c r="H298" s="13">
        <v>-0.0032</v>
      </c>
      <c r="J298" s="15"/>
      <c r="K298" s="11"/>
      <c r="L298" s="11"/>
      <c r="M298" s="11"/>
      <c r="N298" s="11"/>
    </row>
    <row r="299" ht="15.75" customHeight="1">
      <c r="A299" s="11" t="s">
        <v>288</v>
      </c>
      <c r="B299" s="38">
        <v>7.3</v>
      </c>
      <c r="C299" s="11">
        <f t="shared" si="1"/>
        <v>0.006896551724</v>
      </c>
      <c r="D299" s="13">
        <f t="shared" si="2"/>
        <v>0.006896551724</v>
      </c>
      <c r="E299" s="11" t="s">
        <v>288</v>
      </c>
      <c r="F299" s="12">
        <v>18165.35</v>
      </c>
      <c r="G299" s="11">
        <v>0.006206622</v>
      </c>
      <c r="H299" s="13">
        <v>0.0062</v>
      </c>
      <c r="J299" s="15"/>
      <c r="K299" s="11"/>
      <c r="L299" s="11"/>
      <c r="M299" s="11"/>
      <c r="N299" s="11"/>
    </row>
    <row r="300" ht="15.75" customHeight="1">
      <c r="A300" s="11" t="s">
        <v>289</v>
      </c>
      <c r="B300" s="38">
        <v>7.25</v>
      </c>
      <c r="C300" s="11">
        <f t="shared" si="1"/>
        <v>0.006944444444</v>
      </c>
      <c r="D300" s="13">
        <f t="shared" si="2"/>
        <v>0.006944444444</v>
      </c>
      <c r="E300" s="11" t="s">
        <v>289</v>
      </c>
      <c r="F300" s="12">
        <v>18053.3</v>
      </c>
      <c r="G300" s="11">
        <v>0.008854503</v>
      </c>
      <c r="H300" s="13">
        <v>0.0089</v>
      </c>
      <c r="J300" s="15"/>
      <c r="K300" s="11"/>
      <c r="L300" s="11"/>
      <c r="M300" s="11"/>
      <c r="N300" s="11"/>
    </row>
    <row r="301" ht="15.75" customHeight="1">
      <c r="A301" s="11" t="s">
        <v>290</v>
      </c>
      <c r="B301" s="38">
        <v>7.2</v>
      </c>
      <c r="C301" s="11">
        <f t="shared" si="1"/>
        <v>-0.01369863014</v>
      </c>
      <c r="D301" s="13">
        <f t="shared" si="2"/>
        <v>-0.01369863014</v>
      </c>
      <c r="E301" s="11" t="s">
        <v>290</v>
      </c>
      <c r="F301" s="12">
        <v>17894.85</v>
      </c>
      <c r="G301" s="11">
        <v>-0.003438847</v>
      </c>
      <c r="H301" s="13">
        <v>-0.0034</v>
      </c>
      <c r="J301" s="15"/>
      <c r="K301" s="11"/>
      <c r="L301" s="11"/>
      <c r="M301" s="11"/>
      <c r="N301" s="11"/>
    </row>
    <row r="302" ht="15.75" customHeight="1">
      <c r="A302" s="11" t="s">
        <v>291</v>
      </c>
      <c r="B302" s="38">
        <v>7.3</v>
      </c>
      <c r="C302" s="11">
        <f t="shared" si="1"/>
        <v>-0.006802721088</v>
      </c>
      <c r="D302" s="13">
        <f t="shared" si="2"/>
        <v>-0.006802721088</v>
      </c>
      <c r="E302" s="11" t="s">
        <v>291</v>
      </c>
      <c r="F302" s="12">
        <v>17956.6</v>
      </c>
      <c r="G302" s="11">
        <v>0.005510074</v>
      </c>
      <c r="H302" s="13">
        <v>0.0055</v>
      </c>
      <c r="J302" s="15"/>
      <c r="K302" s="11"/>
      <c r="L302" s="11"/>
      <c r="M302" s="11"/>
      <c r="N302" s="11"/>
    </row>
    <row r="303" ht="15.75" customHeight="1">
      <c r="A303" s="35">
        <v>45261.0</v>
      </c>
      <c r="B303" s="38">
        <v>7.35</v>
      </c>
      <c r="C303" s="11">
        <f t="shared" si="1"/>
        <v>-0.01342281879</v>
      </c>
      <c r="D303" s="13">
        <f t="shared" si="2"/>
        <v>-0.01342281879</v>
      </c>
      <c r="E303" s="35">
        <v>45261.0</v>
      </c>
      <c r="F303" s="12">
        <v>17858.2</v>
      </c>
      <c r="G303" s="11">
        <v>-0.002095475</v>
      </c>
      <c r="H303" s="13">
        <v>-0.0021</v>
      </c>
      <c r="J303" s="15"/>
      <c r="K303" s="11"/>
      <c r="L303" s="11"/>
      <c r="M303" s="11"/>
      <c r="N303" s="11"/>
    </row>
    <row r="304" ht="15.75" customHeight="1">
      <c r="A304" s="35">
        <v>45231.0</v>
      </c>
      <c r="B304" s="38">
        <v>7.45</v>
      </c>
      <c r="C304" s="11">
        <f t="shared" si="1"/>
        <v>0.0275862069</v>
      </c>
      <c r="D304" s="13">
        <f t="shared" si="2"/>
        <v>0.0275862069</v>
      </c>
      <c r="E304" s="35">
        <v>45231.0</v>
      </c>
      <c r="F304" s="12">
        <v>17895.7</v>
      </c>
      <c r="G304" s="11">
        <v>-0.001029912</v>
      </c>
      <c r="H304" s="13">
        <v>-0.001</v>
      </c>
      <c r="J304" s="15"/>
      <c r="K304" s="11"/>
      <c r="L304" s="11"/>
      <c r="M304" s="11"/>
      <c r="N304" s="11"/>
    </row>
    <row r="305" ht="15.75" customHeight="1">
      <c r="A305" s="35">
        <v>45200.0</v>
      </c>
      <c r="B305" s="38">
        <v>7.25</v>
      </c>
      <c r="C305" s="11">
        <f t="shared" si="1"/>
        <v>-0.02684563758</v>
      </c>
      <c r="D305" s="13">
        <f t="shared" si="2"/>
        <v>-0.02684563758</v>
      </c>
      <c r="E305" s="35">
        <v>45200.0</v>
      </c>
      <c r="F305" s="12">
        <v>17914.15</v>
      </c>
      <c r="G305" s="11">
        <v>-0.010333569</v>
      </c>
      <c r="H305" s="13">
        <v>-0.0103</v>
      </c>
      <c r="J305" s="15"/>
      <c r="K305" s="11"/>
      <c r="L305" s="11"/>
      <c r="M305" s="11"/>
      <c r="N305" s="11"/>
    </row>
    <row r="306" ht="15.75" customHeight="1">
      <c r="A306" s="35">
        <v>45170.0</v>
      </c>
      <c r="B306" s="38">
        <v>7.45</v>
      </c>
      <c r="C306" s="11">
        <f t="shared" si="1"/>
        <v>-0.04487179487</v>
      </c>
      <c r="D306" s="13">
        <f t="shared" si="2"/>
        <v>-0.04487179487</v>
      </c>
      <c r="E306" s="35">
        <v>45170.0</v>
      </c>
      <c r="F306" s="12">
        <v>18101.2</v>
      </c>
      <c r="G306" s="11">
        <v>0.013536251</v>
      </c>
      <c r="H306" s="13">
        <v>0.0135</v>
      </c>
      <c r="J306" s="15"/>
      <c r="K306" s="11"/>
      <c r="L306" s="11"/>
      <c r="M306" s="11"/>
      <c r="N306" s="11"/>
    </row>
    <row r="307" ht="15.75" customHeight="1">
      <c r="A307" s="35">
        <v>45078.0</v>
      </c>
      <c r="B307" s="38">
        <v>7.8</v>
      </c>
      <c r="C307" s="11">
        <f t="shared" si="1"/>
        <v>-0.01265822785</v>
      </c>
      <c r="D307" s="13">
        <f t="shared" si="2"/>
        <v>-0.01265822785</v>
      </c>
      <c r="E307" s="35">
        <v>45078.0</v>
      </c>
      <c r="F307" s="12">
        <v>17859.45</v>
      </c>
      <c r="G307" s="11">
        <v>-0.007375439</v>
      </c>
      <c r="H307" s="13">
        <v>-0.0074</v>
      </c>
      <c r="J307" s="15"/>
      <c r="K307" s="11"/>
      <c r="L307" s="11"/>
      <c r="M307" s="11"/>
      <c r="N307" s="11"/>
    </row>
    <row r="308" ht="15.75" customHeight="1">
      <c r="A308" s="35">
        <v>45047.0</v>
      </c>
      <c r="B308" s="38">
        <v>7.9</v>
      </c>
      <c r="C308" s="11">
        <f t="shared" si="1"/>
        <v>0.01282051282</v>
      </c>
      <c r="D308" s="13">
        <f t="shared" si="2"/>
        <v>0.01282051282</v>
      </c>
      <c r="E308" s="35">
        <v>45047.0</v>
      </c>
      <c r="F308" s="12">
        <v>17992.15</v>
      </c>
      <c r="G308" s="11">
        <v>-0.002815504</v>
      </c>
      <c r="H308" s="13">
        <v>-0.0028</v>
      </c>
      <c r="J308" s="15"/>
      <c r="K308" s="11"/>
      <c r="L308" s="11"/>
      <c r="M308" s="11"/>
      <c r="N308" s="11"/>
    </row>
    <row r="309" ht="15.75" customHeight="1">
      <c r="A309" s="35">
        <v>45017.0</v>
      </c>
      <c r="B309" s="38">
        <v>7.8</v>
      </c>
      <c r="C309" s="11">
        <f t="shared" si="1"/>
        <v>-0.01886792453</v>
      </c>
      <c r="D309" s="13">
        <f t="shared" si="2"/>
        <v>-0.01886792453</v>
      </c>
      <c r="E309" s="35">
        <v>45017.0</v>
      </c>
      <c r="F309" s="12">
        <v>18042.95</v>
      </c>
      <c r="G309" s="11">
        <v>-0.010398984</v>
      </c>
      <c r="H309" s="13">
        <v>-0.0104</v>
      </c>
      <c r="J309" s="15"/>
      <c r="K309" s="11"/>
      <c r="L309" s="11"/>
      <c r="M309" s="11"/>
      <c r="N309" s="11"/>
    </row>
    <row r="310" ht="15.75" customHeight="1">
      <c r="A310" s="35">
        <v>44986.0</v>
      </c>
      <c r="B310" s="38">
        <v>7.95</v>
      </c>
      <c r="C310" s="11">
        <f t="shared" si="1"/>
        <v>-0.00625</v>
      </c>
      <c r="D310" s="13">
        <f t="shared" si="2"/>
        <v>-0.00625</v>
      </c>
      <c r="E310" s="35">
        <v>44986.0</v>
      </c>
      <c r="F310" s="12">
        <v>18232.55</v>
      </c>
      <c r="G310" s="11">
        <v>0.001928842</v>
      </c>
      <c r="H310" s="13">
        <v>0.0019</v>
      </c>
      <c r="J310" s="15"/>
      <c r="K310" s="11"/>
      <c r="L310" s="11"/>
      <c r="M310" s="11"/>
      <c r="N310" s="11"/>
    </row>
    <row r="311" ht="15.75" customHeight="1">
      <c r="A311" s="35">
        <v>44958.0</v>
      </c>
      <c r="B311" s="38">
        <v>8.0</v>
      </c>
      <c r="C311" s="11">
        <f t="shared" si="1"/>
        <v>0.01265822785</v>
      </c>
      <c r="D311" s="13">
        <f t="shared" si="2"/>
        <v>0.01265822785</v>
      </c>
      <c r="E311" s="35">
        <v>44958.0</v>
      </c>
      <c r="F311" s="12">
        <v>18197.45</v>
      </c>
      <c r="G311" s="11">
        <v>0.00508967</v>
      </c>
      <c r="H311" s="13">
        <v>0.0051</v>
      </c>
      <c r="J311" s="15"/>
      <c r="K311" s="11"/>
      <c r="L311" s="11"/>
      <c r="M311" s="11"/>
      <c r="N311" s="11"/>
    </row>
    <row r="312" ht="15.75" customHeight="1">
      <c r="A312" s="11" t="s">
        <v>292</v>
      </c>
      <c r="B312" s="38">
        <v>7.9</v>
      </c>
      <c r="C312" s="11">
        <f t="shared" si="1"/>
        <v>0</v>
      </c>
      <c r="D312" s="13">
        <f t="shared" si="2"/>
        <v>0</v>
      </c>
      <c r="E312" s="11" t="s">
        <v>292</v>
      </c>
      <c r="F312" s="12">
        <v>18105.3</v>
      </c>
      <c r="G312" s="11">
        <v>-0.004711121</v>
      </c>
      <c r="H312" s="13">
        <v>-0.0047</v>
      </c>
      <c r="J312" s="15"/>
      <c r="K312" s="11"/>
      <c r="L312" s="11"/>
      <c r="M312" s="11"/>
      <c r="N312" s="11"/>
    </row>
    <row r="313" ht="15.75" customHeight="1">
      <c r="A313" s="11" t="s">
        <v>293</v>
      </c>
      <c r="B313" s="38">
        <v>7.9</v>
      </c>
      <c r="C313" s="11">
        <f t="shared" si="1"/>
        <v>-0.006289308176</v>
      </c>
      <c r="D313" s="13">
        <f t="shared" si="2"/>
        <v>-0.006289308176</v>
      </c>
      <c r="E313" s="11" t="s">
        <v>293</v>
      </c>
      <c r="F313" s="12">
        <v>18191.0</v>
      </c>
      <c r="G313" s="11">
        <v>0.003779832</v>
      </c>
      <c r="H313" s="13">
        <v>0.0038</v>
      </c>
      <c r="J313" s="15"/>
      <c r="K313" s="11"/>
      <c r="L313" s="11"/>
      <c r="M313" s="11"/>
      <c r="N313" s="11"/>
    </row>
    <row r="314" ht="15.75" customHeight="1">
      <c r="A314" s="11" t="s">
        <v>294</v>
      </c>
      <c r="B314" s="38">
        <v>7.95</v>
      </c>
      <c r="C314" s="11">
        <f t="shared" si="1"/>
        <v>0.006329113924</v>
      </c>
      <c r="D314" s="13">
        <f t="shared" si="2"/>
        <v>0.006329113924</v>
      </c>
      <c r="E314" s="11" t="s">
        <v>294</v>
      </c>
      <c r="F314" s="12">
        <v>18122.5</v>
      </c>
      <c r="G314" s="11">
        <v>-5.40472E-4</v>
      </c>
      <c r="H314" s="13">
        <v>-5.0E-4</v>
      </c>
      <c r="J314" s="15"/>
      <c r="K314" s="11"/>
      <c r="L314" s="11"/>
      <c r="M314" s="11"/>
      <c r="N314" s="11"/>
    </row>
    <row r="315" ht="15.75" customHeight="1">
      <c r="A315" s="11" t="s">
        <v>295</v>
      </c>
      <c r="B315" s="38">
        <v>7.9</v>
      </c>
      <c r="C315" s="11">
        <f t="shared" si="1"/>
        <v>0.006369426752</v>
      </c>
      <c r="D315" s="13">
        <f t="shared" si="2"/>
        <v>0.006369426752</v>
      </c>
      <c r="E315" s="11" t="s">
        <v>295</v>
      </c>
      <c r="F315" s="12">
        <v>18132.3</v>
      </c>
      <c r="G315" s="11">
        <v>0.006533589</v>
      </c>
      <c r="H315" s="13">
        <v>0.0065</v>
      </c>
      <c r="J315" s="15"/>
      <c r="K315" s="11"/>
      <c r="L315" s="11"/>
      <c r="M315" s="11"/>
      <c r="N315" s="11"/>
    </row>
    <row r="316" ht="15.75" customHeight="1">
      <c r="A316" s="11" t="s">
        <v>296</v>
      </c>
      <c r="B316" s="38">
        <v>7.85</v>
      </c>
      <c r="C316" s="11">
        <f t="shared" si="1"/>
        <v>0.02614379085</v>
      </c>
      <c r="D316" s="13">
        <f t="shared" si="2"/>
        <v>0.02614379085</v>
      </c>
      <c r="E316" s="11" t="s">
        <v>296</v>
      </c>
      <c r="F316" s="12">
        <v>18014.6</v>
      </c>
      <c r="G316" s="11">
        <v>0.011669699</v>
      </c>
      <c r="H316" s="13">
        <v>0.0117</v>
      </c>
      <c r="J316" s="15"/>
      <c r="K316" s="11"/>
      <c r="L316" s="11"/>
      <c r="M316" s="11"/>
      <c r="N316" s="11"/>
    </row>
    <row r="317" ht="15.75" customHeight="1">
      <c r="A317" s="11" t="s">
        <v>297</v>
      </c>
      <c r="B317" s="38">
        <v>7.65</v>
      </c>
      <c r="C317" s="11">
        <f t="shared" si="1"/>
        <v>-0.04375</v>
      </c>
      <c r="D317" s="13">
        <f t="shared" si="2"/>
        <v>-0.04375</v>
      </c>
      <c r="E317" s="11" t="s">
        <v>297</v>
      </c>
      <c r="F317" s="12">
        <v>17806.8</v>
      </c>
      <c r="G317" s="11">
        <v>-0.017683225</v>
      </c>
      <c r="H317" s="13">
        <v>-0.0177</v>
      </c>
      <c r="J317" s="15"/>
      <c r="K317" s="11"/>
      <c r="L317" s="11"/>
      <c r="M317" s="11"/>
      <c r="N317" s="11"/>
    </row>
    <row r="318" ht="15.75" customHeight="1">
      <c r="A318" s="11" t="s">
        <v>298</v>
      </c>
      <c r="B318" s="38">
        <v>8.0</v>
      </c>
      <c r="C318" s="11">
        <f t="shared" si="1"/>
        <v>0</v>
      </c>
      <c r="D318" s="13">
        <f t="shared" si="2"/>
        <v>0</v>
      </c>
      <c r="E318" s="11" t="s">
        <v>298</v>
      </c>
      <c r="F318" s="12">
        <v>18127.35</v>
      </c>
      <c r="G318" s="11">
        <v>-0.003942503</v>
      </c>
      <c r="H318" s="13">
        <v>-0.0039</v>
      </c>
      <c r="J318" s="15"/>
      <c r="K318" s="11"/>
      <c r="L318" s="11"/>
      <c r="M318" s="11"/>
      <c r="N318" s="11"/>
    </row>
    <row r="319" ht="15.75" customHeight="1">
      <c r="A319" s="11" t="s">
        <v>299</v>
      </c>
      <c r="B319" s="38">
        <v>8.0</v>
      </c>
      <c r="C319" s="11">
        <f t="shared" si="1"/>
        <v>-0.0303030303</v>
      </c>
      <c r="D319" s="13">
        <f t="shared" si="2"/>
        <v>-0.0303030303</v>
      </c>
      <c r="E319" s="11" t="s">
        <v>299</v>
      </c>
      <c r="F319" s="12">
        <v>18199.1</v>
      </c>
      <c r="G319" s="11">
        <v>-0.010127656</v>
      </c>
      <c r="H319" s="13">
        <v>-0.0101</v>
      </c>
      <c r="J319" s="15"/>
      <c r="K319" s="11"/>
      <c r="L319" s="11"/>
      <c r="M319" s="11"/>
      <c r="N319" s="11"/>
    </row>
    <row r="320" ht="15.75" customHeight="1">
      <c r="A320" s="11" t="s">
        <v>300</v>
      </c>
      <c r="B320" s="38">
        <v>8.25</v>
      </c>
      <c r="C320" s="11">
        <f t="shared" si="1"/>
        <v>-0.0119760479</v>
      </c>
      <c r="D320" s="13">
        <f t="shared" si="2"/>
        <v>-0.0119760479</v>
      </c>
      <c r="E320" s="11" t="s">
        <v>300</v>
      </c>
      <c r="F320" s="12">
        <v>18385.3</v>
      </c>
      <c r="G320" s="11">
        <v>-0.001908205</v>
      </c>
      <c r="H320" s="13">
        <v>-0.0019</v>
      </c>
      <c r="J320" s="15"/>
      <c r="K320" s="11"/>
      <c r="L320" s="11"/>
      <c r="M320" s="11"/>
      <c r="N320" s="11"/>
    </row>
    <row r="321" ht="15.75" customHeight="1">
      <c r="A321" s="11" t="s">
        <v>301</v>
      </c>
      <c r="B321" s="38">
        <v>8.35</v>
      </c>
      <c r="C321" s="11">
        <f t="shared" si="1"/>
        <v>0.006024096386</v>
      </c>
      <c r="D321" s="13">
        <f t="shared" si="2"/>
        <v>0.006024096386</v>
      </c>
      <c r="E321" s="11" t="s">
        <v>301</v>
      </c>
      <c r="F321" s="12">
        <v>18420.45</v>
      </c>
      <c r="G321" s="11">
        <v>0.008289999</v>
      </c>
      <c r="H321" s="13">
        <v>0.0083</v>
      </c>
      <c r="J321" s="15"/>
      <c r="K321" s="11"/>
      <c r="L321" s="11"/>
      <c r="M321" s="11"/>
      <c r="N321" s="11"/>
    </row>
    <row r="322" ht="15.75" customHeight="1">
      <c r="A322" s="11" t="s">
        <v>302</v>
      </c>
      <c r="B322" s="38">
        <v>8.3</v>
      </c>
      <c r="C322" s="11">
        <f t="shared" si="1"/>
        <v>-0.0119047619</v>
      </c>
      <c r="D322" s="13">
        <f t="shared" si="2"/>
        <v>-0.0119047619</v>
      </c>
      <c r="E322" s="11" t="s">
        <v>302</v>
      </c>
      <c r="F322" s="12">
        <v>18269.0</v>
      </c>
      <c r="G322" s="11">
        <v>-0.007922932</v>
      </c>
      <c r="H322" s="13">
        <v>-0.0079</v>
      </c>
      <c r="J322" s="15"/>
      <c r="K322" s="11"/>
      <c r="L322" s="11"/>
      <c r="M322" s="11"/>
      <c r="N322" s="11"/>
    </row>
    <row r="323" ht="15.75" customHeight="1">
      <c r="A323" s="11" t="s">
        <v>303</v>
      </c>
      <c r="B323" s="38">
        <v>8.4</v>
      </c>
      <c r="C323" s="11">
        <f t="shared" si="1"/>
        <v>-0.0289017341</v>
      </c>
      <c r="D323" s="13">
        <f t="shared" si="2"/>
        <v>-0.0289017341</v>
      </c>
      <c r="E323" s="11" t="s">
        <v>303</v>
      </c>
      <c r="F323" s="12">
        <v>18414.9</v>
      </c>
      <c r="G323" s="11">
        <v>-0.013150914</v>
      </c>
      <c r="H323" s="13">
        <v>-0.0132</v>
      </c>
      <c r="J323" s="15"/>
      <c r="K323" s="11"/>
      <c r="L323" s="11"/>
      <c r="M323" s="11"/>
      <c r="N323" s="11"/>
    </row>
    <row r="324" ht="15.75" customHeight="1">
      <c r="A324" s="11" t="s">
        <v>304</v>
      </c>
      <c r="B324" s="38">
        <v>8.65</v>
      </c>
      <c r="C324" s="11">
        <f t="shared" si="1"/>
        <v>0.09493670886</v>
      </c>
      <c r="D324" s="13">
        <f t="shared" si="2"/>
        <v>0.09493670886</v>
      </c>
      <c r="E324" s="11" t="s">
        <v>304</v>
      </c>
      <c r="F324" s="12">
        <v>18660.3</v>
      </c>
      <c r="G324" s="11">
        <v>0.002810619</v>
      </c>
      <c r="H324" s="13">
        <v>0.0028</v>
      </c>
      <c r="J324" s="15"/>
      <c r="K324" s="11"/>
      <c r="L324" s="11"/>
      <c r="M324" s="11"/>
      <c r="N324" s="11"/>
    </row>
    <row r="325" ht="15.75" customHeight="1">
      <c r="A325" s="11" t="s">
        <v>305</v>
      </c>
      <c r="B325" s="38">
        <v>7.9</v>
      </c>
      <c r="C325" s="11">
        <f t="shared" si="1"/>
        <v>-0.006289308176</v>
      </c>
      <c r="D325" s="13">
        <f t="shared" si="2"/>
        <v>-0.006289308176</v>
      </c>
      <c r="E325" s="11" t="s">
        <v>305</v>
      </c>
      <c r="F325" s="12">
        <v>18608.0</v>
      </c>
      <c r="G325" s="11">
        <v>0.005992815</v>
      </c>
      <c r="H325" s="13">
        <v>0.006</v>
      </c>
      <c r="J325" s="15"/>
      <c r="K325" s="11"/>
      <c r="L325" s="11"/>
      <c r="M325" s="11"/>
      <c r="N325" s="11"/>
    </row>
    <row r="326" ht="15.75" customHeight="1">
      <c r="A326" s="55">
        <v>44907.0</v>
      </c>
      <c r="B326" s="38">
        <v>7.95</v>
      </c>
      <c r="C326" s="11">
        <f t="shared" si="1"/>
        <v>0</v>
      </c>
      <c r="D326" s="13">
        <f t="shared" si="2"/>
        <v>0</v>
      </c>
      <c r="E326" s="55">
        <v>44907.0</v>
      </c>
      <c r="F326" s="12">
        <v>18497.15</v>
      </c>
      <c r="G326" s="45">
        <v>2.97352E-5</v>
      </c>
      <c r="H326" s="13">
        <v>0.0</v>
      </c>
      <c r="J326" s="15"/>
      <c r="K326" s="11"/>
      <c r="L326" s="11"/>
      <c r="M326" s="11"/>
      <c r="N326" s="11"/>
    </row>
    <row r="327" ht="15.75" customHeight="1">
      <c r="A327" s="35">
        <v>44816.0</v>
      </c>
      <c r="B327" s="38">
        <v>7.95</v>
      </c>
      <c r="C327" s="11">
        <f t="shared" si="1"/>
        <v>-0.00625</v>
      </c>
      <c r="D327" s="13">
        <f t="shared" si="2"/>
        <v>-0.00625</v>
      </c>
      <c r="E327" s="35">
        <v>44816.0</v>
      </c>
      <c r="F327" s="12">
        <v>18496.6</v>
      </c>
      <c r="G327" s="11">
        <v>-0.006058782</v>
      </c>
      <c r="H327" s="13">
        <v>-0.0061</v>
      </c>
      <c r="J327" s="15"/>
      <c r="K327" s="11"/>
      <c r="L327" s="11"/>
      <c r="M327" s="11"/>
      <c r="N327" s="11"/>
    </row>
    <row r="328" ht="15.75" customHeight="1">
      <c r="A328" s="35">
        <v>44785.0</v>
      </c>
      <c r="B328" s="38">
        <v>8.0</v>
      </c>
      <c r="C328" s="11">
        <f t="shared" si="1"/>
        <v>0</v>
      </c>
      <c r="D328" s="13">
        <f t="shared" si="2"/>
        <v>0</v>
      </c>
      <c r="E328" s="35">
        <v>44785.0</v>
      </c>
      <c r="F328" s="12">
        <v>18609.35</v>
      </c>
      <c r="G328" s="11">
        <v>0.002631933</v>
      </c>
      <c r="H328" s="13">
        <v>0.0026</v>
      </c>
      <c r="J328" s="15"/>
      <c r="K328" s="11"/>
      <c r="L328" s="11"/>
      <c r="M328" s="11"/>
      <c r="N328" s="11"/>
    </row>
    <row r="329" ht="15.75" customHeight="1">
      <c r="A329" s="35">
        <v>44754.0</v>
      </c>
      <c r="B329" s="38">
        <v>8.0</v>
      </c>
      <c r="C329" s="11">
        <f t="shared" si="1"/>
        <v>-0.006211180124</v>
      </c>
      <c r="D329" s="13">
        <f t="shared" si="2"/>
        <v>-0.006211180124</v>
      </c>
      <c r="E329" s="35">
        <v>44754.0</v>
      </c>
      <c r="F329" s="12">
        <v>18560.5</v>
      </c>
      <c r="G329" s="11">
        <v>-0.004411903</v>
      </c>
      <c r="H329" s="13">
        <v>-0.0044</v>
      </c>
      <c r="J329" s="15"/>
      <c r="K329" s="11"/>
      <c r="L329" s="11"/>
      <c r="M329" s="11"/>
      <c r="N329" s="11"/>
    </row>
    <row r="330" ht="15.75" customHeight="1">
      <c r="A330" s="35">
        <v>44724.0</v>
      </c>
      <c r="B330" s="38">
        <v>8.05</v>
      </c>
      <c r="C330" s="11">
        <f t="shared" si="1"/>
        <v>-0.01226993865</v>
      </c>
      <c r="D330" s="13">
        <f t="shared" si="2"/>
        <v>-0.01226993865</v>
      </c>
      <c r="E330" s="35">
        <v>44724.0</v>
      </c>
      <c r="F330" s="12">
        <v>18642.75</v>
      </c>
      <c r="G330" s="11">
        <v>-0.003117472</v>
      </c>
      <c r="H330" s="13">
        <v>-0.0031</v>
      </c>
      <c r="J330" s="15"/>
      <c r="K330" s="11"/>
      <c r="L330" s="11"/>
      <c r="M330" s="11"/>
      <c r="N330" s="11"/>
    </row>
    <row r="331" ht="15.75" customHeight="1">
      <c r="A331" s="35">
        <v>44693.0</v>
      </c>
      <c r="B331" s="38">
        <v>8.15</v>
      </c>
      <c r="C331" s="11">
        <f t="shared" si="1"/>
        <v>-0.01807228916</v>
      </c>
      <c r="D331" s="13">
        <f t="shared" si="2"/>
        <v>-0.01807228916</v>
      </c>
      <c r="E331" s="35">
        <v>44693.0</v>
      </c>
      <c r="F331" s="12">
        <v>18701.05</v>
      </c>
      <c r="G331" s="11">
        <v>2.64761E-4</v>
      </c>
      <c r="H331" s="13">
        <v>3.0E-4</v>
      </c>
      <c r="J331" s="15"/>
      <c r="K331" s="11"/>
      <c r="L331" s="11"/>
      <c r="M331" s="11"/>
      <c r="N331" s="11"/>
    </row>
    <row r="332" ht="15.75" customHeight="1">
      <c r="A332" s="35">
        <v>44604.0</v>
      </c>
      <c r="B332" s="38">
        <v>8.3</v>
      </c>
      <c r="C332" s="11">
        <f t="shared" si="1"/>
        <v>0.01840490798</v>
      </c>
      <c r="D332" s="13">
        <f t="shared" si="2"/>
        <v>0.01840490798</v>
      </c>
      <c r="E332" s="35">
        <v>44604.0</v>
      </c>
      <c r="F332" s="12">
        <v>18696.1</v>
      </c>
      <c r="G332" s="11">
        <v>-0.006187375</v>
      </c>
      <c r="H332" s="13">
        <v>-0.0062</v>
      </c>
      <c r="J332" s="15"/>
      <c r="K332" s="11"/>
      <c r="L332" s="11"/>
      <c r="M332" s="11"/>
      <c r="N332" s="11"/>
    </row>
    <row r="333" ht="15.75" customHeight="1">
      <c r="A333" s="35">
        <v>44573.0</v>
      </c>
      <c r="B333" s="38">
        <v>8.15</v>
      </c>
      <c r="C333" s="11">
        <f t="shared" si="1"/>
        <v>-0.01212121212</v>
      </c>
      <c r="D333" s="13">
        <f t="shared" si="2"/>
        <v>-0.01212121212</v>
      </c>
      <c r="E333" s="35">
        <v>44573.0</v>
      </c>
      <c r="F333" s="12">
        <v>18812.5</v>
      </c>
      <c r="G333" s="11">
        <v>0.002886714</v>
      </c>
      <c r="H333" s="13">
        <v>0.0029</v>
      </c>
      <c r="J333" s="15"/>
      <c r="K333" s="11"/>
      <c r="L333" s="11"/>
      <c r="M333" s="11"/>
      <c r="N333" s="11"/>
    </row>
    <row r="334" ht="15.75" customHeight="1">
      <c r="A334" s="11" t="s">
        <v>306</v>
      </c>
      <c r="B334" s="38">
        <v>8.25</v>
      </c>
      <c r="C334" s="11">
        <f t="shared" si="1"/>
        <v>0.0248447205</v>
      </c>
      <c r="D334" s="13">
        <f t="shared" si="2"/>
        <v>0.0248447205</v>
      </c>
      <c r="E334" s="11" t="s">
        <v>306</v>
      </c>
      <c r="F334" s="12">
        <v>18758.35</v>
      </c>
      <c r="G334" s="11">
        <v>0.007535698</v>
      </c>
      <c r="H334" s="13">
        <v>0.0075</v>
      </c>
      <c r="J334" s="15"/>
      <c r="K334" s="11"/>
      <c r="L334" s="11"/>
      <c r="M334" s="11"/>
      <c r="N334" s="11"/>
    </row>
    <row r="335" ht="15.75" customHeight="1">
      <c r="A335" s="11" t="s">
        <v>307</v>
      </c>
      <c r="B335" s="38">
        <v>8.05</v>
      </c>
      <c r="C335" s="11">
        <f t="shared" si="1"/>
        <v>0</v>
      </c>
      <c r="D335" s="13">
        <f t="shared" si="2"/>
        <v>0</v>
      </c>
      <c r="E335" s="11" t="s">
        <v>307</v>
      </c>
      <c r="F335" s="12">
        <v>18618.05</v>
      </c>
      <c r="G335" s="11">
        <v>0.002979084</v>
      </c>
      <c r="H335" s="13">
        <v>0.003</v>
      </c>
      <c r="J335" s="15"/>
      <c r="K335" s="11"/>
      <c r="L335" s="11"/>
      <c r="M335" s="11"/>
      <c r="N335" s="11"/>
    </row>
    <row r="336" ht="15.75" customHeight="1">
      <c r="A336" s="11" t="s">
        <v>308</v>
      </c>
      <c r="B336" s="38">
        <v>8.05</v>
      </c>
      <c r="C336" s="11">
        <f t="shared" si="1"/>
        <v>0</v>
      </c>
      <c r="D336" s="13">
        <f t="shared" si="2"/>
        <v>0</v>
      </c>
      <c r="E336" s="11" t="s">
        <v>308</v>
      </c>
      <c r="F336" s="12">
        <v>18562.75</v>
      </c>
      <c r="G336" s="11">
        <v>0.002700841</v>
      </c>
      <c r="H336" s="13">
        <v>0.0027</v>
      </c>
      <c r="J336" s="15"/>
      <c r="K336" s="11"/>
      <c r="L336" s="11"/>
      <c r="M336" s="11"/>
      <c r="N336" s="11"/>
    </row>
    <row r="337" ht="15.75" customHeight="1">
      <c r="A337" s="11" t="s">
        <v>309</v>
      </c>
      <c r="B337" s="38">
        <v>8.05</v>
      </c>
      <c r="C337" s="11">
        <f t="shared" si="1"/>
        <v>0</v>
      </c>
      <c r="D337" s="13">
        <f t="shared" si="2"/>
        <v>0</v>
      </c>
      <c r="E337" s="11" t="s">
        <v>309</v>
      </c>
      <c r="F337" s="12">
        <v>18512.75</v>
      </c>
      <c r="G337" s="11">
        <v>0.001549981</v>
      </c>
      <c r="H337" s="13">
        <v>0.0016</v>
      </c>
      <c r="J337" s="15"/>
      <c r="K337" s="11"/>
      <c r="L337" s="11"/>
      <c r="M337" s="11"/>
      <c r="N337" s="11"/>
    </row>
    <row r="338" ht="15.75" customHeight="1">
      <c r="A338" s="11" t="s">
        <v>310</v>
      </c>
      <c r="B338" s="38">
        <v>8.05</v>
      </c>
      <c r="C338" s="11">
        <f t="shared" si="1"/>
        <v>-0.02424242424</v>
      </c>
      <c r="D338" s="13">
        <f t="shared" si="2"/>
        <v>-0.02424242424</v>
      </c>
      <c r="E338" s="11" t="s">
        <v>310</v>
      </c>
      <c r="F338" s="12">
        <v>18484.1</v>
      </c>
      <c r="G338" s="11">
        <v>0.011870971</v>
      </c>
      <c r="H338" s="13">
        <v>0.0119</v>
      </c>
      <c r="J338" s="15"/>
      <c r="K338" s="11"/>
      <c r="L338" s="11"/>
      <c r="M338" s="11"/>
      <c r="N338" s="11"/>
    </row>
    <row r="339" ht="15.75" customHeight="1">
      <c r="A339" s="11" t="s">
        <v>311</v>
      </c>
      <c r="B339" s="38">
        <v>8.25</v>
      </c>
      <c r="C339" s="11">
        <f t="shared" si="1"/>
        <v>-0.0119760479</v>
      </c>
      <c r="D339" s="13">
        <f t="shared" si="2"/>
        <v>-0.0119760479</v>
      </c>
      <c r="E339" s="11" t="s">
        <v>311</v>
      </c>
      <c r="F339" s="12">
        <v>18267.25</v>
      </c>
      <c r="G339" s="11">
        <v>0.001263415</v>
      </c>
      <c r="H339" s="13">
        <v>0.0013</v>
      </c>
      <c r="J339" s="15"/>
      <c r="K339" s="11"/>
      <c r="L339" s="11"/>
      <c r="M339" s="11"/>
      <c r="N339" s="11"/>
    </row>
    <row r="340" ht="15.75" customHeight="1">
      <c r="A340" s="11" t="s">
        <v>312</v>
      </c>
      <c r="B340" s="38">
        <v>8.35</v>
      </c>
      <c r="C340" s="11">
        <f t="shared" si="1"/>
        <v>-0.005952380952</v>
      </c>
      <c r="D340" s="13">
        <f t="shared" si="2"/>
        <v>-0.005952380952</v>
      </c>
      <c r="E340" s="11" t="s">
        <v>312</v>
      </c>
      <c r="F340" s="12">
        <v>18244.2</v>
      </c>
      <c r="G340" s="11">
        <v>0.00463933</v>
      </c>
      <c r="H340" s="13">
        <v>0.0046</v>
      </c>
      <c r="J340" s="15"/>
      <c r="K340" s="11"/>
      <c r="L340" s="11"/>
      <c r="M340" s="11"/>
      <c r="N340" s="11"/>
    </row>
    <row r="341" ht="15.75" customHeight="1">
      <c r="A341" s="11" t="s">
        <v>313</v>
      </c>
      <c r="B341" s="38">
        <v>8.4</v>
      </c>
      <c r="C341" s="11">
        <f t="shared" si="1"/>
        <v>0.005988023952</v>
      </c>
      <c r="D341" s="13">
        <f t="shared" si="2"/>
        <v>0.005988023952</v>
      </c>
      <c r="E341" s="11" t="s">
        <v>313</v>
      </c>
      <c r="F341" s="12">
        <v>18159.95</v>
      </c>
      <c r="G341" s="11">
        <v>-0.008067666</v>
      </c>
      <c r="H341" s="13">
        <v>-0.0081</v>
      </c>
      <c r="J341" s="15"/>
      <c r="K341" s="11"/>
      <c r="L341" s="11"/>
      <c r="M341" s="11"/>
      <c r="N341" s="11"/>
    </row>
    <row r="342" ht="15.75" customHeight="1">
      <c r="A342" s="11" t="s">
        <v>314</v>
      </c>
      <c r="B342" s="38">
        <v>8.35</v>
      </c>
      <c r="C342" s="11">
        <f t="shared" si="1"/>
        <v>0</v>
      </c>
      <c r="D342" s="13">
        <f t="shared" si="2"/>
        <v>0</v>
      </c>
      <c r="E342" s="11" t="s">
        <v>314</v>
      </c>
      <c r="F342" s="12">
        <v>18307.65</v>
      </c>
      <c r="G342" s="11">
        <v>-0.001976134</v>
      </c>
      <c r="H342" s="13">
        <v>-0.002</v>
      </c>
      <c r="J342" s="15"/>
      <c r="K342" s="11"/>
      <c r="L342" s="11"/>
      <c r="M342" s="11"/>
      <c r="N342" s="11"/>
    </row>
    <row r="343" ht="15.75" customHeight="1">
      <c r="A343" s="11" t="s">
        <v>315</v>
      </c>
      <c r="B343" s="38">
        <v>8.35</v>
      </c>
      <c r="C343" s="11">
        <f t="shared" si="1"/>
        <v>-0.005952380952</v>
      </c>
      <c r="D343" s="13">
        <f t="shared" si="2"/>
        <v>-0.005952380952</v>
      </c>
      <c r="E343" s="11" t="s">
        <v>315</v>
      </c>
      <c r="F343" s="12">
        <v>18343.9</v>
      </c>
      <c r="G343" s="11">
        <v>-0.003571496</v>
      </c>
      <c r="H343" s="13">
        <v>-0.0036</v>
      </c>
      <c r="J343" s="15"/>
      <c r="K343" s="11"/>
      <c r="L343" s="11"/>
      <c r="M343" s="11"/>
      <c r="N343" s="11"/>
    </row>
    <row r="344" ht="15.75" customHeight="1">
      <c r="A344" s="11" t="s">
        <v>316</v>
      </c>
      <c r="B344" s="38">
        <v>8.4</v>
      </c>
      <c r="C344" s="11">
        <f t="shared" si="1"/>
        <v>-0.005917159763</v>
      </c>
      <c r="D344" s="13">
        <f t="shared" si="2"/>
        <v>-0.005917159763</v>
      </c>
      <c r="E344" s="11" t="s">
        <v>316</v>
      </c>
      <c r="F344" s="12">
        <v>18409.65</v>
      </c>
      <c r="G344" s="11">
        <v>3.39611E-4</v>
      </c>
      <c r="H344" s="13">
        <v>3.0E-4</v>
      </c>
      <c r="J344" s="15"/>
      <c r="K344" s="11"/>
      <c r="L344" s="11"/>
      <c r="M344" s="11"/>
      <c r="N344" s="11"/>
    </row>
    <row r="345" ht="15.75" customHeight="1">
      <c r="A345" s="11" t="s">
        <v>317</v>
      </c>
      <c r="B345" s="38">
        <v>8.45</v>
      </c>
      <c r="C345" s="11">
        <f t="shared" si="1"/>
        <v>-0.005882352941</v>
      </c>
      <c r="D345" s="13">
        <f t="shared" si="2"/>
        <v>-0.005882352941</v>
      </c>
      <c r="E345" s="11" t="s">
        <v>317</v>
      </c>
      <c r="F345" s="12">
        <v>18403.4</v>
      </c>
      <c r="G345" s="11">
        <v>0.004050924</v>
      </c>
      <c r="H345" s="13">
        <v>0.0041</v>
      </c>
      <c r="J345" s="15"/>
      <c r="K345" s="11"/>
      <c r="L345" s="11"/>
      <c r="M345" s="11"/>
      <c r="N345" s="11"/>
    </row>
    <row r="346" ht="15.75" customHeight="1">
      <c r="A346" s="11" t="s">
        <v>318</v>
      </c>
      <c r="B346" s="38">
        <v>8.5</v>
      </c>
      <c r="C346" s="11">
        <f t="shared" si="1"/>
        <v>0</v>
      </c>
      <c r="D346" s="13">
        <f t="shared" si="2"/>
        <v>0</v>
      </c>
      <c r="E346" s="11" t="s">
        <v>318</v>
      </c>
      <c r="F346" s="12">
        <v>18329.15</v>
      </c>
      <c r="G346" s="11">
        <v>-0.001119909</v>
      </c>
      <c r="H346" s="13">
        <v>-0.0011</v>
      </c>
      <c r="J346" s="15"/>
      <c r="K346" s="11"/>
      <c r="L346" s="11"/>
      <c r="M346" s="11"/>
      <c r="N346" s="11"/>
    </row>
    <row r="347" ht="15.75" customHeight="1">
      <c r="A347" s="55">
        <v>44876.0</v>
      </c>
      <c r="B347" s="38">
        <v>8.5</v>
      </c>
      <c r="C347" s="11">
        <f t="shared" si="1"/>
        <v>-0.01734104046</v>
      </c>
      <c r="D347" s="13">
        <f t="shared" si="2"/>
        <v>-0.01734104046</v>
      </c>
      <c r="E347" s="55">
        <v>44876.0</v>
      </c>
      <c r="F347" s="12">
        <v>18349.7</v>
      </c>
      <c r="G347" s="11">
        <v>0.017833172</v>
      </c>
      <c r="H347" s="13">
        <v>0.0178</v>
      </c>
      <c r="J347" s="15"/>
      <c r="K347" s="11"/>
      <c r="L347" s="11"/>
      <c r="M347" s="11"/>
      <c r="N347" s="11"/>
    </row>
    <row r="348" ht="15.75" customHeight="1">
      <c r="A348" s="55">
        <v>44845.0</v>
      </c>
      <c r="B348" s="38">
        <v>8.65</v>
      </c>
      <c r="C348" s="11">
        <f t="shared" si="1"/>
        <v>0.01764705882</v>
      </c>
      <c r="D348" s="13">
        <f t="shared" si="2"/>
        <v>0.01764705882</v>
      </c>
      <c r="E348" s="55">
        <v>44845.0</v>
      </c>
      <c r="F348" s="12">
        <v>18028.2</v>
      </c>
      <c r="G348" s="11">
        <v>-0.007093683</v>
      </c>
      <c r="H348" s="13">
        <v>-0.0071</v>
      </c>
      <c r="J348" s="15"/>
      <c r="K348" s="11"/>
      <c r="L348" s="11"/>
      <c r="M348" s="11"/>
      <c r="N348" s="11"/>
    </row>
    <row r="349" ht="15.75" customHeight="1">
      <c r="A349" s="35">
        <v>44815.0</v>
      </c>
      <c r="B349" s="38">
        <v>8.5</v>
      </c>
      <c r="C349" s="11">
        <f t="shared" si="1"/>
        <v>0.01796407186</v>
      </c>
      <c r="D349" s="13">
        <f t="shared" si="2"/>
        <v>0.01796407186</v>
      </c>
      <c r="E349" s="35">
        <v>44815.0</v>
      </c>
      <c r="F349" s="12">
        <v>18157.0</v>
      </c>
      <c r="G349" s="11">
        <v>-0.002516096</v>
      </c>
      <c r="H349" s="13">
        <v>-0.0025</v>
      </c>
      <c r="J349" s="15"/>
      <c r="K349" s="11"/>
      <c r="L349" s="11"/>
      <c r="M349" s="11"/>
      <c r="N349" s="11"/>
    </row>
    <row r="350" ht="15.75" customHeight="1">
      <c r="A350" s="35">
        <v>44753.0</v>
      </c>
      <c r="B350" s="38">
        <v>8.35</v>
      </c>
      <c r="C350" s="11">
        <f t="shared" si="1"/>
        <v>-0.005952380952</v>
      </c>
      <c r="D350" s="13">
        <f t="shared" si="2"/>
        <v>-0.005952380952</v>
      </c>
      <c r="E350" s="35">
        <v>44753.0</v>
      </c>
      <c r="F350" s="12">
        <v>18202.8</v>
      </c>
      <c r="G350" s="11">
        <v>0.004727565</v>
      </c>
      <c r="H350" s="13">
        <v>0.0047</v>
      </c>
      <c r="J350" s="15"/>
      <c r="K350" s="11"/>
      <c r="L350" s="11"/>
      <c r="M350" s="11"/>
      <c r="N350" s="11"/>
    </row>
    <row r="351" ht="15.75" customHeight="1">
      <c r="A351" s="35">
        <v>44662.0</v>
      </c>
      <c r="B351" s="38">
        <v>8.4</v>
      </c>
      <c r="C351" s="11">
        <f t="shared" si="1"/>
        <v>-0.01754385965</v>
      </c>
      <c r="D351" s="13">
        <f t="shared" si="2"/>
        <v>-0.01754385965</v>
      </c>
      <c r="E351" s="35">
        <v>44662.0</v>
      </c>
      <c r="F351" s="12">
        <v>18117.15</v>
      </c>
      <c r="G351" s="11">
        <v>0.003570103</v>
      </c>
      <c r="H351" s="13">
        <v>0.0036</v>
      </c>
      <c r="J351" s="15"/>
      <c r="K351" s="11"/>
      <c r="L351" s="11"/>
      <c r="M351" s="11"/>
      <c r="N351" s="11"/>
    </row>
    <row r="352" ht="15.75" customHeight="1">
      <c r="A352" s="35">
        <v>44631.0</v>
      </c>
      <c r="B352" s="38">
        <v>8.55</v>
      </c>
      <c r="C352" s="11">
        <f t="shared" si="1"/>
        <v>0</v>
      </c>
      <c r="D352" s="13">
        <f t="shared" si="2"/>
        <v>0</v>
      </c>
      <c r="E352" s="35">
        <v>44631.0</v>
      </c>
      <c r="F352" s="12">
        <v>18052.7</v>
      </c>
      <c r="G352" s="11">
        <v>-0.001667326</v>
      </c>
      <c r="H352" s="13">
        <v>-0.0017</v>
      </c>
      <c r="J352" s="15"/>
      <c r="K352" s="11"/>
      <c r="L352" s="11"/>
      <c r="M352" s="11"/>
      <c r="N352" s="11"/>
    </row>
    <row r="353" ht="15.75" customHeight="1">
      <c r="A353" s="35">
        <v>44603.0</v>
      </c>
      <c r="B353" s="38">
        <v>8.55</v>
      </c>
      <c r="C353" s="11">
        <f t="shared" si="1"/>
        <v>-0.01156069364</v>
      </c>
      <c r="D353" s="13">
        <f t="shared" si="2"/>
        <v>-0.01156069364</v>
      </c>
      <c r="E353" s="35">
        <v>44603.0</v>
      </c>
      <c r="F353" s="12">
        <v>18082.85</v>
      </c>
      <c r="G353" s="11">
        <v>-0.003447155</v>
      </c>
      <c r="H353" s="13">
        <v>-0.0034</v>
      </c>
      <c r="J353" s="15"/>
      <c r="K353" s="11"/>
      <c r="L353" s="11"/>
      <c r="M353" s="11"/>
      <c r="N353" s="11"/>
    </row>
    <row r="354" ht="15.75" customHeight="1">
      <c r="A354" s="35">
        <v>44572.0</v>
      </c>
      <c r="B354" s="38">
        <v>8.65</v>
      </c>
      <c r="C354" s="11">
        <f t="shared" si="1"/>
        <v>0.01169590643</v>
      </c>
      <c r="D354" s="13">
        <f t="shared" si="2"/>
        <v>0.01169590643</v>
      </c>
      <c r="E354" s="35">
        <v>44572.0</v>
      </c>
      <c r="F354" s="12">
        <v>18145.4</v>
      </c>
      <c r="G354" s="11">
        <v>0.007394988</v>
      </c>
      <c r="H354" s="13">
        <v>0.0074</v>
      </c>
      <c r="J354" s="15"/>
      <c r="K354" s="11"/>
      <c r="L354" s="11"/>
      <c r="M354" s="11"/>
      <c r="N354" s="11"/>
    </row>
    <row r="355" ht="15.75" customHeight="1">
      <c r="A355" s="11" t="s">
        <v>319</v>
      </c>
      <c r="B355" s="38">
        <v>8.55</v>
      </c>
      <c r="C355" s="11">
        <f t="shared" si="1"/>
        <v>0</v>
      </c>
      <c r="D355" s="13">
        <f t="shared" si="2"/>
        <v>0</v>
      </c>
      <c r="E355" s="11" t="s">
        <v>319</v>
      </c>
      <c r="F355" s="12">
        <v>18012.2</v>
      </c>
      <c r="G355" s="11">
        <v>0.012672319</v>
      </c>
      <c r="H355" s="13">
        <v>0.0127</v>
      </c>
      <c r="J355" s="15"/>
      <c r="K355" s="11"/>
      <c r="L355" s="11"/>
      <c r="M355" s="11"/>
      <c r="N355" s="11"/>
    </row>
    <row r="356" ht="15.75" customHeight="1">
      <c r="A356" s="11" t="s">
        <v>320</v>
      </c>
      <c r="B356" s="38">
        <v>8.55</v>
      </c>
      <c r="C356" s="11">
        <f t="shared" si="1"/>
        <v>-0.005813953488</v>
      </c>
      <c r="D356" s="13">
        <f t="shared" si="2"/>
        <v>-0.005813953488</v>
      </c>
      <c r="E356" s="11" t="s">
        <v>320</v>
      </c>
      <c r="F356" s="12">
        <v>17786.8</v>
      </c>
      <c r="G356" s="11">
        <v>0.002810517</v>
      </c>
      <c r="H356" s="13">
        <v>0.0028</v>
      </c>
      <c r="J356" s="15"/>
      <c r="K356" s="11"/>
      <c r="L356" s="11"/>
      <c r="M356" s="11"/>
      <c r="N356" s="11"/>
    </row>
    <row r="357" ht="15.75" customHeight="1">
      <c r="A357" s="11" t="s">
        <v>321</v>
      </c>
      <c r="B357" s="38">
        <v>8.6</v>
      </c>
      <c r="C357" s="11">
        <f t="shared" si="1"/>
        <v>0</v>
      </c>
      <c r="D357" s="13">
        <f t="shared" si="2"/>
        <v>0</v>
      </c>
      <c r="E357" s="11" t="s">
        <v>321</v>
      </c>
      <c r="F357" s="12">
        <v>17736.95</v>
      </c>
      <c r="G357" s="11">
        <v>0.00456493</v>
      </c>
      <c r="H357" s="13">
        <v>0.0046</v>
      </c>
      <c r="J357" s="15"/>
      <c r="K357" s="11"/>
      <c r="L357" s="11"/>
      <c r="M357" s="11"/>
      <c r="N357" s="11"/>
    </row>
    <row r="358" ht="15.75" customHeight="1">
      <c r="A358" s="11" t="s">
        <v>322</v>
      </c>
      <c r="B358" s="38">
        <v>8.6</v>
      </c>
      <c r="C358" s="11">
        <f t="shared" si="1"/>
        <v>-0.01149425287</v>
      </c>
      <c r="D358" s="13">
        <f t="shared" si="2"/>
        <v>-0.01149425287</v>
      </c>
      <c r="E358" s="11" t="s">
        <v>322</v>
      </c>
      <c r="F358" s="12">
        <v>17656.35</v>
      </c>
      <c r="G358" s="11">
        <v>-0.0041961</v>
      </c>
      <c r="H358" s="13">
        <v>-0.0042</v>
      </c>
      <c r="J358" s="15"/>
      <c r="K358" s="11"/>
      <c r="L358" s="11"/>
      <c r="M358" s="11"/>
      <c r="N358" s="11"/>
    </row>
    <row r="359" ht="15.75" customHeight="1">
      <c r="A359" s="11" t="s">
        <v>323</v>
      </c>
      <c r="B359" s="38">
        <v>8.7</v>
      </c>
      <c r="C359" s="11">
        <f t="shared" si="1"/>
        <v>0</v>
      </c>
      <c r="D359" s="13">
        <f t="shared" si="2"/>
        <v>0</v>
      </c>
      <c r="E359" s="11" t="s">
        <v>323</v>
      </c>
      <c r="F359" s="12">
        <v>17730.75</v>
      </c>
      <c r="G359" s="11">
        <v>0.008787401</v>
      </c>
      <c r="H359" s="13">
        <v>0.0088</v>
      </c>
      <c r="J359" s="15"/>
      <c r="K359" s="11"/>
      <c r="L359" s="11"/>
      <c r="M359" s="11"/>
      <c r="N359" s="11"/>
    </row>
    <row r="360" ht="15.75" customHeight="1">
      <c r="A360" s="11" t="s">
        <v>324</v>
      </c>
      <c r="B360" s="38">
        <v>8.7</v>
      </c>
      <c r="C360" s="11">
        <f t="shared" si="1"/>
        <v>0.01754385965</v>
      </c>
      <c r="D360" s="13">
        <f t="shared" si="2"/>
        <v>0.01754385965</v>
      </c>
      <c r="E360" s="11" t="s">
        <v>324</v>
      </c>
      <c r="F360" s="12">
        <v>17576.3</v>
      </c>
      <c r="G360" s="11">
        <v>7.03145E-4</v>
      </c>
      <c r="H360" s="13">
        <v>7.0E-4</v>
      </c>
      <c r="J360" s="15"/>
      <c r="K360" s="11"/>
      <c r="L360" s="11"/>
      <c r="M360" s="11"/>
      <c r="N360" s="11"/>
    </row>
    <row r="361" ht="15.75" customHeight="1">
      <c r="A361" s="11" t="s">
        <v>325</v>
      </c>
      <c r="B361" s="38">
        <v>8.55</v>
      </c>
      <c r="C361" s="11">
        <f t="shared" si="1"/>
        <v>0.005882352941</v>
      </c>
      <c r="D361" s="13">
        <f t="shared" si="2"/>
        <v>0.005882352941</v>
      </c>
      <c r="E361" s="11" t="s">
        <v>325</v>
      </c>
      <c r="F361" s="12">
        <v>17563.95</v>
      </c>
      <c r="G361" s="11">
        <v>0.002952219</v>
      </c>
      <c r="H361" s="13">
        <v>0.003</v>
      </c>
      <c r="J361" s="15"/>
      <c r="K361" s="11"/>
      <c r="L361" s="11"/>
      <c r="M361" s="11"/>
      <c r="N361" s="11"/>
    </row>
    <row r="362" ht="15.75" customHeight="1">
      <c r="A362" s="11" t="s">
        <v>326</v>
      </c>
      <c r="B362" s="38">
        <v>8.5</v>
      </c>
      <c r="C362" s="11">
        <f t="shared" si="1"/>
        <v>0.005917159763</v>
      </c>
      <c r="D362" s="13">
        <f t="shared" si="2"/>
        <v>0.005917159763</v>
      </c>
      <c r="E362" s="11" t="s">
        <v>326</v>
      </c>
      <c r="F362" s="12">
        <v>17512.25</v>
      </c>
      <c r="G362" s="11">
        <v>0.001446793</v>
      </c>
      <c r="H362" s="13">
        <v>0.0014</v>
      </c>
      <c r="J362" s="15"/>
      <c r="K362" s="11"/>
      <c r="L362" s="11"/>
      <c r="M362" s="11"/>
      <c r="N362" s="11"/>
    </row>
    <row r="363" ht="15.75" customHeight="1">
      <c r="A363" s="11" t="s">
        <v>327</v>
      </c>
      <c r="B363" s="38">
        <v>8.45</v>
      </c>
      <c r="C363" s="11">
        <f t="shared" si="1"/>
        <v>0.005952380952</v>
      </c>
      <c r="D363" s="13">
        <f t="shared" si="2"/>
        <v>0.005952380952</v>
      </c>
      <c r="E363" s="11" t="s">
        <v>327</v>
      </c>
      <c r="F363" s="12">
        <v>17486.95</v>
      </c>
      <c r="G363" s="11">
        <v>0.010117377</v>
      </c>
      <c r="H363" s="13">
        <v>0.0101</v>
      </c>
      <c r="J363" s="15"/>
      <c r="K363" s="11"/>
      <c r="L363" s="11"/>
      <c r="M363" s="11"/>
      <c r="N363" s="11"/>
    </row>
    <row r="364" ht="15.75" customHeight="1">
      <c r="A364" s="11" t="s">
        <v>328</v>
      </c>
      <c r="B364" s="38">
        <v>8.4</v>
      </c>
      <c r="C364" s="11">
        <f t="shared" si="1"/>
        <v>-0.01176470588</v>
      </c>
      <c r="D364" s="13">
        <f t="shared" si="2"/>
        <v>-0.01176470588</v>
      </c>
      <c r="E364" s="11" t="s">
        <v>328</v>
      </c>
      <c r="F364" s="12">
        <v>17311.8</v>
      </c>
      <c r="G364" s="11">
        <v>0.007337496</v>
      </c>
      <c r="H364" s="13">
        <v>0.0073</v>
      </c>
      <c r="J364" s="15"/>
      <c r="K364" s="11"/>
      <c r="L364" s="11"/>
      <c r="M364" s="11"/>
      <c r="N364" s="11"/>
    </row>
    <row r="365" ht="15.75" customHeight="1">
      <c r="A365" s="11" t="s">
        <v>329</v>
      </c>
      <c r="B365" s="38">
        <v>8.5</v>
      </c>
      <c r="C365" s="11">
        <f t="shared" si="1"/>
        <v>-0.01162790698</v>
      </c>
      <c r="D365" s="13">
        <f t="shared" si="2"/>
        <v>-0.01162790698</v>
      </c>
      <c r="E365" s="11" t="s">
        <v>329</v>
      </c>
      <c r="F365" s="12">
        <v>17185.7</v>
      </c>
      <c r="G365" s="11">
        <v>0.010070911</v>
      </c>
      <c r="H365" s="13">
        <v>0.0101</v>
      </c>
      <c r="J365" s="15"/>
      <c r="K365" s="11"/>
      <c r="L365" s="11"/>
      <c r="M365" s="11"/>
      <c r="N365" s="11"/>
    </row>
    <row r="366" ht="15.75" customHeight="1">
      <c r="A366" s="11" t="s">
        <v>330</v>
      </c>
      <c r="B366" s="38">
        <v>8.6</v>
      </c>
      <c r="C366" s="11">
        <f t="shared" si="1"/>
        <v>-0.005780346821</v>
      </c>
      <c r="D366" s="13">
        <f t="shared" si="2"/>
        <v>-0.005780346821</v>
      </c>
      <c r="E366" s="11" t="s">
        <v>330</v>
      </c>
      <c r="F366" s="12">
        <v>17014.35</v>
      </c>
      <c r="G366" s="11">
        <v>-0.006380084</v>
      </c>
      <c r="H366" s="13">
        <v>-0.0064</v>
      </c>
      <c r="J366" s="15"/>
      <c r="K366" s="11"/>
      <c r="L366" s="11"/>
      <c r="M366" s="11"/>
      <c r="N366" s="11"/>
    </row>
    <row r="367" ht="15.75" customHeight="1">
      <c r="A367" s="55">
        <v>44905.0</v>
      </c>
      <c r="B367" s="38">
        <v>8.65</v>
      </c>
      <c r="C367" s="11">
        <f t="shared" si="1"/>
        <v>0</v>
      </c>
      <c r="D367" s="13">
        <f t="shared" si="2"/>
        <v>0</v>
      </c>
      <c r="E367" s="55">
        <v>44905.0</v>
      </c>
      <c r="F367" s="12">
        <v>17123.6</v>
      </c>
      <c r="G367" s="11">
        <v>0.008246215</v>
      </c>
      <c r="H367" s="13">
        <v>0.0082</v>
      </c>
      <c r="J367" s="15"/>
      <c r="K367" s="11"/>
      <c r="L367" s="11"/>
      <c r="M367" s="11"/>
      <c r="N367" s="11"/>
    </row>
    <row r="368" ht="15.75" customHeight="1">
      <c r="A368" s="55">
        <v>44875.0</v>
      </c>
      <c r="B368" s="38">
        <v>8.65</v>
      </c>
      <c r="C368" s="11">
        <f t="shared" si="1"/>
        <v>-0.02259887006</v>
      </c>
      <c r="D368" s="13">
        <f t="shared" si="2"/>
        <v>-0.02259887006</v>
      </c>
      <c r="E368" s="55">
        <v>44875.0</v>
      </c>
      <c r="F368" s="12">
        <v>16983.55</v>
      </c>
      <c r="G368" s="11">
        <v>-0.014932429</v>
      </c>
      <c r="H368" s="13">
        <v>-0.0149</v>
      </c>
      <c r="J368" s="15"/>
      <c r="K368" s="11"/>
      <c r="L368" s="11"/>
      <c r="M368" s="11"/>
      <c r="N368" s="11"/>
    </row>
    <row r="369" ht="15.75" customHeight="1">
      <c r="A369" s="55">
        <v>44844.0</v>
      </c>
      <c r="B369" s="38">
        <v>8.85</v>
      </c>
      <c r="C369" s="11">
        <f t="shared" si="1"/>
        <v>-0.02747252747</v>
      </c>
      <c r="D369" s="13">
        <f t="shared" si="2"/>
        <v>-0.02747252747</v>
      </c>
      <c r="E369" s="55">
        <v>44844.0</v>
      </c>
      <c r="F369" s="12">
        <v>17241.0</v>
      </c>
      <c r="G369" s="11">
        <v>-0.004253623</v>
      </c>
      <c r="H369" s="13">
        <v>-0.0043</v>
      </c>
      <c r="J369" s="15"/>
      <c r="K369" s="11"/>
      <c r="L369" s="11"/>
      <c r="M369" s="11"/>
      <c r="N369" s="11"/>
    </row>
    <row r="370" ht="15.75" customHeight="1">
      <c r="A370" s="35">
        <v>44752.0</v>
      </c>
      <c r="B370" s="38">
        <v>9.1</v>
      </c>
      <c r="C370" s="11">
        <f t="shared" si="1"/>
        <v>0.01111111111</v>
      </c>
      <c r="D370" s="13">
        <f t="shared" si="2"/>
        <v>0.01111111111</v>
      </c>
      <c r="E370" s="35">
        <v>44752.0</v>
      </c>
      <c r="F370" s="12">
        <v>17314.65</v>
      </c>
      <c r="G370" s="11">
        <v>-9.89511E-4</v>
      </c>
      <c r="H370" s="13">
        <v>-0.001</v>
      </c>
      <c r="J370" s="15"/>
      <c r="K370" s="11"/>
      <c r="L370" s="11"/>
      <c r="M370" s="11"/>
      <c r="N370" s="11"/>
    </row>
    <row r="371" ht="15.75" customHeight="1">
      <c r="A371" s="35">
        <v>44722.0</v>
      </c>
      <c r="B371" s="38">
        <v>9.0</v>
      </c>
      <c r="C371" s="11">
        <f t="shared" si="1"/>
        <v>0</v>
      </c>
      <c r="D371" s="13">
        <f t="shared" si="2"/>
        <v>0</v>
      </c>
      <c r="E371" s="35">
        <v>44722.0</v>
      </c>
      <c r="F371" s="12">
        <v>17331.8</v>
      </c>
      <c r="G371" s="11">
        <v>0.003328644</v>
      </c>
      <c r="H371" s="13">
        <v>0.0033</v>
      </c>
      <c r="J371" s="15"/>
      <c r="K371" s="11"/>
      <c r="L371" s="11"/>
      <c r="M371" s="11"/>
      <c r="N371" s="11"/>
    </row>
    <row r="372" ht="15.75" customHeight="1">
      <c r="A372" s="35">
        <v>44661.0</v>
      </c>
      <c r="B372" s="38">
        <v>9.0</v>
      </c>
      <c r="C372" s="11">
        <f t="shared" si="1"/>
        <v>0.01694915254</v>
      </c>
      <c r="D372" s="13">
        <f t="shared" si="2"/>
        <v>0.01694915254</v>
      </c>
      <c r="E372" s="35">
        <v>44661.0</v>
      </c>
      <c r="F372" s="12">
        <v>17274.3</v>
      </c>
      <c r="G372" s="11">
        <v>0.022913601</v>
      </c>
      <c r="H372" s="13">
        <v>0.0229</v>
      </c>
      <c r="J372" s="15"/>
      <c r="K372" s="11"/>
      <c r="L372" s="11"/>
      <c r="M372" s="11"/>
      <c r="N372" s="11"/>
    </row>
    <row r="373" ht="15.75" customHeight="1">
      <c r="A373" s="35">
        <v>44630.0</v>
      </c>
      <c r="B373" s="38">
        <v>8.85</v>
      </c>
      <c r="C373" s="11">
        <f t="shared" si="1"/>
        <v>0.005681818182</v>
      </c>
      <c r="D373" s="13">
        <f t="shared" si="2"/>
        <v>0.005681818182</v>
      </c>
      <c r="E373" s="35">
        <v>44630.0</v>
      </c>
      <c r="F373" s="12">
        <v>16887.35</v>
      </c>
      <c r="G373" s="11">
        <v>-0.012109264</v>
      </c>
      <c r="H373" s="13">
        <v>-0.0121</v>
      </c>
      <c r="J373" s="15"/>
      <c r="K373" s="11"/>
      <c r="L373" s="11"/>
      <c r="M373" s="11"/>
      <c r="N373" s="11"/>
    </row>
    <row r="374" ht="15.75" customHeight="1">
      <c r="A374" s="11" t="s">
        <v>331</v>
      </c>
      <c r="B374" s="38">
        <v>8.8</v>
      </c>
      <c r="C374" s="11">
        <f t="shared" si="1"/>
        <v>0.03529411765</v>
      </c>
      <c r="D374" s="13">
        <f t="shared" si="2"/>
        <v>0.03529411765</v>
      </c>
      <c r="E374" s="11" t="s">
        <v>331</v>
      </c>
      <c r="F374" s="12">
        <v>17094.35</v>
      </c>
      <c r="G374" s="11">
        <v>0.016425756</v>
      </c>
      <c r="H374" s="13">
        <v>0.0164</v>
      </c>
      <c r="J374" s="15"/>
      <c r="K374" s="11"/>
      <c r="L374" s="11"/>
      <c r="M374" s="11"/>
      <c r="N374" s="11"/>
    </row>
    <row r="375" ht="15.75" customHeight="1">
      <c r="A375" s="11" t="s">
        <v>332</v>
      </c>
      <c r="B375" s="38">
        <v>8.5</v>
      </c>
      <c r="C375" s="11">
        <f t="shared" si="1"/>
        <v>-0.05555555556</v>
      </c>
      <c r="D375" s="13">
        <f t="shared" si="2"/>
        <v>-0.05555555556</v>
      </c>
      <c r="E375" s="11" t="s">
        <v>332</v>
      </c>
      <c r="F375" s="12">
        <v>16818.1</v>
      </c>
      <c r="G375" s="11">
        <v>-0.002402335</v>
      </c>
      <c r="H375" s="13">
        <v>-0.0024</v>
      </c>
      <c r="J375" s="15"/>
      <c r="K375" s="11"/>
      <c r="L375" s="11"/>
      <c r="M375" s="11"/>
      <c r="N375" s="11"/>
    </row>
    <row r="376" ht="15.75" customHeight="1">
      <c r="A376" s="11" t="s">
        <v>333</v>
      </c>
      <c r="B376" s="38">
        <v>9.0</v>
      </c>
      <c r="C376" s="11">
        <f t="shared" si="1"/>
        <v>-0.01639344262</v>
      </c>
      <c r="D376" s="13">
        <f t="shared" si="2"/>
        <v>-0.01639344262</v>
      </c>
      <c r="E376" s="11" t="s">
        <v>333</v>
      </c>
      <c r="F376" s="12">
        <v>16858.6</v>
      </c>
      <c r="G376" s="11">
        <v>-0.008749133</v>
      </c>
      <c r="H376" s="13">
        <v>-0.0087</v>
      </c>
      <c r="J376" s="15"/>
      <c r="K376" s="11"/>
      <c r="L376" s="11"/>
      <c r="M376" s="11"/>
      <c r="N376" s="11"/>
    </row>
    <row r="377" ht="15.75" customHeight="1">
      <c r="A377" s="11" t="s">
        <v>334</v>
      </c>
      <c r="B377" s="38">
        <v>9.15</v>
      </c>
      <c r="C377" s="11">
        <f t="shared" si="1"/>
        <v>0.01666666667</v>
      </c>
      <c r="D377" s="13">
        <f t="shared" si="2"/>
        <v>0.01666666667</v>
      </c>
      <c r="E377" s="11" t="s">
        <v>334</v>
      </c>
      <c r="F377" s="12">
        <v>17007.4</v>
      </c>
      <c r="G377" s="11">
        <v>-5.23028E-4</v>
      </c>
      <c r="H377" s="13">
        <v>-5.0E-4</v>
      </c>
      <c r="J377" s="15"/>
      <c r="K377" s="11"/>
      <c r="L377" s="11"/>
      <c r="M377" s="11"/>
      <c r="N377" s="11"/>
    </row>
    <row r="378" ht="15.75" customHeight="1">
      <c r="A378" s="11" t="s">
        <v>335</v>
      </c>
      <c r="B378" s="38">
        <v>9.0</v>
      </c>
      <c r="C378" s="11">
        <f t="shared" si="1"/>
        <v>0.005586592179</v>
      </c>
      <c r="D378" s="13">
        <f t="shared" si="2"/>
        <v>0.005586592179</v>
      </c>
      <c r="E378" s="11" t="s">
        <v>335</v>
      </c>
      <c r="F378" s="12">
        <v>17016.3</v>
      </c>
      <c r="G378" s="11">
        <v>-0.017951389</v>
      </c>
      <c r="H378" s="13">
        <v>-0.018</v>
      </c>
      <c r="J378" s="15"/>
      <c r="K378" s="11"/>
      <c r="L378" s="11"/>
      <c r="M378" s="11"/>
      <c r="N378" s="11"/>
    </row>
    <row r="379" ht="15.75" customHeight="1">
      <c r="A379" s="11" t="s">
        <v>336</v>
      </c>
      <c r="B379" s="38">
        <v>8.95</v>
      </c>
      <c r="C379" s="11">
        <f t="shared" si="1"/>
        <v>-0.01648351648</v>
      </c>
      <c r="D379" s="13">
        <f t="shared" si="2"/>
        <v>-0.01648351648</v>
      </c>
      <c r="E379" s="11" t="s">
        <v>336</v>
      </c>
      <c r="F379" s="12">
        <v>17327.35</v>
      </c>
      <c r="G379" s="11">
        <v>-0.017155612</v>
      </c>
      <c r="H379" s="13">
        <v>-0.0172</v>
      </c>
      <c r="J379" s="15"/>
      <c r="K379" s="11"/>
      <c r="L379" s="11"/>
      <c r="M379" s="11"/>
      <c r="N379" s="11"/>
    </row>
    <row r="380" ht="15.75" customHeight="1">
      <c r="A380" s="11" t="s">
        <v>337</v>
      </c>
      <c r="B380" s="38">
        <v>9.1</v>
      </c>
      <c r="C380" s="11">
        <f t="shared" si="1"/>
        <v>-0.01086956522</v>
      </c>
      <c r="D380" s="13">
        <f t="shared" si="2"/>
        <v>-0.01086956522</v>
      </c>
      <c r="E380" s="11" t="s">
        <v>337</v>
      </c>
      <c r="F380" s="12">
        <v>17629.8</v>
      </c>
      <c r="G380" s="11">
        <v>-0.004997644</v>
      </c>
      <c r="H380" s="13">
        <v>-0.005</v>
      </c>
      <c r="J380" s="15"/>
      <c r="K380" s="11"/>
      <c r="L380" s="11"/>
      <c r="M380" s="11"/>
      <c r="N380" s="11"/>
    </row>
    <row r="381" ht="15.75" customHeight="1">
      <c r="A381" s="11" t="s">
        <v>338</v>
      </c>
      <c r="B381" s="38">
        <v>9.2</v>
      </c>
      <c r="C381" s="11">
        <f t="shared" si="1"/>
        <v>0.005464480874</v>
      </c>
      <c r="D381" s="13">
        <f t="shared" si="2"/>
        <v>0.005464480874</v>
      </c>
      <c r="E381" s="11" t="s">
        <v>338</v>
      </c>
      <c r="F381" s="12">
        <v>17718.35</v>
      </c>
      <c r="G381" s="11">
        <v>-0.005494984</v>
      </c>
      <c r="H381" s="13">
        <v>-0.0055</v>
      </c>
      <c r="J381" s="15"/>
      <c r="K381" s="11"/>
      <c r="L381" s="11"/>
      <c r="M381" s="11"/>
      <c r="N381" s="11"/>
    </row>
    <row r="382" ht="15.75" customHeight="1">
      <c r="A382" s="11" t="s">
        <v>339</v>
      </c>
      <c r="B382" s="38">
        <v>9.15</v>
      </c>
      <c r="C382" s="11">
        <f t="shared" si="1"/>
        <v>0.005494505495</v>
      </c>
      <c r="D382" s="13">
        <f t="shared" si="2"/>
        <v>0.005494505495</v>
      </c>
      <c r="E382" s="11" t="s">
        <v>339</v>
      </c>
      <c r="F382" s="12">
        <v>17816.25</v>
      </c>
      <c r="G382" s="11">
        <v>0.01100881</v>
      </c>
      <c r="H382" s="13">
        <v>0.011</v>
      </c>
      <c r="J382" s="15"/>
      <c r="K382" s="11"/>
      <c r="L382" s="11"/>
      <c r="M382" s="11"/>
      <c r="N382" s="11"/>
    </row>
    <row r="383" ht="15.75" customHeight="1">
      <c r="A383" s="11" t="s">
        <v>340</v>
      </c>
      <c r="B383" s="38">
        <v>9.1</v>
      </c>
      <c r="C383" s="11">
        <f t="shared" si="1"/>
        <v>-0.01086956522</v>
      </c>
      <c r="D383" s="13">
        <f t="shared" si="2"/>
        <v>-0.01086956522</v>
      </c>
      <c r="E383" s="11" t="s">
        <v>340</v>
      </c>
      <c r="F383" s="12">
        <v>17622.25</v>
      </c>
      <c r="G383" s="11">
        <v>0.005213666</v>
      </c>
      <c r="H383" s="13">
        <v>0.0052</v>
      </c>
      <c r="J383" s="15"/>
      <c r="K383" s="11"/>
      <c r="L383" s="11"/>
      <c r="M383" s="11"/>
      <c r="N383" s="11"/>
    </row>
    <row r="384" ht="15.75" customHeight="1">
      <c r="A384" s="11" t="s">
        <v>341</v>
      </c>
      <c r="B384" s="38">
        <v>9.2</v>
      </c>
      <c r="C384" s="11">
        <f t="shared" si="1"/>
        <v>-0.04663212435</v>
      </c>
      <c r="D384" s="13">
        <f t="shared" si="2"/>
        <v>-0.04663212435</v>
      </c>
      <c r="E384" s="11" t="s">
        <v>341</v>
      </c>
      <c r="F384" s="12">
        <v>17530.85</v>
      </c>
      <c r="G384" s="11">
        <v>-0.01938481</v>
      </c>
      <c r="H384" s="13">
        <v>-0.0194</v>
      </c>
      <c r="J384" s="15"/>
      <c r="K384" s="11"/>
      <c r="L384" s="11"/>
      <c r="M384" s="11"/>
      <c r="N384" s="11"/>
    </row>
    <row r="385" ht="15.75" customHeight="1">
      <c r="A385" s="11" t="s">
        <v>342</v>
      </c>
      <c r="B385" s="38">
        <v>9.65</v>
      </c>
      <c r="C385" s="11">
        <f t="shared" si="1"/>
        <v>-0.01025641026</v>
      </c>
      <c r="D385" s="13">
        <f t="shared" si="2"/>
        <v>-0.01025641026</v>
      </c>
      <c r="E385" s="11" t="s">
        <v>342</v>
      </c>
      <c r="F385" s="12">
        <v>17877.4</v>
      </c>
      <c r="G385" s="11">
        <v>-0.007017982</v>
      </c>
      <c r="H385" s="13">
        <v>-0.007</v>
      </c>
      <c r="J385" s="15"/>
      <c r="K385" s="11"/>
      <c r="L385" s="11"/>
      <c r="M385" s="11"/>
      <c r="N385" s="11"/>
    </row>
    <row r="386" ht="15.75" customHeight="1">
      <c r="A386" s="11" t="s">
        <v>343</v>
      </c>
      <c r="B386" s="38">
        <v>9.75</v>
      </c>
      <c r="C386" s="11">
        <f t="shared" si="1"/>
        <v>-0.01515151515</v>
      </c>
      <c r="D386" s="13">
        <f t="shared" si="2"/>
        <v>-0.01515151515</v>
      </c>
      <c r="E386" s="11" t="s">
        <v>343</v>
      </c>
      <c r="F386" s="12">
        <v>18003.75</v>
      </c>
      <c r="G386" s="11">
        <v>-0.003669055</v>
      </c>
      <c r="H386" s="13">
        <v>-0.0037</v>
      </c>
      <c r="J386" s="15"/>
      <c r="K386" s="11"/>
      <c r="L386" s="11"/>
      <c r="M386" s="11"/>
      <c r="N386" s="11"/>
    </row>
    <row r="387" ht="15.75" customHeight="1">
      <c r="A387" s="11" t="s">
        <v>344</v>
      </c>
      <c r="B387" s="38">
        <v>9.9</v>
      </c>
      <c r="C387" s="11">
        <f t="shared" si="1"/>
        <v>0.02590673575</v>
      </c>
      <c r="D387" s="13">
        <f t="shared" si="2"/>
        <v>0.02590673575</v>
      </c>
      <c r="E387" s="11" t="s">
        <v>344</v>
      </c>
      <c r="F387" s="12">
        <v>18070.05</v>
      </c>
      <c r="G387" s="11">
        <v>0.007454136</v>
      </c>
      <c r="H387" s="13">
        <v>0.0075</v>
      </c>
      <c r="J387" s="15"/>
      <c r="K387" s="11"/>
      <c r="L387" s="11"/>
      <c r="M387" s="11"/>
      <c r="N387" s="11"/>
    </row>
    <row r="388" ht="15.75" customHeight="1">
      <c r="A388" s="35">
        <v>44904.0</v>
      </c>
      <c r="B388" s="38">
        <v>9.65</v>
      </c>
      <c r="C388" s="11">
        <f t="shared" si="1"/>
        <v>0.01047120419</v>
      </c>
      <c r="D388" s="13">
        <f t="shared" si="2"/>
        <v>0.01047120419</v>
      </c>
      <c r="E388" s="35">
        <v>44904.0</v>
      </c>
      <c r="F388" s="12">
        <v>17936.35</v>
      </c>
      <c r="G388" s="11">
        <v>0.005775696</v>
      </c>
      <c r="H388" s="13">
        <v>0.0058</v>
      </c>
      <c r="J388" s="15"/>
      <c r="K388" s="11"/>
      <c r="L388" s="11"/>
      <c r="M388" s="11"/>
      <c r="N388" s="11"/>
    </row>
    <row r="389" ht="15.75" customHeight="1">
      <c r="A389" s="35">
        <v>44813.0</v>
      </c>
      <c r="B389" s="38">
        <v>9.55</v>
      </c>
      <c r="C389" s="11">
        <f t="shared" si="1"/>
        <v>-0.01546391753</v>
      </c>
      <c r="D389" s="13">
        <f t="shared" si="2"/>
        <v>-0.01546391753</v>
      </c>
      <c r="E389" s="35">
        <v>44813.0</v>
      </c>
      <c r="F389" s="12">
        <v>17833.35</v>
      </c>
      <c r="G389" s="11">
        <v>0.001943957</v>
      </c>
      <c r="H389" s="13">
        <v>0.0019</v>
      </c>
      <c r="J389" s="15"/>
      <c r="K389" s="11"/>
      <c r="L389" s="11"/>
      <c r="M389" s="11"/>
      <c r="N389" s="11"/>
    </row>
    <row r="390" ht="15.75" customHeight="1">
      <c r="A390" s="35">
        <v>44782.0</v>
      </c>
      <c r="B390" s="38">
        <v>9.7</v>
      </c>
      <c r="C390" s="11">
        <f t="shared" si="1"/>
        <v>-0.005128205128</v>
      </c>
      <c r="D390" s="13">
        <f t="shared" si="2"/>
        <v>-0.005128205128</v>
      </c>
      <c r="E390" s="35">
        <v>44782.0</v>
      </c>
      <c r="F390" s="12">
        <v>17798.75</v>
      </c>
      <c r="G390" s="11">
        <v>0.009892535</v>
      </c>
      <c r="H390" s="13">
        <v>0.0099</v>
      </c>
      <c r="J390" s="15"/>
      <c r="K390" s="11"/>
      <c r="L390" s="11"/>
      <c r="M390" s="11"/>
      <c r="N390" s="11"/>
    </row>
    <row r="391" ht="15.75" customHeight="1">
      <c r="A391" s="35">
        <v>44751.0</v>
      </c>
      <c r="B391" s="38">
        <v>9.75</v>
      </c>
      <c r="C391" s="11">
        <f t="shared" si="1"/>
        <v>0.06557377049</v>
      </c>
      <c r="D391" s="13">
        <f t="shared" si="2"/>
        <v>0.06557377049</v>
      </c>
      <c r="E391" s="35">
        <v>44751.0</v>
      </c>
      <c r="F391" s="12">
        <v>17624.4</v>
      </c>
      <c r="G391" s="11">
        <v>-0.001767145</v>
      </c>
      <c r="H391" s="13">
        <v>-0.0018</v>
      </c>
      <c r="J391" s="15"/>
      <c r="K391" s="11"/>
      <c r="L391" s="11"/>
      <c r="M391" s="11"/>
      <c r="N391" s="11"/>
    </row>
    <row r="392" ht="15.75" customHeight="1">
      <c r="A392" s="35">
        <v>44721.0</v>
      </c>
      <c r="B392" s="38">
        <v>9.15</v>
      </c>
      <c r="C392" s="11">
        <f t="shared" si="1"/>
        <v>-0.01612903226</v>
      </c>
      <c r="D392" s="13">
        <f t="shared" si="2"/>
        <v>-0.01612903226</v>
      </c>
      <c r="E392" s="35">
        <v>44721.0</v>
      </c>
      <c r="F392" s="12">
        <v>17655.6</v>
      </c>
      <c r="G392" s="11">
        <v>-5.77387E-4</v>
      </c>
      <c r="H392" s="13">
        <v>-6.0E-4</v>
      </c>
      <c r="J392" s="15"/>
      <c r="K392" s="11"/>
      <c r="L392" s="11"/>
      <c r="M392" s="11"/>
      <c r="N392" s="11"/>
    </row>
    <row r="393" ht="15.75" customHeight="1">
      <c r="A393" s="35">
        <v>44690.0</v>
      </c>
      <c r="B393" s="38">
        <v>9.3</v>
      </c>
      <c r="C393" s="11">
        <f t="shared" si="1"/>
        <v>0.03910614525</v>
      </c>
      <c r="D393" s="13">
        <f t="shared" si="2"/>
        <v>0.03910614525</v>
      </c>
      <c r="E393" s="35">
        <v>44690.0</v>
      </c>
      <c r="F393" s="12">
        <v>17665.8</v>
      </c>
      <c r="G393" s="11">
        <v>0.007203761</v>
      </c>
      <c r="H393" s="13">
        <v>0.0072</v>
      </c>
      <c r="J393" s="15"/>
      <c r="K393" s="11"/>
      <c r="L393" s="11"/>
      <c r="M393" s="11"/>
      <c r="N393" s="11"/>
    </row>
    <row r="394" ht="15.75" customHeight="1">
      <c r="A394" s="35">
        <v>44601.0</v>
      </c>
      <c r="B394" s="38">
        <v>8.95</v>
      </c>
      <c r="C394" s="11">
        <f t="shared" si="1"/>
        <v>-0.01648351648</v>
      </c>
      <c r="D394" s="13">
        <f t="shared" si="2"/>
        <v>-0.01648351648</v>
      </c>
      <c r="E394" s="35">
        <v>44601.0</v>
      </c>
      <c r="F394" s="12">
        <v>17539.45</v>
      </c>
      <c r="G394" s="11">
        <v>-1.90962E-4</v>
      </c>
      <c r="H394" s="13">
        <v>-2.0E-4</v>
      </c>
      <c r="J394" s="15"/>
      <c r="K394" s="11"/>
      <c r="L394" s="11"/>
      <c r="M394" s="11"/>
      <c r="N394" s="11"/>
    </row>
    <row r="395" ht="15.75" customHeight="1">
      <c r="A395" s="35">
        <v>44570.0</v>
      </c>
      <c r="B395" s="38">
        <v>9.1</v>
      </c>
      <c r="C395" s="11">
        <f t="shared" si="1"/>
        <v>0.005524861878</v>
      </c>
      <c r="D395" s="13">
        <f t="shared" si="2"/>
        <v>0.005524861878</v>
      </c>
      <c r="E395" s="35">
        <v>44570.0</v>
      </c>
      <c r="F395" s="12">
        <v>17542.8</v>
      </c>
      <c r="G395" s="11">
        <v>-0.012190796</v>
      </c>
      <c r="H395" s="13">
        <v>-0.0122</v>
      </c>
      <c r="J395" s="15"/>
      <c r="K395" s="11"/>
      <c r="L395" s="11"/>
      <c r="M395" s="11"/>
      <c r="N395" s="11"/>
    </row>
    <row r="396" ht="15.75" customHeight="1">
      <c r="A396" s="11" t="s">
        <v>345</v>
      </c>
      <c r="B396" s="38">
        <v>9.05</v>
      </c>
      <c r="C396" s="11">
        <f t="shared" si="1"/>
        <v>0.02259887006</v>
      </c>
      <c r="D396" s="13">
        <f t="shared" si="2"/>
        <v>0.02259887006</v>
      </c>
      <c r="E396" s="11" t="s">
        <v>345</v>
      </c>
      <c r="F396" s="12">
        <v>17759.3</v>
      </c>
      <c r="G396" s="11">
        <v>0.025784242</v>
      </c>
      <c r="H396" s="13">
        <v>0.0258</v>
      </c>
      <c r="J396" s="15"/>
      <c r="K396" s="11"/>
      <c r="L396" s="11"/>
      <c r="M396" s="11"/>
      <c r="N396" s="11"/>
    </row>
    <row r="397" ht="15.75" customHeight="1">
      <c r="A397" s="11" t="s">
        <v>346</v>
      </c>
      <c r="B397" s="38">
        <v>8.85</v>
      </c>
      <c r="C397" s="11">
        <f t="shared" si="1"/>
        <v>-0.03278688525</v>
      </c>
      <c r="D397" s="13">
        <f t="shared" si="2"/>
        <v>-0.03278688525</v>
      </c>
      <c r="E397" s="11" t="s">
        <v>346</v>
      </c>
      <c r="F397" s="12">
        <v>17312.9</v>
      </c>
      <c r="G397" s="11">
        <v>-0.014009989</v>
      </c>
      <c r="H397" s="13">
        <v>-0.014</v>
      </c>
      <c r="J397" s="15"/>
      <c r="K397" s="11"/>
      <c r="L397" s="11"/>
      <c r="M397" s="11"/>
      <c r="N397" s="11"/>
    </row>
    <row r="398" ht="15.75" customHeight="1">
      <c r="A398" s="11" t="s">
        <v>347</v>
      </c>
      <c r="B398" s="38">
        <v>9.15</v>
      </c>
      <c r="C398" s="11">
        <f t="shared" si="1"/>
        <v>0.005494505495</v>
      </c>
      <c r="D398" s="13">
        <f t="shared" si="2"/>
        <v>0.005494505495</v>
      </c>
      <c r="E398" s="11" t="s">
        <v>347</v>
      </c>
      <c r="F398" s="12">
        <v>17558.9</v>
      </c>
      <c r="G398" s="11">
        <v>0.002080189</v>
      </c>
      <c r="H398" s="13">
        <v>0.0021</v>
      </c>
      <c r="J398" s="15"/>
      <c r="K398" s="11"/>
      <c r="L398" s="11"/>
      <c r="M398" s="11"/>
      <c r="N398" s="11"/>
    </row>
    <row r="399" ht="15.75" customHeight="1">
      <c r="A399" s="11" t="s">
        <v>348</v>
      </c>
      <c r="B399" s="38">
        <v>9.1</v>
      </c>
      <c r="C399" s="11">
        <f t="shared" si="1"/>
        <v>-0.01086956522</v>
      </c>
      <c r="D399" s="13">
        <f t="shared" si="2"/>
        <v>-0.01086956522</v>
      </c>
      <c r="E399" s="11" t="s">
        <v>348</v>
      </c>
      <c r="F399" s="12">
        <v>17522.45</v>
      </c>
      <c r="G399" s="11">
        <v>-0.004686182</v>
      </c>
      <c r="H399" s="13">
        <v>-0.0047</v>
      </c>
      <c r="J399" s="15"/>
      <c r="K399" s="11"/>
      <c r="L399" s="11"/>
      <c r="M399" s="11"/>
      <c r="N399" s="11"/>
    </row>
    <row r="400" ht="15.75" customHeight="1">
      <c r="A400" s="11" t="s">
        <v>349</v>
      </c>
      <c r="B400" s="38">
        <v>9.2</v>
      </c>
      <c r="C400" s="11">
        <f t="shared" si="1"/>
        <v>0.0395480226</v>
      </c>
      <c r="D400" s="13">
        <f t="shared" si="2"/>
        <v>0.0395480226</v>
      </c>
      <c r="E400" s="11" t="s">
        <v>349</v>
      </c>
      <c r="F400" s="12">
        <v>17604.95</v>
      </c>
      <c r="G400" s="11">
        <v>0.001561656</v>
      </c>
      <c r="H400" s="13">
        <v>0.0016</v>
      </c>
      <c r="J400" s="15"/>
      <c r="K400" s="11"/>
      <c r="L400" s="11"/>
      <c r="M400" s="11"/>
      <c r="N400" s="11"/>
    </row>
    <row r="401" ht="15.75" customHeight="1">
      <c r="A401" s="11" t="s">
        <v>350</v>
      </c>
      <c r="B401" s="38">
        <v>8.85</v>
      </c>
      <c r="C401" s="11">
        <f t="shared" si="1"/>
        <v>0.02312138728</v>
      </c>
      <c r="D401" s="13">
        <f t="shared" si="2"/>
        <v>0.02312138728</v>
      </c>
      <c r="E401" s="11" t="s">
        <v>350</v>
      </c>
      <c r="F401" s="12">
        <v>17577.5</v>
      </c>
      <c r="G401" s="11">
        <v>0.004962637</v>
      </c>
      <c r="H401" s="13">
        <v>0.005</v>
      </c>
      <c r="J401" s="15"/>
      <c r="K401" s="11"/>
      <c r="L401" s="11"/>
      <c r="M401" s="11"/>
      <c r="N401" s="11"/>
    </row>
    <row r="402" ht="15.75" customHeight="1">
      <c r="A402" s="11" t="s">
        <v>351</v>
      </c>
      <c r="B402" s="38">
        <v>8.65</v>
      </c>
      <c r="C402" s="11">
        <f t="shared" si="1"/>
        <v>-0.01704545455</v>
      </c>
      <c r="D402" s="13">
        <f t="shared" si="2"/>
        <v>-0.01704545455</v>
      </c>
      <c r="E402" s="11" t="s">
        <v>351</v>
      </c>
      <c r="F402" s="12">
        <v>17490.7</v>
      </c>
      <c r="G402" s="11">
        <v>-0.015077329</v>
      </c>
      <c r="H402" s="13">
        <v>-0.0151</v>
      </c>
      <c r="J402" s="15"/>
      <c r="K402" s="11"/>
      <c r="L402" s="11"/>
      <c r="M402" s="11"/>
      <c r="N402" s="11"/>
    </row>
    <row r="403" ht="15.75" customHeight="1">
      <c r="A403" s="11" t="s">
        <v>352</v>
      </c>
      <c r="B403" s="38">
        <v>8.8</v>
      </c>
      <c r="C403" s="11">
        <f t="shared" si="1"/>
        <v>-0.01123595506</v>
      </c>
      <c r="D403" s="13">
        <f t="shared" si="2"/>
        <v>-0.01123595506</v>
      </c>
      <c r="E403" s="11" t="s">
        <v>352</v>
      </c>
      <c r="F403" s="12">
        <v>17758.45</v>
      </c>
      <c r="G403" s="11">
        <v>-0.011029432</v>
      </c>
      <c r="H403" s="13">
        <v>-0.011</v>
      </c>
      <c r="J403" s="15"/>
      <c r="K403" s="11"/>
      <c r="L403" s="11"/>
      <c r="M403" s="11"/>
      <c r="N403" s="11"/>
    </row>
    <row r="404" ht="15.75" customHeight="1">
      <c r="A404" s="11" t="s">
        <v>353</v>
      </c>
      <c r="B404" s="38">
        <v>8.9</v>
      </c>
      <c r="C404" s="11">
        <f t="shared" si="1"/>
        <v>-0.01111111111</v>
      </c>
      <c r="D404" s="13">
        <f t="shared" si="2"/>
        <v>-0.01111111111</v>
      </c>
      <c r="E404" s="11" t="s">
        <v>353</v>
      </c>
      <c r="F404" s="12">
        <v>17956.5</v>
      </c>
      <c r="G404" s="11">
        <v>6.8267E-4</v>
      </c>
      <c r="H404" s="13">
        <v>7.0E-4</v>
      </c>
      <c r="J404" s="15"/>
      <c r="K404" s="11"/>
      <c r="L404" s="11"/>
      <c r="M404" s="11"/>
      <c r="N404" s="11"/>
    </row>
    <row r="405" ht="15.75" customHeight="1">
      <c r="A405" s="11" t="s">
        <v>354</v>
      </c>
      <c r="B405" s="38">
        <v>9.0</v>
      </c>
      <c r="C405" s="11">
        <f t="shared" si="1"/>
        <v>0.01694915254</v>
      </c>
      <c r="D405" s="13">
        <f t="shared" si="2"/>
        <v>0.01694915254</v>
      </c>
      <c r="E405" s="11" t="s">
        <v>354</v>
      </c>
      <c r="F405" s="12">
        <v>17944.25</v>
      </c>
      <c r="G405" s="11">
        <v>0.006675923</v>
      </c>
      <c r="H405" s="13">
        <v>0.0067</v>
      </c>
      <c r="J405" s="15"/>
      <c r="K405" s="11"/>
      <c r="L405" s="11"/>
      <c r="M405" s="11"/>
      <c r="N405" s="11"/>
    </row>
    <row r="406" ht="15.75" customHeight="1">
      <c r="A406" s="11" t="s">
        <v>355</v>
      </c>
      <c r="B406" s="38">
        <v>8.85</v>
      </c>
      <c r="C406" s="11">
        <f t="shared" si="1"/>
        <v>0.01724137931</v>
      </c>
      <c r="D406" s="13">
        <f t="shared" si="2"/>
        <v>0.01724137931</v>
      </c>
      <c r="E406" s="11" t="s">
        <v>355</v>
      </c>
      <c r="F406" s="12">
        <v>17825.25</v>
      </c>
      <c r="G406" s="11">
        <v>0.007181542</v>
      </c>
      <c r="H406" s="13">
        <v>0.0072</v>
      </c>
      <c r="J406" s="15"/>
      <c r="K406" s="11"/>
      <c r="L406" s="11"/>
      <c r="M406" s="11"/>
      <c r="N406" s="11"/>
    </row>
    <row r="407" ht="15.75" customHeight="1">
      <c r="A407" s="35">
        <v>44903.0</v>
      </c>
      <c r="B407" s="38">
        <v>8.7</v>
      </c>
      <c r="C407" s="11">
        <f t="shared" si="1"/>
        <v>0.005780346821</v>
      </c>
      <c r="D407" s="13">
        <f t="shared" si="2"/>
        <v>0.005780346821</v>
      </c>
      <c r="E407" s="35">
        <v>44903.0</v>
      </c>
      <c r="F407" s="12">
        <v>17698.15</v>
      </c>
      <c r="G407" s="11">
        <v>0.002217</v>
      </c>
      <c r="H407" s="13">
        <v>0.0022</v>
      </c>
      <c r="J407" s="15"/>
      <c r="K407" s="11"/>
      <c r="L407" s="11"/>
      <c r="M407" s="11"/>
      <c r="N407" s="11"/>
    </row>
    <row r="408" ht="15.75" customHeight="1">
      <c r="A408" s="35">
        <v>44873.0</v>
      </c>
      <c r="B408" s="38">
        <v>8.65</v>
      </c>
      <c r="C408" s="11">
        <f t="shared" si="1"/>
        <v>0.005813953488</v>
      </c>
      <c r="D408" s="13">
        <f t="shared" si="2"/>
        <v>0.005813953488</v>
      </c>
      <c r="E408" s="35">
        <v>44873.0</v>
      </c>
      <c r="F408" s="12">
        <v>17659.0</v>
      </c>
      <c r="G408" s="11">
        <v>0.007085929</v>
      </c>
      <c r="H408" s="13">
        <v>0.0071</v>
      </c>
      <c r="J408" s="15"/>
      <c r="K408" s="11"/>
      <c r="L408" s="11"/>
      <c r="M408" s="11"/>
      <c r="N408" s="11"/>
    </row>
    <row r="409" ht="15.75" customHeight="1">
      <c r="A409" s="35">
        <v>44842.0</v>
      </c>
      <c r="B409" s="38">
        <v>8.6</v>
      </c>
      <c r="C409" s="11">
        <f t="shared" si="1"/>
        <v>-0.005780346821</v>
      </c>
      <c r="D409" s="13">
        <f t="shared" si="2"/>
        <v>-0.005780346821</v>
      </c>
      <c r="E409" s="35">
        <v>44842.0</v>
      </c>
      <c r="F409" s="12">
        <v>17534.75</v>
      </c>
      <c r="G409" s="11">
        <v>5.50639E-4</v>
      </c>
      <c r="H409" s="13">
        <v>6.0E-4</v>
      </c>
      <c r="J409" s="15"/>
      <c r="K409" s="11"/>
      <c r="L409" s="11"/>
      <c r="M409" s="11"/>
      <c r="N409" s="11"/>
    </row>
    <row r="410" ht="15.75" customHeight="1">
      <c r="A410" s="35">
        <v>44781.0</v>
      </c>
      <c r="B410" s="38">
        <v>8.65</v>
      </c>
      <c r="C410" s="11">
        <f t="shared" si="1"/>
        <v>-0.01142857143</v>
      </c>
      <c r="D410" s="13">
        <f t="shared" si="2"/>
        <v>-0.01142857143</v>
      </c>
      <c r="E410" s="35">
        <v>44781.0</v>
      </c>
      <c r="F410" s="12">
        <v>17525.1</v>
      </c>
      <c r="G410" s="11">
        <v>0.007334387</v>
      </c>
      <c r="H410" s="13">
        <v>0.0073</v>
      </c>
      <c r="J410" s="15"/>
      <c r="K410" s="11"/>
      <c r="L410" s="11"/>
      <c r="M410" s="11"/>
      <c r="N410" s="11"/>
    </row>
    <row r="411" ht="15.75" customHeight="1">
      <c r="A411" s="35">
        <v>44689.0</v>
      </c>
      <c r="B411" s="38">
        <v>8.75</v>
      </c>
      <c r="C411" s="11">
        <f t="shared" si="1"/>
        <v>0</v>
      </c>
      <c r="D411" s="13">
        <f t="shared" si="2"/>
        <v>0</v>
      </c>
      <c r="E411" s="35">
        <v>44689.0</v>
      </c>
      <c r="F411" s="12">
        <v>17397.5</v>
      </c>
      <c r="G411" s="11">
        <v>8.91727E-4</v>
      </c>
      <c r="H411" s="13">
        <v>9.0E-4</v>
      </c>
      <c r="J411" s="15"/>
      <c r="K411" s="11"/>
      <c r="L411" s="11"/>
      <c r="M411" s="11"/>
      <c r="N411" s="11"/>
    </row>
    <row r="412" ht="15.75" customHeight="1">
      <c r="A412" s="35">
        <v>44659.0</v>
      </c>
      <c r="B412" s="38">
        <v>8.75</v>
      </c>
      <c r="C412" s="11">
        <f t="shared" si="1"/>
        <v>-0.03846153846</v>
      </c>
      <c r="D412" s="13">
        <f t="shared" si="2"/>
        <v>-0.03846153846</v>
      </c>
      <c r="E412" s="35">
        <v>44659.0</v>
      </c>
      <c r="F412" s="12">
        <v>17382.0</v>
      </c>
      <c r="G412" s="11">
        <v>-3.53689E-4</v>
      </c>
      <c r="H412" s="13">
        <v>-4.0E-4</v>
      </c>
      <c r="J412" s="15"/>
      <c r="K412" s="11"/>
      <c r="L412" s="11"/>
      <c r="M412" s="11"/>
      <c r="N412" s="11"/>
    </row>
    <row r="413" ht="15.75" customHeight="1">
      <c r="A413" s="35">
        <v>44628.0</v>
      </c>
      <c r="B413" s="38">
        <v>9.1</v>
      </c>
      <c r="C413" s="11">
        <f t="shared" si="1"/>
        <v>-0.03191489362</v>
      </c>
      <c r="D413" s="13">
        <f t="shared" si="2"/>
        <v>-0.03191489362</v>
      </c>
      <c r="E413" s="35">
        <v>44628.0</v>
      </c>
      <c r="F413" s="12">
        <v>17388.15</v>
      </c>
      <c r="G413" s="11">
        <v>0.002461741</v>
      </c>
      <c r="H413" s="13">
        <v>0.0025</v>
      </c>
      <c r="J413" s="15"/>
      <c r="K413" s="11"/>
      <c r="L413" s="11"/>
      <c r="M413" s="11"/>
      <c r="N413" s="11"/>
    </row>
    <row r="414" ht="15.75" customHeight="1">
      <c r="A414" s="35">
        <v>44600.0</v>
      </c>
      <c r="B414" s="38">
        <v>9.4</v>
      </c>
      <c r="C414" s="11">
        <f t="shared" si="1"/>
        <v>0.03296703297</v>
      </c>
      <c r="D414" s="13">
        <f t="shared" si="2"/>
        <v>0.03296703297</v>
      </c>
      <c r="E414" s="35">
        <v>44600.0</v>
      </c>
      <c r="F414" s="12">
        <v>17345.45</v>
      </c>
      <c r="G414" s="11">
        <v>3.11418E-4</v>
      </c>
      <c r="H414" s="13">
        <v>3.0E-4</v>
      </c>
      <c r="J414" s="15"/>
      <c r="K414" s="11"/>
      <c r="L414" s="11"/>
      <c r="M414" s="11"/>
      <c r="N414" s="11"/>
    </row>
    <row r="415" ht="15.75" customHeight="1">
      <c r="A415" s="35">
        <v>44569.0</v>
      </c>
      <c r="B415" s="38">
        <v>9.1</v>
      </c>
      <c r="C415" s="11">
        <f t="shared" si="1"/>
        <v>0.04</v>
      </c>
      <c r="D415" s="13">
        <f t="shared" si="2"/>
        <v>0.04</v>
      </c>
      <c r="E415" s="35">
        <v>44569.0</v>
      </c>
      <c r="F415" s="12">
        <v>17340.05</v>
      </c>
      <c r="G415" s="11">
        <v>0.010595486</v>
      </c>
      <c r="H415" s="13">
        <v>0.0106</v>
      </c>
      <c r="J415" s="15"/>
      <c r="K415" s="11"/>
      <c r="L415" s="11"/>
      <c r="M415" s="11"/>
      <c r="N415" s="11"/>
    </row>
    <row r="416" ht="15.75" customHeight="1">
      <c r="A416" s="11" t="s">
        <v>356</v>
      </c>
      <c r="B416" s="38">
        <v>8.75</v>
      </c>
      <c r="C416" s="11">
        <f t="shared" si="1"/>
        <v>0.01156069364</v>
      </c>
      <c r="D416" s="13">
        <f t="shared" si="2"/>
        <v>0.01156069364</v>
      </c>
      <c r="E416" s="11" t="s">
        <v>356</v>
      </c>
      <c r="F416" s="12">
        <v>17158.25</v>
      </c>
      <c r="G416" s="11">
        <v>0.01350593</v>
      </c>
      <c r="H416" s="13">
        <v>0.0135</v>
      </c>
      <c r="J416" s="15"/>
      <c r="K416" s="11"/>
      <c r="L416" s="11"/>
      <c r="M416" s="11"/>
      <c r="N416" s="11"/>
    </row>
    <row r="417" ht="15.75" customHeight="1">
      <c r="A417" s="11" t="s">
        <v>357</v>
      </c>
      <c r="B417" s="38">
        <v>8.65</v>
      </c>
      <c r="C417" s="11">
        <f t="shared" si="1"/>
        <v>-0.01142857143</v>
      </c>
      <c r="D417" s="13">
        <f t="shared" si="2"/>
        <v>-0.01142857143</v>
      </c>
      <c r="E417" s="11" t="s">
        <v>357</v>
      </c>
      <c r="F417" s="12">
        <v>16929.6</v>
      </c>
      <c r="G417" s="11">
        <v>0.017293802</v>
      </c>
      <c r="H417" s="13">
        <v>0.0173</v>
      </c>
      <c r="J417" s="15"/>
      <c r="K417" s="11"/>
      <c r="L417" s="11"/>
      <c r="M417" s="11"/>
      <c r="N417" s="11"/>
    </row>
    <row r="418" ht="15.75" customHeight="1">
      <c r="A418" s="11" t="s">
        <v>358</v>
      </c>
      <c r="B418" s="38">
        <v>8.75</v>
      </c>
      <c r="C418" s="11">
        <f t="shared" si="1"/>
        <v>-0.01129943503</v>
      </c>
      <c r="D418" s="13">
        <f t="shared" si="2"/>
        <v>-0.01129943503</v>
      </c>
      <c r="E418" s="11" t="s">
        <v>358</v>
      </c>
      <c r="F418" s="12">
        <v>16641.8</v>
      </c>
      <c r="G418" s="11">
        <v>0.009582106</v>
      </c>
      <c r="H418" s="13">
        <v>0.0096</v>
      </c>
      <c r="J418" s="15"/>
      <c r="K418" s="11"/>
      <c r="L418" s="11"/>
      <c r="M418" s="11"/>
      <c r="N418" s="11"/>
    </row>
    <row r="419" ht="15.75" customHeight="1">
      <c r="A419" s="11" t="s">
        <v>359</v>
      </c>
      <c r="B419" s="38">
        <v>8.85</v>
      </c>
      <c r="C419" s="11">
        <f t="shared" si="1"/>
        <v>-0.005617977528</v>
      </c>
      <c r="D419" s="13">
        <f t="shared" si="2"/>
        <v>-0.005617977528</v>
      </c>
      <c r="E419" s="11" t="s">
        <v>359</v>
      </c>
      <c r="F419" s="12">
        <v>16483.85</v>
      </c>
      <c r="G419" s="11">
        <v>-0.008847935</v>
      </c>
      <c r="H419" s="13">
        <v>-0.0088</v>
      </c>
      <c r="J419" s="15"/>
      <c r="K419" s="11"/>
      <c r="L419" s="11"/>
      <c r="M419" s="11"/>
      <c r="N419" s="11"/>
    </row>
    <row r="420" ht="15.75" customHeight="1">
      <c r="A420" s="11" t="s">
        <v>360</v>
      </c>
      <c r="B420" s="38">
        <v>8.9</v>
      </c>
      <c r="C420" s="11">
        <f t="shared" si="1"/>
        <v>-0.005586592179</v>
      </c>
      <c r="D420" s="13">
        <f t="shared" si="2"/>
        <v>-0.005586592179</v>
      </c>
      <c r="E420" s="11" t="s">
        <v>360</v>
      </c>
      <c r="F420" s="12">
        <v>16631.0</v>
      </c>
      <c r="G420" s="11">
        <v>-0.005290246</v>
      </c>
      <c r="H420" s="13">
        <v>-0.0053</v>
      </c>
      <c r="J420" s="15"/>
      <c r="K420" s="11"/>
      <c r="L420" s="11"/>
      <c r="M420" s="11"/>
      <c r="N420" s="11"/>
    </row>
    <row r="421" ht="15.75" customHeight="1">
      <c r="A421" s="11" t="s">
        <v>361</v>
      </c>
      <c r="B421" s="38">
        <v>8.95</v>
      </c>
      <c r="C421" s="11">
        <f t="shared" si="1"/>
        <v>-0.005555555556</v>
      </c>
      <c r="D421" s="13">
        <f t="shared" si="2"/>
        <v>-0.005555555556</v>
      </c>
      <c r="E421" s="11" t="s">
        <v>361</v>
      </c>
      <c r="F421" s="12">
        <v>16719.45</v>
      </c>
      <c r="G421" s="11">
        <v>0.006877343</v>
      </c>
      <c r="H421" s="13">
        <v>0.0069</v>
      </c>
      <c r="J421" s="15"/>
      <c r="K421" s="11"/>
      <c r="L421" s="11"/>
      <c r="M421" s="11"/>
      <c r="N421" s="11"/>
    </row>
    <row r="422" ht="15.75" customHeight="1">
      <c r="A422" s="11" t="s">
        <v>362</v>
      </c>
      <c r="B422" s="38">
        <v>9.0</v>
      </c>
      <c r="C422" s="11">
        <f t="shared" si="1"/>
        <v>0.02272727273</v>
      </c>
      <c r="D422" s="13">
        <f t="shared" si="2"/>
        <v>0.02272727273</v>
      </c>
      <c r="E422" s="11" t="s">
        <v>362</v>
      </c>
      <c r="F422" s="12">
        <v>16605.25</v>
      </c>
      <c r="G422" s="11">
        <v>0.005108696</v>
      </c>
      <c r="H422" s="13">
        <v>0.0051</v>
      </c>
      <c r="J422" s="15"/>
      <c r="K422" s="11"/>
      <c r="L422" s="11"/>
      <c r="M422" s="11"/>
      <c r="N422" s="11"/>
    </row>
    <row r="423" ht="15.75" customHeight="1">
      <c r="A423" s="11" t="s">
        <v>363</v>
      </c>
      <c r="B423" s="38">
        <v>8.8</v>
      </c>
      <c r="C423" s="11">
        <f t="shared" si="1"/>
        <v>-0.01675977654</v>
      </c>
      <c r="D423" s="13">
        <f t="shared" si="2"/>
        <v>-0.01675977654</v>
      </c>
      <c r="E423" s="11" t="s">
        <v>363</v>
      </c>
      <c r="F423" s="12">
        <v>16520.85</v>
      </c>
      <c r="G423" s="11">
        <v>0.0110339</v>
      </c>
      <c r="H423" s="13">
        <v>0.011</v>
      </c>
      <c r="J423" s="15"/>
      <c r="K423" s="11"/>
      <c r="L423" s="11"/>
      <c r="M423" s="11"/>
      <c r="N423" s="11"/>
    </row>
    <row r="424" ht="15.75" customHeight="1">
      <c r="A424" s="11" t="s">
        <v>364</v>
      </c>
      <c r="B424" s="38">
        <v>8.95</v>
      </c>
      <c r="C424" s="11">
        <f t="shared" si="1"/>
        <v>0.01129943503</v>
      </c>
      <c r="D424" s="13">
        <f t="shared" si="2"/>
        <v>0.01129943503</v>
      </c>
      <c r="E424" s="11" t="s">
        <v>364</v>
      </c>
      <c r="F424" s="12">
        <v>16340.55</v>
      </c>
      <c r="G424" s="11">
        <v>0.003811776</v>
      </c>
      <c r="H424" s="13">
        <v>0.0038</v>
      </c>
      <c r="J424" s="15"/>
      <c r="K424" s="11"/>
      <c r="L424" s="11"/>
      <c r="M424" s="11"/>
      <c r="N424" s="11"/>
    </row>
    <row r="425" ht="15.75" customHeight="1">
      <c r="A425" s="11" t="s">
        <v>365</v>
      </c>
      <c r="B425" s="38">
        <v>8.85</v>
      </c>
      <c r="C425" s="11">
        <f t="shared" si="1"/>
        <v>0.01724137931</v>
      </c>
      <c r="D425" s="13">
        <f t="shared" si="2"/>
        <v>0.01724137931</v>
      </c>
      <c r="E425" s="11" t="s">
        <v>365</v>
      </c>
      <c r="F425" s="12">
        <v>16278.5</v>
      </c>
      <c r="G425" s="11">
        <v>0.014287317</v>
      </c>
      <c r="H425" s="13">
        <v>0.0143</v>
      </c>
      <c r="J425" s="15"/>
      <c r="K425" s="11"/>
      <c r="L425" s="11"/>
      <c r="M425" s="11"/>
      <c r="N425" s="11"/>
    </row>
    <row r="426" ht="15.75" customHeight="1">
      <c r="A426" s="11" t="s">
        <v>366</v>
      </c>
      <c r="B426" s="38">
        <v>8.7</v>
      </c>
      <c r="C426" s="11">
        <f t="shared" si="1"/>
        <v>0.005780346821</v>
      </c>
      <c r="D426" s="13">
        <f t="shared" si="2"/>
        <v>0.005780346821</v>
      </c>
      <c r="E426" s="11" t="s">
        <v>366</v>
      </c>
      <c r="F426" s="12">
        <v>16049.2</v>
      </c>
      <c r="G426" s="11">
        <v>0.00693597</v>
      </c>
      <c r="H426" s="13">
        <v>0.0069</v>
      </c>
      <c r="J426" s="15"/>
      <c r="K426" s="11"/>
      <c r="L426" s="11"/>
      <c r="M426" s="11"/>
      <c r="N426" s="11"/>
    </row>
    <row r="427" ht="15.75" customHeight="1">
      <c r="A427" s="11" t="s">
        <v>367</v>
      </c>
      <c r="B427" s="38">
        <v>8.65</v>
      </c>
      <c r="C427" s="11">
        <f t="shared" si="1"/>
        <v>-0.01142857143</v>
      </c>
      <c r="D427" s="13">
        <f t="shared" si="2"/>
        <v>-0.01142857143</v>
      </c>
      <c r="E427" s="11" t="s">
        <v>367</v>
      </c>
      <c r="F427" s="12">
        <v>15938.65</v>
      </c>
      <c r="G427" s="11">
        <v>-0.001753655</v>
      </c>
      <c r="H427" s="13">
        <v>-0.0018</v>
      </c>
      <c r="J427" s="15"/>
      <c r="K427" s="11"/>
      <c r="L427" s="11"/>
      <c r="M427" s="11"/>
      <c r="N427" s="11"/>
    </row>
    <row r="428" ht="15.75" customHeight="1">
      <c r="A428" s="11" t="s">
        <v>368</v>
      </c>
      <c r="B428" s="38">
        <v>8.75</v>
      </c>
      <c r="C428" s="11">
        <f t="shared" si="1"/>
        <v>0.005747126437</v>
      </c>
      <c r="D428" s="13">
        <f t="shared" si="2"/>
        <v>0.005747126437</v>
      </c>
      <c r="E428" s="11" t="s">
        <v>368</v>
      </c>
      <c r="F428" s="12">
        <v>15966.65</v>
      </c>
      <c r="G428" s="11">
        <v>-0.005707329</v>
      </c>
      <c r="H428" s="13">
        <v>-0.0057</v>
      </c>
      <c r="J428" s="15"/>
      <c r="K428" s="11"/>
      <c r="L428" s="11"/>
      <c r="M428" s="11"/>
      <c r="N428" s="11"/>
    </row>
    <row r="429" ht="15.75" customHeight="1">
      <c r="A429" s="35">
        <v>44902.0</v>
      </c>
      <c r="B429" s="38">
        <v>8.7</v>
      </c>
      <c r="C429" s="11">
        <f t="shared" si="1"/>
        <v>0</v>
      </c>
      <c r="D429" s="13">
        <f t="shared" si="2"/>
        <v>0</v>
      </c>
      <c r="E429" s="35">
        <v>44902.0</v>
      </c>
      <c r="F429" s="12">
        <v>16058.3</v>
      </c>
      <c r="G429" s="11">
        <v>-0.009724963</v>
      </c>
      <c r="H429" s="13">
        <v>-0.0097</v>
      </c>
      <c r="J429" s="15"/>
      <c r="K429" s="11"/>
      <c r="L429" s="11"/>
      <c r="M429" s="11"/>
      <c r="N429" s="11"/>
    </row>
    <row r="430" ht="15.75" customHeight="1">
      <c r="A430" s="35">
        <v>44872.0</v>
      </c>
      <c r="B430" s="38">
        <v>8.7</v>
      </c>
      <c r="C430" s="11">
        <f t="shared" si="1"/>
        <v>0.03571428571</v>
      </c>
      <c r="D430" s="13">
        <f t="shared" si="2"/>
        <v>0.03571428571</v>
      </c>
      <c r="E430" s="35">
        <v>44872.0</v>
      </c>
      <c r="F430" s="12">
        <v>16216.0</v>
      </c>
      <c r="G430" s="11">
        <v>-2.8359E-4</v>
      </c>
      <c r="H430" s="13">
        <v>-3.0E-4</v>
      </c>
      <c r="J430" s="15"/>
      <c r="K430" s="11"/>
      <c r="L430" s="11"/>
      <c r="M430" s="11"/>
      <c r="N430" s="11"/>
    </row>
    <row r="431" ht="15.75" customHeight="1">
      <c r="A431" s="35">
        <v>44780.0</v>
      </c>
      <c r="B431" s="38">
        <v>8.4</v>
      </c>
      <c r="C431" s="11">
        <f t="shared" si="1"/>
        <v>-0.005917159763</v>
      </c>
      <c r="D431" s="13">
        <f t="shared" si="2"/>
        <v>-0.005917159763</v>
      </c>
      <c r="E431" s="35">
        <v>44780.0</v>
      </c>
      <c r="F431" s="12">
        <v>16220.6</v>
      </c>
      <c r="G431" s="11">
        <v>0.005436096</v>
      </c>
      <c r="H431" s="13">
        <v>0.0054</v>
      </c>
      <c r="J431" s="15"/>
      <c r="K431" s="11"/>
      <c r="L431" s="11"/>
      <c r="M431" s="11"/>
      <c r="N431" s="11"/>
    </row>
    <row r="432" ht="15.75" customHeight="1">
      <c r="A432" s="35">
        <v>44749.0</v>
      </c>
      <c r="B432" s="38">
        <v>8.45</v>
      </c>
      <c r="C432" s="11">
        <f t="shared" si="1"/>
        <v>-0.005882352941</v>
      </c>
      <c r="D432" s="13">
        <f t="shared" si="2"/>
        <v>-0.005882352941</v>
      </c>
      <c r="E432" s="35">
        <v>44749.0</v>
      </c>
      <c r="F432" s="12">
        <v>16132.9</v>
      </c>
      <c r="G432" s="11">
        <v>0.008949455</v>
      </c>
      <c r="H432" s="13">
        <v>0.0089</v>
      </c>
      <c r="J432" s="15"/>
      <c r="K432" s="11"/>
      <c r="L432" s="11"/>
      <c r="M432" s="11"/>
      <c r="N432" s="11"/>
    </row>
    <row r="433" ht="15.75" customHeight="1">
      <c r="A433" s="35">
        <v>44719.0</v>
      </c>
      <c r="B433" s="38">
        <v>8.5</v>
      </c>
      <c r="C433" s="11">
        <f t="shared" si="1"/>
        <v>0.0303030303</v>
      </c>
      <c r="D433" s="13">
        <f t="shared" si="2"/>
        <v>0.0303030303</v>
      </c>
      <c r="E433" s="35">
        <v>44719.0</v>
      </c>
      <c r="F433" s="12">
        <v>15989.8</v>
      </c>
      <c r="G433" s="11">
        <v>0.011318177</v>
      </c>
      <c r="H433" s="13">
        <v>0.0113</v>
      </c>
      <c r="J433" s="15"/>
      <c r="K433" s="11"/>
      <c r="L433" s="11"/>
      <c r="M433" s="11"/>
      <c r="N433" s="11"/>
    </row>
    <row r="434" ht="15.75" customHeight="1">
      <c r="A434" s="35">
        <v>44688.0</v>
      </c>
      <c r="B434" s="38">
        <v>8.25</v>
      </c>
      <c r="C434" s="11">
        <f t="shared" si="1"/>
        <v>-0.0119760479</v>
      </c>
      <c r="D434" s="13">
        <f t="shared" si="2"/>
        <v>-0.0119760479</v>
      </c>
      <c r="E434" s="35">
        <v>44688.0</v>
      </c>
      <c r="F434" s="12">
        <v>15810.85</v>
      </c>
      <c r="G434" s="11">
        <v>-0.001547171</v>
      </c>
      <c r="H434" s="13">
        <v>-0.0015</v>
      </c>
      <c r="J434" s="15"/>
      <c r="K434" s="11"/>
      <c r="L434" s="11"/>
      <c r="M434" s="11"/>
      <c r="N434" s="11"/>
    </row>
    <row r="435" ht="15.75" customHeight="1">
      <c r="A435" s="35">
        <v>44658.0</v>
      </c>
      <c r="B435" s="38">
        <v>8.35</v>
      </c>
      <c r="C435" s="11">
        <f t="shared" si="1"/>
        <v>-0.01764705882</v>
      </c>
      <c r="D435" s="13">
        <f t="shared" si="2"/>
        <v>-0.01764705882</v>
      </c>
      <c r="E435" s="35">
        <v>44658.0</v>
      </c>
      <c r="F435" s="12">
        <v>15835.35</v>
      </c>
      <c r="G435" s="11">
        <v>0.005288201</v>
      </c>
      <c r="H435" s="13">
        <v>0.0053</v>
      </c>
      <c r="J435" s="15"/>
      <c r="K435" s="11"/>
      <c r="L435" s="11"/>
      <c r="M435" s="11"/>
      <c r="N435" s="11"/>
    </row>
    <row r="436" ht="15.75" customHeight="1">
      <c r="A436" s="35">
        <v>44568.0</v>
      </c>
      <c r="B436" s="38">
        <v>8.5</v>
      </c>
      <c r="C436" s="11">
        <f t="shared" si="1"/>
        <v>0.0119047619</v>
      </c>
      <c r="D436" s="13">
        <f t="shared" si="2"/>
        <v>0.0119047619</v>
      </c>
      <c r="E436" s="35">
        <v>44568.0</v>
      </c>
      <c r="F436" s="12">
        <v>15752.05</v>
      </c>
      <c r="G436" s="11">
        <v>-0.001787044</v>
      </c>
      <c r="H436" s="13">
        <v>-0.0018</v>
      </c>
      <c r="J436" s="15"/>
      <c r="K436" s="11"/>
      <c r="L436" s="11"/>
      <c r="M436" s="11"/>
      <c r="N436" s="11"/>
    </row>
    <row r="437" ht="15.75" customHeight="1">
      <c r="A437" s="11" t="s">
        <v>369</v>
      </c>
      <c r="B437" s="38">
        <v>8.4</v>
      </c>
      <c r="C437" s="11">
        <f t="shared" si="1"/>
        <v>-0.0289017341</v>
      </c>
      <c r="D437" s="13">
        <f t="shared" si="2"/>
        <v>-0.0289017341</v>
      </c>
      <c r="E437" s="11" t="s">
        <v>369</v>
      </c>
      <c r="F437" s="12">
        <v>15780.25</v>
      </c>
      <c r="G437" s="11">
        <v>-0.001193106</v>
      </c>
      <c r="H437" s="13">
        <v>-0.0012</v>
      </c>
      <c r="J437" s="15"/>
      <c r="K437" s="11"/>
      <c r="L437" s="11"/>
      <c r="M437" s="11"/>
      <c r="N437" s="11"/>
    </row>
    <row r="438" ht="15.75" customHeight="1">
      <c r="A438" s="11" t="s">
        <v>370</v>
      </c>
      <c r="B438" s="38">
        <v>8.65</v>
      </c>
      <c r="C438" s="11">
        <f t="shared" si="1"/>
        <v>-0.02259887006</v>
      </c>
      <c r="D438" s="13">
        <f t="shared" si="2"/>
        <v>-0.02259887006</v>
      </c>
      <c r="E438" s="11" t="s">
        <v>370</v>
      </c>
      <c r="F438" s="12">
        <v>15799.1</v>
      </c>
      <c r="G438" s="11">
        <v>-0.003223934</v>
      </c>
      <c r="H438" s="13">
        <v>-0.0032</v>
      </c>
      <c r="J438" s="15"/>
      <c r="K438" s="11"/>
      <c r="L438" s="11"/>
      <c r="M438" s="11"/>
      <c r="N438" s="11"/>
    </row>
    <row r="439" ht="15.75" customHeight="1">
      <c r="A439" s="11" t="s">
        <v>371</v>
      </c>
      <c r="B439" s="38">
        <v>8.85</v>
      </c>
      <c r="C439" s="11">
        <f t="shared" si="1"/>
        <v>0</v>
      </c>
      <c r="D439" s="13">
        <f t="shared" si="2"/>
        <v>0</v>
      </c>
      <c r="E439" s="11" t="s">
        <v>371</v>
      </c>
      <c r="F439" s="12">
        <v>15850.2</v>
      </c>
      <c r="G439" s="11">
        <v>0.001146409</v>
      </c>
      <c r="H439" s="13">
        <v>0.0011</v>
      </c>
      <c r="J439" s="15"/>
      <c r="K439" s="11"/>
      <c r="L439" s="11"/>
      <c r="M439" s="11"/>
      <c r="N439" s="11"/>
    </row>
    <row r="440" ht="15.75" customHeight="1">
      <c r="A440" s="11" t="s">
        <v>372</v>
      </c>
      <c r="B440" s="38">
        <v>8.85</v>
      </c>
      <c r="C440" s="11">
        <f t="shared" si="1"/>
        <v>0.01142857143</v>
      </c>
      <c r="D440" s="13">
        <f t="shared" si="2"/>
        <v>0.01142857143</v>
      </c>
      <c r="E440" s="11" t="s">
        <v>372</v>
      </c>
      <c r="F440" s="12">
        <v>15832.05</v>
      </c>
      <c r="G440" s="11">
        <v>0.008459003</v>
      </c>
      <c r="H440" s="13">
        <v>0.0085</v>
      </c>
      <c r="J440" s="15"/>
      <c r="K440" s="11"/>
      <c r="L440" s="11"/>
      <c r="M440" s="11"/>
      <c r="N440" s="11"/>
    </row>
    <row r="441" ht="15.75" customHeight="1">
      <c r="A441" s="11" t="s">
        <v>373</v>
      </c>
      <c r="B441" s="38">
        <v>8.75</v>
      </c>
      <c r="C441" s="11">
        <f t="shared" si="1"/>
        <v>0.02339181287</v>
      </c>
      <c r="D441" s="13">
        <f t="shared" si="2"/>
        <v>0.02339181287</v>
      </c>
      <c r="E441" s="11" t="s">
        <v>373</v>
      </c>
      <c r="F441" s="12">
        <v>15699.25</v>
      </c>
      <c r="G441" s="11">
        <v>0.009166498</v>
      </c>
      <c r="H441" s="13">
        <v>0.0092</v>
      </c>
      <c r="J441" s="15"/>
      <c r="K441" s="11"/>
      <c r="L441" s="11"/>
      <c r="M441" s="11"/>
      <c r="N441" s="11"/>
    </row>
    <row r="442" ht="15.75" customHeight="1">
      <c r="A442" s="11" t="s">
        <v>374</v>
      </c>
      <c r="B442" s="38">
        <v>8.55</v>
      </c>
      <c r="C442" s="11">
        <f t="shared" si="1"/>
        <v>0</v>
      </c>
      <c r="D442" s="13">
        <f t="shared" si="2"/>
        <v>0</v>
      </c>
      <c r="E442" s="11" t="s">
        <v>374</v>
      </c>
      <c r="F442" s="12">
        <v>15556.65</v>
      </c>
      <c r="G442" s="11">
        <v>0.009300409</v>
      </c>
      <c r="H442" s="13">
        <v>0.0093</v>
      </c>
      <c r="J442" s="15"/>
      <c r="K442" s="11"/>
      <c r="L442" s="11"/>
      <c r="M442" s="11"/>
      <c r="N442" s="11"/>
    </row>
    <row r="443" ht="15.75" customHeight="1">
      <c r="A443" s="11" t="s">
        <v>375</v>
      </c>
      <c r="B443" s="38">
        <v>8.55</v>
      </c>
      <c r="C443" s="11">
        <f t="shared" si="1"/>
        <v>0.01183431953</v>
      </c>
      <c r="D443" s="13">
        <f t="shared" si="2"/>
        <v>0.01183431953</v>
      </c>
      <c r="E443" s="11" t="s">
        <v>375</v>
      </c>
      <c r="F443" s="12">
        <v>15413.3</v>
      </c>
      <c r="G443" s="11">
        <v>-0.014419265</v>
      </c>
      <c r="H443" s="13">
        <v>-0.0144</v>
      </c>
      <c r="J443" s="15"/>
      <c r="K443" s="11"/>
      <c r="L443" s="11"/>
      <c r="M443" s="11"/>
      <c r="N443" s="11"/>
    </row>
    <row r="444" ht="15.75" customHeight="1">
      <c r="A444" s="11" t="s">
        <v>376</v>
      </c>
      <c r="B444" s="38">
        <v>8.45</v>
      </c>
      <c r="C444" s="11">
        <f t="shared" si="1"/>
        <v>0.06289308176</v>
      </c>
      <c r="D444" s="13">
        <f t="shared" si="2"/>
        <v>0.06289308176</v>
      </c>
      <c r="E444" s="11" t="s">
        <v>376</v>
      </c>
      <c r="F444" s="12">
        <v>15638.8</v>
      </c>
      <c r="G444" s="11">
        <v>0.018804377</v>
      </c>
      <c r="H444" s="13">
        <v>0.0188</v>
      </c>
      <c r="J444" s="15"/>
      <c r="K444" s="11"/>
      <c r="L444" s="11"/>
      <c r="M444" s="11"/>
      <c r="N444" s="11"/>
    </row>
    <row r="445" ht="15.75" customHeight="1">
      <c r="A445" s="11" t="s">
        <v>377</v>
      </c>
      <c r="B445" s="38">
        <v>7.95</v>
      </c>
      <c r="C445" s="11">
        <f t="shared" si="1"/>
        <v>-0.03048780488</v>
      </c>
      <c r="D445" s="13">
        <f t="shared" si="2"/>
        <v>-0.03048780488</v>
      </c>
      <c r="E445" s="11" t="s">
        <v>377</v>
      </c>
      <c r="F445" s="12">
        <v>15350.15</v>
      </c>
      <c r="G445" s="11">
        <v>0.003704188</v>
      </c>
      <c r="H445" s="13">
        <v>0.0037</v>
      </c>
      <c r="J445" s="15"/>
      <c r="K445" s="11"/>
      <c r="L445" s="11"/>
      <c r="M445" s="11"/>
      <c r="N445" s="11"/>
    </row>
    <row r="446" ht="15.75" customHeight="1">
      <c r="A446" s="11" t="s">
        <v>378</v>
      </c>
      <c r="B446" s="38">
        <v>8.2</v>
      </c>
      <c r="C446" s="11">
        <f t="shared" si="1"/>
        <v>-0.03529411765</v>
      </c>
      <c r="D446" s="13">
        <f t="shared" si="2"/>
        <v>-0.03529411765</v>
      </c>
      <c r="E446" s="11" t="s">
        <v>378</v>
      </c>
      <c r="F446" s="12">
        <v>15293.5</v>
      </c>
      <c r="G446" s="11">
        <v>-0.004368319</v>
      </c>
      <c r="H446" s="13">
        <v>-0.0044</v>
      </c>
      <c r="J446" s="15"/>
      <c r="K446" s="11"/>
      <c r="L446" s="11"/>
      <c r="M446" s="11"/>
      <c r="N446" s="11"/>
    </row>
    <row r="447" ht="15.75" customHeight="1">
      <c r="A447" s="11" t="s">
        <v>379</v>
      </c>
      <c r="B447" s="38">
        <v>8.5</v>
      </c>
      <c r="C447" s="11">
        <f t="shared" si="1"/>
        <v>-0.03409090909</v>
      </c>
      <c r="D447" s="13">
        <f t="shared" si="2"/>
        <v>-0.03409090909</v>
      </c>
      <c r="E447" s="11" t="s">
        <v>379</v>
      </c>
      <c r="F447" s="12">
        <v>15360.6</v>
      </c>
      <c r="G447" s="11">
        <v>-0.021128399</v>
      </c>
      <c r="H447" s="13">
        <v>-0.0211</v>
      </c>
      <c r="J447" s="15"/>
      <c r="K447" s="11"/>
      <c r="L447" s="11"/>
      <c r="M447" s="11"/>
      <c r="N447" s="11"/>
    </row>
    <row r="448" ht="15.75" customHeight="1">
      <c r="A448" s="11" t="s">
        <v>380</v>
      </c>
      <c r="B448" s="38">
        <v>8.8</v>
      </c>
      <c r="C448" s="11">
        <f t="shared" si="1"/>
        <v>0</v>
      </c>
      <c r="D448" s="13">
        <f t="shared" si="2"/>
        <v>0</v>
      </c>
      <c r="E448" s="11" t="s">
        <v>380</v>
      </c>
      <c r="F448" s="12">
        <v>15692.15</v>
      </c>
      <c r="G448" s="11">
        <v>-0.002539394</v>
      </c>
      <c r="H448" s="13">
        <v>-0.0025</v>
      </c>
      <c r="J448" s="15"/>
      <c r="K448" s="11"/>
      <c r="L448" s="11"/>
      <c r="M448" s="11"/>
      <c r="N448" s="11"/>
    </row>
    <row r="449" ht="15.75" customHeight="1">
      <c r="A449" s="11" t="s">
        <v>381</v>
      </c>
      <c r="B449" s="38">
        <v>8.8</v>
      </c>
      <c r="C449" s="11">
        <f t="shared" si="1"/>
        <v>0.01149425287</v>
      </c>
      <c r="D449" s="13">
        <f t="shared" si="2"/>
        <v>0.01149425287</v>
      </c>
      <c r="E449" s="11" t="s">
        <v>381</v>
      </c>
      <c r="F449" s="12">
        <v>15732.1</v>
      </c>
      <c r="G449" s="11">
        <v>-0.00268156</v>
      </c>
      <c r="H449" s="13">
        <v>-0.0027</v>
      </c>
      <c r="J449" s="15"/>
      <c r="K449" s="11"/>
      <c r="L449" s="11"/>
      <c r="M449" s="11"/>
      <c r="N449" s="11"/>
    </row>
    <row r="450" ht="15.75" customHeight="1">
      <c r="A450" s="11" t="s">
        <v>382</v>
      </c>
      <c r="B450" s="38">
        <v>8.7</v>
      </c>
      <c r="C450" s="11">
        <f t="shared" si="1"/>
        <v>-0.04395604396</v>
      </c>
      <c r="D450" s="13">
        <f t="shared" si="2"/>
        <v>-0.04395604396</v>
      </c>
      <c r="E450" s="11" t="s">
        <v>382</v>
      </c>
      <c r="F450" s="12">
        <v>15774.4</v>
      </c>
      <c r="G450" s="11">
        <v>-0.026379785</v>
      </c>
      <c r="H450" s="13">
        <v>-0.0264</v>
      </c>
      <c r="J450" s="15"/>
      <c r="K450" s="11"/>
      <c r="L450" s="11"/>
      <c r="M450" s="11"/>
      <c r="N450" s="11"/>
    </row>
    <row r="451" ht="15.75" customHeight="1">
      <c r="A451" s="35">
        <v>44840.0</v>
      </c>
      <c r="B451" s="38">
        <v>9.1</v>
      </c>
      <c r="C451" s="11">
        <f t="shared" si="1"/>
        <v>-0.01086956522</v>
      </c>
      <c r="D451" s="13">
        <f t="shared" si="2"/>
        <v>-0.01086956522</v>
      </c>
      <c r="E451" s="35">
        <v>44840.0</v>
      </c>
      <c r="F451" s="12">
        <v>16201.8</v>
      </c>
      <c r="G451" s="11">
        <v>-0.01676771</v>
      </c>
      <c r="H451" s="13">
        <v>-0.0168</v>
      </c>
      <c r="J451" s="15"/>
      <c r="K451" s="11"/>
      <c r="L451" s="11"/>
      <c r="M451" s="11"/>
      <c r="N451" s="11"/>
    </row>
    <row r="452" ht="15.75" customHeight="1">
      <c r="A452" s="35">
        <v>44810.0</v>
      </c>
      <c r="B452" s="38">
        <v>9.2</v>
      </c>
      <c r="C452" s="11">
        <f t="shared" si="1"/>
        <v>0.005464480874</v>
      </c>
      <c r="D452" s="13">
        <f t="shared" si="2"/>
        <v>0.005464480874</v>
      </c>
      <c r="E452" s="35">
        <v>44810.0</v>
      </c>
      <c r="F452" s="12">
        <v>16478.1</v>
      </c>
      <c r="G452" s="11">
        <v>0.007449752</v>
      </c>
      <c r="H452" s="13">
        <v>0.0074</v>
      </c>
      <c r="J452" s="15"/>
      <c r="K452" s="11"/>
      <c r="L452" s="11"/>
      <c r="M452" s="11"/>
      <c r="N452" s="11"/>
    </row>
    <row r="453" ht="15.75" customHeight="1">
      <c r="A453" s="35">
        <v>44779.0</v>
      </c>
      <c r="B453" s="38">
        <v>9.15</v>
      </c>
      <c r="C453" s="11">
        <f t="shared" si="1"/>
        <v>-0.005434782609</v>
      </c>
      <c r="D453" s="13">
        <f t="shared" si="2"/>
        <v>-0.005434782609</v>
      </c>
      <c r="E453" s="35">
        <v>44779.0</v>
      </c>
      <c r="F453" s="12">
        <v>16356.25</v>
      </c>
      <c r="G453" s="11">
        <v>-0.003660984</v>
      </c>
      <c r="H453" s="13">
        <v>-0.0037</v>
      </c>
      <c r="J453" s="15"/>
      <c r="K453" s="11"/>
      <c r="L453" s="11"/>
      <c r="M453" s="11"/>
      <c r="N453" s="11"/>
    </row>
    <row r="454" ht="15.75" customHeight="1">
      <c r="A454" s="35">
        <v>44748.0</v>
      </c>
      <c r="B454" s="38">
        <v>9.2</v>
      </c>
      <c r="C454" s="11">
        <f t="shared" si="1"/>
        <v>-0.005405405405</v>
      </c>
      <c r="D454" s="13">
        <f t="shared" si="2"/>
        <v>-0.005405405405</v>
      </c>
      <c r="E454" s="35">
        <v>44748.0</v>
      </c>
      <c r="F454" s="12">
        <v>16416.35</v>
      </c>
      <c r="G454" s="11">
        <v>-0.009245876</v>
      </c>
      <c r="H454" s="13">
        <v>-0.0092</v>
      </c>
      <c r="J454" s="15"/>
      <c r="K454" s="11"/>
      <c r="L454" s="11"/>
      <c r="M454" s="11"/>
      <c r="N454" s="11"/>
    </row>
    <row r="455" ht="15.75" customHeight="1">
      <c r="A455" s="35">
        <v>44718.0</v>
      </c>
      <c r="B455" s="38">
        <v>9.25</v>
      </c>
      <c r="C455" s="11">
        <f t="shared" si="1"/>
        <v>0.005434782609</v>
      </c>
      <c r="D455" s="13">
        <f t="shared" si="2"/>
        <v>0.005434782609</v>
      </c>
      <c r="E455" s="35">
        <v>44718.0</v>
      </c>
      <c r="F455" s="12">
        <v>16569.55</v>
      </c>
      <c r="G455" s="11">
        <v>-8.89395E-4</v>
      </c>
      <c r="H455" s="13">
        <v>-9.0E-4</v>
      </c>
      <c r="J455" s="15"/>
      <c r="K455" s="11"/>
      <c r="L455" s="11"/>
      <c r="M455" s="11"/>
      <c r="N455" s="11"/>
    </row>
    <row r="456" ht="15.75" customHeight="1">
      <c r="A456" s="35">
        <v>44626.0</v>
      </c>
      <c r="B456" s="38">
        <v>9.2</v>
      </c>
      <c r="C456" s="11">
        <f t="shared" si="1"/>
        <v>-0.03664921466</v>
      </c>
      <c r="D456" s="13">
        <f t="shared" si="2"/>
        <v>-0.03664921466</v>
      </c>
      <c r="E456" s="35">
        <v>44626.0</v>
      </c>
      <c r="F456" s="12">
        <v>16584.3</v>
      </c>
      <c r="G456" s="11">
        <v>-0.002628097</v>
      </c>
      <c r="H456" s="13">
        <v>-0.0026</v>
      </c>
      <c r="J456" s="15"/>
      <c r="K456" s="11"/>
      <c r="L456" s="11"/>
      <c r="M456" s="11"/>
      <c r="N456" s="11"/>
    </row>
    <row r="457" ht="15.75" customHeight="1">
      <c r="A457" s="35">
        <v>44598.0</v>
      </c>
      <c r="B457" s="38">
        <v>9.55</v>
      </c>
      <c r="C457" s="11">
        <f t="shared" si="1"/>
        <v>0.02139037433</v>
      </c>
      <c r="D457" s="13">
        <f t="shared" si="2"/>
        <v>0.02139037433</v>
      </c>
      <c r="E457" s="35">
        <v>44598.0</v>
      </c>
      <c r="F457" s="12">
        <v>16628.0</v>
      </c>
      <c r="G457" s="11">
        <v>0.006370005</v>
      </c>
      <c r="H457" s="13">
        <v>0.0064</v>
      </c>
      <c r="J457" s="15"/>
      <c r="K457" s="11"/>
      <c r="L457" s="11"/>
      <c r="M457" s="11"/>
      <c r="N457" s="11"/>
    </row>
    <row r="458" ht="15.75" customHeight="1">
      <c r="A458" s="35">
        <v>44567.0</v>
      </c>
      <c r="B458" s="38">
        <v>9.35</v>
      </c>
      <c r="C458" s="11">
        <f t="shared" si="1"/>
        <v>-0.02604166667</v>
      </c>
      <c r="D458" s="13">
        <f t="shared" si="2"/>
        <v>-0.02604166667</v>
      </c>
      <c r="E458" s="35">
        <v>44567.0</v>
      </c>
      <c r="F458" s="12">
        <v>16522.75</v>
      </c>
      <c r="G458" s="11">
        <v>-0.00372636</v>
      </c>
      <c r="H458" s="13">
        <v>-0.0037</v>
      </c>
      <c r="J458" s="15"/>
      <c r="K458" s="11"/>
      <c r="L458" s="11"/>
      <c r="M458" s="11"/>
      <c r="N458" s="11"/>
    </row>
    <row r="459" ht="15.75" customHeight="1">
      <c r="A459" s="11" t="s">
        <v>383</v>
      </c>
      <c r="B459" s="38">
        <v>9.6</v>
      </c>
      <c r="C459" s="11">
        <f t="shared" si="1"/>
        <v>0.03225806452</v>
      </c>
      <c r="D459" s="13">
        <f t="shared" si="2"/>
        <v>0.03225806452</v>
      </c>
      <c r="E459" s="11" t="s">
        <v>383</v>
      </c>
      <c r="F459" s="12">
        <v>16584.55</v>
      </c>
      <c r="G459" s="11">
        <v>-0.004612458</v>
      </c>
      <c r="H459" s="13">
        <v>-0.0046</v>
      </c>
      <c r="J459" s="15"/>
      <c r="K459" s="11"/>
      <c r="L459" s="11"/>
      <c r="M459" s="11"/>
      <c r="N459" s="11"/>
    </row>
    <row r="460" ht="15.75" customHeight="1">
      <c r="A460" s="11" t="s">
        <v>384</v>
      </c>
      <c r="B460" s="38">
        <v>9.3</v>
      </c>
      <c r="C460" s="11">
        <f t="shared" si="1"/>
        <v>0.04494382022</v>
      </c>
      <c r="D460" s="13">
        <f t="shared" si="2"/>
        <v>0.04494382022</v>
      </c>
      <c r="E460" s="11" t="s">
        <v>384</v>
      </c>
      <c r="F460" s="12">
        <v>16661.4</v>
      </c>
      <c r="G460" s="11">
        <v>0.018893193</v>
      </c>
      <c r="H460" s="13">
        <v>0.0189</v>
      </c>
      <c r="J460" s="15"/>
      <c r="K460" s="11"/>
      <c r="L460" s="11"/>
      <c r="M460" s="11"/>
      <c r="N460" s="11"/>
    </row>
    <row r="461" ht="15.75" customHeight="1">
      <c r="A461" s="11" t="s">
        <v>385</v>
      </c>
      <c r="B461" s="38">
        <v>8.9</v>
      </c>
      <c r="C461" s="11">
        <f t="shared" si="1"/>
        <v>0.03488372093</v>
      </c>
      <c r="D461" s="13">
        <f t="shared" si="2"/>
        <v>0.03488372093</v>
      </c>
      <c r="E461" s="11" t="s">
        <v>385</v>
      </c>
      <c r="F461" s="12">
        <v>16352.45</v>
      </c>
      <c r="G461" s="11">
        <v>0.01127386</v>
      </c>
      <c r="H461" s="13">
        <v>0.0113</v>
      </c>
      <c r="J461" s="15"/>
      <c r="K461" s="11"/>
      <c r="L461" s="11"/>
      <c r="M461" s="11"/>
      <c r="N461" s="11"/>
    </row>
    <row r="462" ht="15.75" customHeight="1">
      <c r="A462" s="11" t="s">
        <v>386</v>
      </c>
      <c r="B462" s="38">
        <v>8.6</v>
      </c>
      <c r="C462" s="11">
        <f t="shared" si="1"/>
        <v>-0.01714285714</v>
      </c>
      <c r="D462" s="13">
        <f t="shared" si="2"/>
        <v>-0.01714285714</v>
      </c>
      <c r="E462" s="11" t="s">
        <v>386</v>
      </c>
      <c r="F462" s="12">
        <v>16170.15</v>
      </c>
      <c r="G462" s="11">
        <v>0.009007351</v>
      </c>
      <c r="H462" s="13">
        <v>0.009</v>
      </c>
      <c r="J462" s="15"/>
      <c r="K462" s="11"/>
      <c r="L462" s="11"/>
      <c r="M462" s="11"/>
      <c r="N462" s="11"/>
    </row>
    <row r="463" ht="15.75" customHeight="1">
      <c r="A463" s="11" t="s">
        <v>387</v>
      </c>
      <c r="B463" s="38">
        <v>8.75</v>
      </c>
      <c r="C463" s="11">
        <f t="shared" si="1"/>
        <v>-0.02777777778</v>
      </c>
      <c r="D463" s="13">
        <f t="shared" si="2"/>
        <v>-0.02777777778</v>
      </c>
      <c r="E463" s="11" t="s">
        <v>387</v>
      </c>
      <c r="F463" s="12">
        <v>16025.8</v>
      </c>
      <c r="G463" s="11">
        <v>-0.006161183</v>
      </c>
      <c r="H463" s="13">
        <v>-0.0062</v>
      </c>
      <c r="J463" s="15"/>
      <c r="K463" s="11"/>
      <c r="L463" s="11"/>
      <c r="M463" s="11"/>
      <c r="N463" s="11"/>
    </row>
    <row r="464" ht="15.75" customHeight="1">
      <c r="A464" s="11" t="s">
        <v>388</v>
      </c>
      <c r="B464" s="38">
        <v>9.0</v>
      </c>
      <c r="C464" s="11">
        <f t="shared" si="1"/>
        <v>-0.005524861878</v>
      </c>
      <c r="D464" s="13">
        <f t="shared" si="2"/>
        <v>-0.005524861878</v>
      </c>
      <c r="E464" s="11" t="s">
        <v>388</v>
      </c>
      <c r="F464" s="12">
        <v>16125.15</v>
      </c>
      <c r="G464" s="11">
        <v>-0.005522766</v>
      </c>
      <c r="H464" s="13">
        <v>-0.0055</v>
      </c>
      <c r="J464" s="15"/>
      <c r="K464" s="11"/>
      <c r="L464" s="11"/>
      <c r="M464" s="11"/>
      <c r="N464" s="11"/>
    </row>
    <row r="465" ht="15.75" customHeight="1">
      <c r="A465" s="11" t="s">
        <v>389</v>
      </c>
      <c r="B465" s="38">
        <v>9.05</v>
      </c>
      <c r="C465" s="11">
        <f t="shared" si="1"/>
        <v>-0.005494505495</v>
      </c>
      <c r="D465" s="13">
        <f t="shared" si="2"/>
        <v>-0.005494505495</v>
      </c>
      <c r="E465" s="11" t="s">
        <v>389</v>
      </c>
      <c r="F465" s="12">
        <v>16214.7</v>
      </c>
      <c r="G465" s="11">
        <v>-0.00316301</v>
      </c>
      <c r="H465" s="13">
        <v>-0.0032</v>
      </c>
      <c r="J465" s="15"/>
      <c r="K465" s="11"/>
      <c r="L465" s="11"/>
      <c r="M465" s="11"/>
      <c r="N465" s="11"/>
    </row>
    <row r="466" ht="15.75" customHeight="1">
      <c r="A466" s="11" t="s">
        <v>390</v>
      </c>
      <c r="B466" s="38">
        <v>9.1</v>
      </c>
      <c r="C466" s="11">
        <f t="shared" si="1"/>
        <v>0.02247191011</v>
      </c>
      <c r="D466" s="13">
        <f t="shared" si="2"/>
        <v>0.02247191011</v>
      </c>
      <c r="E466" s="11" t="s">
        <v>390</v>
      </c>
      <c r="F466" s="12">
        <v>16266.15</v>
      </c>
      <c r="G466" s="11">
        <v>0.02889104</v>
      </c>
      <c r="H466" s="13">
        <v>0.0289</v>
      </c>
      <c r="J466" s="15"/>
      <c r="K466" s="11"/>
      <c r="L466" s="11"/>
      <c r="M466" s="11"/>
      <c r="N466" s="11"/>
    </row>
    <row r="467" ht="15.75" customHeight="1">
      <c r="A467" s="11" t="s">
        <v>391</v>
      </c>
      <c r="B467" s="38">
        <v>8.9</v>
      </c>
      <c r="C467" s="11">
        <f t="shared" si="1"/>
        <v>-0.03260869565</v>
      </c>
      <c r="D467" s="13">
        <f t="shared" si="2"/>
        <v>-0.03260869565</v>
      </c>
      <c r="E467" s="11" t="s">
        <v>391</v>
      </c>
      <c r="F467" s="12">
        <v>15809.4</v>
      </c>
      <c r="G467" s="11">
        <v>-0.026532761</v>
      </c>
      <c r="H467" s="13">
        <v>-0.0265</v>
      </c>
      <c r="J467" s="15"/>
      <c r="K467" s="11"/>
      <c r="L467" s="11"/>
      <c r="M467" s="11"/>
      <c r="N467" s="11"/>
    </row>
    <row r="468" ht="15.75" customHeight="1">
      <c r="A468" s="11" t="s">
        <v>392</v>
      </c>
      <c r="B468" s="38">
        <v>9.2</v>
      </c>
      <c r="C468" s="11">
        <f t="shared" si="1"/>
        <v>-0.01604278075</v>
      </c>
      <c r="D468" s="13">
        <f t="shared" si="2"/>
        <v>-0.01604278075</v>
      </c>
      <c r="E468" s="11" t="s">
        <v>392</v>
      </c>
      <c r="F468" s="12">
        <v>16240.3</v>
      </c>
      <c r="G468" s="11">
        <v>-0.001168562</v>
      </c>
      <c r="H468" s="13">
        <v>-0.0012</v>
      </c>
      <c r="J468" s="15"/>
      <c r="K468" s="11"/>
      <c r="L468" s="11"/>
      <c r="M468" s="11"/>
      <c r="N468" s="11"/>
    </row>
    <row r="469" ht="15.75" customHeight="1">
      <c r="A469" s="11" t="s">
        <v>393</v>
      </c>
      <c r="B469" s="38">
        <v>9.35</v>
      </c>
      <c r="C469" s="11">
        <f t="shared" si="1"/>
        <v>-0.005319148936</v>
      </c>
      <c r="D469" s="13">
        <f t="shared" si="2"/>
        <v>-0.005319148936</v>
      </c>
      <c r="E469" s="11" t="s">
        <v>393</v>
      </c>
      <c r="F469" s="12">
        <v>16259.3</v>
      </c>
      <c r="G469" s="11">
        <v>0.026321936</v>
      </c>
      <c r="H469" s="13">
        <v>0.0263</v>
      </c>
      <c r="J469" s="15"/>
      <c r="K469" s="11"/>
      <c r="L469" s="11"/>
      <c r="M469" s="11"/>
      <c r="N469" s="11"/>
    </row>
    <row r="470" ht="15.75" customHeight="1">
      <c r="A470" s="11" t="s">
        <v>394</v>
      </c>
      <c r="B470" s="38">
        <v>9.4</v>
      </c>
      <c r="C470" s="11">
        <f t="shared" si="1"/>
        <v>0.125748503</v>
      </c>
      <c r="D470" s="13">
        <f t="shared" si="2"/>
        <v>0.125748503</v>
      </c>
      <c r="E470" s="11" t="s">
        <v>394</v>
      </c>
      <c r="F470" s="12">
        <v>15842.3</v>
      </c>
      <c r="G470" s="11">
        <v>0.003811268</v>
      </c>
      <c r="H470" s="13">
        <v>0.0038</v>
      </c>
      <c r="J470" s="15"/>
      <c r="K470" s="11"/>
      <c r="L470" s="11"/>
      <c r="M470" s="11"/>
      <c r="N470" s="11"/>
    </row>
    <row r="471" ht="15.75" customHeight="1">
      <c r="A471" s="11" t="s">
        <v>395</v>
      </c>
      <c r="B471" s="38">
        <v>8.35</v>
      </c>
      <c r="C471" s="11">
        <f t="shared" si="1"/>
        <v>0.0245398773</v>
      </c>
      <c r="D471" s="13">
        <f t="shared" si="2"/>
        <v>0.0245398773</v>
      </c>
      <c r="E471" s="11" t="s">
        <v>395</v>
      </c>
      <c r="F471" s="12">
        <v>15782.15</v>
      </c>
      <c r="G471" s="11">
        <v>-0.001635248</v>
      </c>
      <c r="H471" s="13">
        <v>-0.0016</v>
      </c>
      <c r="J471" s="15"/>
      <c r="K471" s="11"/>
      <c r="L471" s="11"/>
      <c r="M471" s="11"/>
      <c r="N471" s="11"/>
    </row>
    <row r="472" ht="15.75" customHeight="1">
      <c r="A472" s="35">
        <v>44900.0</v>
      </c>
      <c r="B472" s="38">
        <v>8.15</v>
      </c>
      <c r="C472" s="11">
        <f t="shared" si="1"/>
        <v>-0.05780346821</v>
      </c>
      <c r="D472" s="13">
        <f t="shared" si="2"/>
        <v>-0.05780346821</v>
      </c>
      <c r="E472" s="35">
        <v>44900.0</v>
      </c>
      <c r="F472" s="12">
        <v>15808.0</v>
      </c>
      <c r="G472" s="11">
        <v>-0.022211776</v>
      </c>
      <c r="H472" s="13">
        <v>-0.0222</v>
      </c>
      <c r="J472" s="15"/>
      <c r="K472" s="11"/>
      <c r="L472" s="11"/>
      <c r="M472" s="11"/>
      <c r="N472" s="11"/>
    </row>
    <row r="473" ht="15.75" customHeight="1">
      <c r="A473" s="35">
        <v>44870.0</v>
      </c>
      <c r="B473" s="38">
        <v>8.65</v>
      </c>
      <c r="C473" s="11">
        <f t="shared" si="1"/>
        <v>-0.005747126437</v>
      </c>
      <c r="D473" s="13">
        <f t="shared" si="2"/>
        <v>-0.005747126437</v>
      </c>
      <c r="E473" s="35">
        <v>44870.0</v>
      </c>
      <c r="F473" s="12">
        <v>16167.1</v>
      </c>
      <c r="G473" s="11">
        <v>-0.004491981</v>
      </c>
      <c r="H473" s="13">
        <v>-0.0045</v>
      </c>
      <c r="J473" s="15"/>
      <c r="K473" s="11"/>
      <c r="L473" s="11"/>
      <c r="M473" s="11"/>
      <c r="N473" s="11"/>
    </row>
    <row r="474" ht="15.75" customHeight="1">
      <c r="A474" s="35">
        <v>44839.0</v>
      </c>
      <c r="B474" s="38">
        <v>8.7</v>
      </c>
      <c r="C474" s="11">
        <f t="shared" si="1"/>
        <v>-0.02793296089</v>
      </c>
      <c r="D474" s="13">
        <f t="shared" si="2"/>
        <v>-0.02793296089</v>
      </c>
      <c r="E474" s="35">
        <v>44839.0</v>
      </c>
      <c r="F474" s="12">
        <v>16240.05</v>
      </c>
      <c r="G474" s="11">
        <v>-0.003790981</v>
      </c>
      <c r="H474" s="13">
        <v>-0.0038</v>
      </c>
      <c r="J474" s="15"/>
      <c r="K474" s="11"/>
      <c r="L474" s="11"/>
      <c r="M474" s="11"/>
      <c r="N474" s="11"/>
    </row>
    <row r="475" ht="15.75" customHeight="1">
      <c r="A475" s="35">
        <v>44809.0</v>
      </c>
      <c r="B475" s="38">
        <v>8.95</v>
      </c>
      <c r="C475" s="11">
        <f t="shared" si="1"/>
        <v>-0.01104972376</v>
      </c>
      <c r="D475" s="13">
        <f t="shared" si="2"/>
        <v>-0.01104972376</v>
      </c>
      <c r="E475" s="35">
        <v>44809.0</v>
      </c>
      <c r="F475" s="12">
        <v>16301.85</v>
      </c>
      <c r="G475" s="11">
        <v>-0.006666159</v>
      </c>
      <c r="H475" s="13">
        <v>-0.0067</v>
      </c>
      <c r="J475" s="15"/>
      <c r="K475" s="11"/>
      <c r="L475" s="11"/>
      <c r="M475" s="11"/>
      <c r="N475" s="11"/>
    </row>
    <row r="476" ht="15.75" customHeight="1">
      <c r="A476" s="35">
        <v>44717.0</v>
      </c>
      <c r="B476" s="38">
        <v>9.05</v>
      </c>
      <c r="C476" s="11">
        <f t="shared" si="1"/>
        <v>0</v>
      </c>
      <c r="D476" s="13">
        <f t="shared" si="2"/>
        <v>0</v>
      </c>
      <c r="E476" s="35">
        <v>44717.0</v>
      </c>
      <c r="F476" s="12">
        <v>16411.25</v>
      </c>
      <c r="G476" s="11">
        <v>-0.016268399</v>
      </c>
      <c r="H476" s="13">
        <v>-0.0163</v>
      </c>
      <c r="J476" s="15"/>
      <c r="K476" s="11"/>
      <c r="L476" s="11"/>
      <c r="M476" s="11"/>
      <c r="N476" s="11"/>
    </row>
    <row r="477" ht="15.75" customHeight="1">
      <c r="A477" s="35">
        <v>44686.0</v>
      </c>
      <c r="B477" s="38">
        <v>9.05</v>
      </c>
      <c r="C477" s="11">
        <f t="shared" si="1"/>
        <v>-0.005494505495</v>
      </c>
      <c r="D477" s="13">
        <f t="shared" si="2"/>
        <v>-0.005494505495</v>
      </c>
      <c r="E477" s="35">
        <v>44686.0</v>
      </c>
      <c r="F477" s="12">
        <v>16682.65</v>
      </c>
      <c r="G477" s="11">
        <v>3.02801E-4</v>
      </c>
      <c r="H477" s="13">
        <v>3.0E-4</v>
      </c>
      <c r="J477" s="15"/>
      <c r="K477" s="11"/>
      <c r="L477" s="11"/>
      <c r="M477" s="11"/>
      <c r="N477" s="11"/>
    </row>
    <row r="478" ht="15.75" customHeight="1">
      <c r="A478" s="35">
        <v>44656.0</v>
      </c>
      <c r="B478" s="38">
        <v>9.1</v>
      </c>
      <c r="C478" s="11">
        <f t="shared" si="1"/>
        <v>-0.02150537634</v>
      </c>
      <c r="D478" s="13">
        <f t="shared" si="2"/>
        <v>-0.02150537634</v>
      </c>
      <c r="E478" s="35">
        <v>44656.0</v>
      </c>
      <c r="F478" s="12">
        <v>16677.6</v>
      </c>
      <c r="G478" s="11">
        <v>-0.022936183</v>
      </c>
      <c r="H478" s="13">
        <v>-0.0229</v>
      </c>
      <c r="J478" s="15"/>
      <c r="K478" s="11"/>
      <c r="L478" s="11"/>
      <c r="M478" s="11"/>
      <c r="N478" s="11"/>
    </row>
    <row r="479" ht="15.75" customHeight="1">
      <c r="A479" s="35">
        <v>44597.0</v>
      </c>
      <c r="B479" s="38">
        <v>9.3</v>
      </c>
      <c r="C479" s="11">
        <f t="shared" si="1"/>
        <v>-0.02105263158</v>
      </c>
      <c r="D479" s="13">
        <f t="shared" si="2"/>
        <v>-0.02105263158</v>
      </c>
      <c r="E479" s="35">
        <v>44597.0</v>
      </c>
      <c r="F479" s="12">
        <v>17069.1</v>
      </c>
      <c r="G479" s="11">
        <v>-0.001955849</v>
      </c>
      <c r="H479" s="13">
        <v>-0.002</v>
      </c>
      <c r="J479" s="15"/>
      <c r="K479" s="11"/>
      <c r="L479" s="11"/>
      <c r="M479" s="11"/>
      <c r="N479" s="11"/>
    </row>
    <row r="480" ht="15.75" customHeight="1">
      <c r="A480" s="11" t="s">
        <v>396</v>
      </c>
      <c r="B480" s="38">
        <v>9.5</v>
      </c>
      <c r="C480" s="11">
        <f t="shared" si="1"/>
        <v>-0.005235602094</v>
      </c>
      <c r="D480" s="13">
        <f t="shared" si="2"/>
        <v>-0.005235602094</v>
      </c>
      <c r="E480" s="11" t="s">
        <v>396</v>
      </c>
      <c r="F480" s="12">
        <v>17102.55</v>
      </c>
      <c r="G480" s="11">
        <v>-0.008263241</v>
      </c>
      <c r="H480" s="13">
        <v>-0.0083</v>
      </c>
      <c r="J480" s="15"/>
      <c r="K480" s="11"/>
      <c r="L480" s="11"/>
      <c r="M480" s="11"/>
      <c r="N480" s="11"/>
    </row>
    <row r="481" ht="15.75" customHeight="1">
      <c r="A481" s="11" t="s">
        <v>397</v>
      </c>
      <c r="B481" s="38">
        <v>9.55</v>
      </c>
      <c r="C481" s="11">
        <f t="shared" si="1"/>
        <v>-0.005208333333</v>
      </c>
      <c r="D481" s="13">
        <f t="shared" si="2"/>
        <v>-0.005208333333</v>
      </c>
      <c r="E481" s="11" t="s">
        <v>397</v>
      </c>
      <c r="F481" s="12">
        <v>17245.05</v>
      </c>
      <c r="G481" s="11">
        <v>0.012128486</v>
      </c>
      <c r="H481" s="13">
        <v>0.0121</v>
      </c>
      <c r="J481" s="15"/>
      <c r="K481" s="11"/>
      <c r="L481" s="11"/>
      <c r="M481" s="11"/>
      <c r="N481" s="11"/>
    </row>
    <row r="482" ht="15.75" customHeight="1">
      <c r="A482" s="11" t="s">
        <v>398</v>
      </c>
      <c r="B482" s="38">
        <v>9.6</v>
      </c>
      <c r="C482" s="11">
        <f t="shared" si="1"/>
        <v>-0.04</v>
      </c>
      <c r="D482" s="13">
        <f t="shared" si="2"/>
        <v>-0.04</v>
      </c>
      <c r="E482" s="11" t="s">
        <v>398</v>
      </c>
      <c r="F482" s="12">
        <v>17038.4</v>
      </c>
      <c r="G482" s="11">
        <v>-0.009441421</v>
      </c>
      <c r="H482" s="13">
        <v>-0.0094</v>
      </c>
      <c r="J482" s="15"/>
      <c r="K482" s="11"/>
      <c r="L482" s="11"/>
      <c r="M482" s="11"/>
      <c r="N482" s="11"/>
    </row>
    <row r="483" ht="15.75" customHeight="1">
      <c r="A483" s="11" t="s">
        <v>399</v>
      </c>
      <c r="B483" s="38">
        <v>10.0</v>
      </c>
      <c r="C483" s="11">
        <f t="shared" si="1"/>
        <v>0.02040816327</v>
      </c>
      <c r="D483" s="13">
        <f t="shared" si="2"/>
        <v>0.02040816327</v>
      </c>
      <c r="E483" s="11" t="s">
        <v>399</v>
      </c>
      <c r="F483" s="12">
        <v>17200.8</v>
      </c>
      <c r="G483" s="11">
        <v>0.014560029</v>
      </c>
      <c r="H483" s="13">
        <v>0.0146</v>
      </c>
      <c r="J483" s="15"/>
      <c r="K483" s="11"/>
      <c r="L483" s="11"/>
      <c r="M483" s="11"/>
      <c r="N483" s="11"/>
    </row>
    <row r="484" ht="15.75" customHeight="1">
      <c r="A484" s="11" t="s">
        <v>400</v>
      </c>
      <c r="B484" s="38">
        <v>9.8</v>
      </c>
      <c r="C484" s="11">
        <f t="shared" si="1"/>
        <v>-0.01507537688</v>
      </c>
      <c r="D484" s="13">
        <f t="shared" si="2"/>
        <v>-0.01507537688</v>
      </c>
      <c r="E484" s="11" t="s">
        <v>400</v>
      </c>
      <c r="F484" s="12">
        <v>16953.95</v>
      </c>
      <c r="G484" s="11">
        <v>-0.012695122</v>
      </c>
      <c r="H484" s="13">
        <v>-0.0127</v>
      </c>
      <c r="J484" s="15"/>
      <c r="K484" s="11"/>
      <c r="L484" s="11"/>
      <c r="M484" s="11"/>
      <c r="N484" s="11"/>
    </row>
    <row r="485" ht="15.75" customHeight="1">
      <c r="A485" s="11" t="s">
        <v>401</v>
      </c>
      <c r="B485" s="38">
        <v>9.95</v>
      </c>
      <c r="C485" s="11">
        <f t="shared" si="1"/>
        <v>-0.005</v>
      </c>
      <c r="D485" s="13">
        <f t="shared" si="2"/>
        <v>-0.005</v>
      </c>
      <c r="E485" s="11" t="s">
        <v>401</v>
      </c>
      <c r="F485" s="12">
        <v>17171.95</v>
      </c>
      <c r="G485" s="11">
        <v>-0.01268643</v>
      </c>
      <c r="H485" s="13">
        <v>-0.0127</v>
      </c>
      <c r="J485" s="15"/>
      <c r="K485" s="11"/>
      <c r="L485" s="11"/>
      <c r="M485" s="11"/>
      <c r="N485" s="11"/>
    </row>
    <row r="486" ht="15.75" customHeight="1">
      <c r="A486" s="11" t="s">
        <v>402</v>
      </c>
      <c r="B486" s="38">
        <v>10.0</v>
      </c>
      <c r="C486" s="11">
        <f t="shared" si="1"/>
        <v>0</v>
      </c>
      <c r="D486" s="13">
        <f t="shared" si="2"/>
        <v>0</v>
      </c>
      <c r="E486" s="11" t="s">
        <v>402</v>
      </c>
      <c r="F486" s="12">
        <v>17392.6</v>
      </c>
      <c r="G486" s="11">
        <v>0.014941747</v>
      </c>
      <c r="H486" s="13">
        <v>0.0149</v>
      </c>
      <c r="J486" s="15"/>
      <c r="K486" s="11"/>
      <c r="L486" s="11"/>
      <c r="M486" s="11"/>
      <c r="N486" s="11"/>
    </row>
    <row r="487" ht="15.75" customHeight="1">
      <c r="A487" s="11" t="s">
        <v>403</v>
      </c>
      <c r="B487" s="38">
        <v>10.0</v>
      </c>
      <c r="C487" s="11">
        <f t="shared" si="1"/>
        <v>0.0101010101</v>
      </c>
      <c r="D487" s="13">
        <f t="shared" si="2"/>
        <v>0.0101010101</v>
      </c>
      <c r="E487" s="11" t="s">
        <v>403</v>
      </c>
      <c r="F487" s="12">
        <v>17136.55</v>
      </c>
      <c r="G487" s="11">
        <v>0.010490222</v>
      </c>
      <c r="H487" s="13">
        <v>0.0105</v>
      </c>
      <c r="J487" s="15"/>
      <c r="K487" s="11"/>
      <c r="L487" s="11"/>
      <c r="M487" s="11"/>
      <c r="N487" s="11"/>
    </row>
    <row r="488" ht="15.75" customHeight="1">
      <c r="A488" s="11" t="s">
        <v>404</v>
      </c>
      <c r="B488" s="38">
        <v>9.9</v>
      </c>
      <c r="C488" s="11">
        <f t="shared" si="1"/>
        <v>-0.0198019802</v>
      </c>
      <c r="D488" s="13">
        <f t="shared" si="2"/>
        <v>-0.0198019802</v>
      </c>
      <c r="E488" s="11" t="s">
        <v>404</v>
      </c>
      <c r="F488" s="12">
        <v>16958.65</v>
      </c>
      <c r="G488" s="11">
        <v>-0.012519179</v>
      </c>
      <c r="H488" s="13">
        <v>-0.0125</v>
      </c>
      <c r="J488" s="15"/>
      <c r="K488" s="11"/>
      <c r="L488" s="11"/>
      <c r="M488" s="11"/>
      <c r="N488" s="11"/>
    </row>
    <row r="489" ht="15.75" customHeight="1">
      <c r="A489" s="11" t="s">
        <v>405</v>
      </c>
      <c r="B489" s="38">
        <v>10.1</v>
      </c>
      <c r="C489" s="11">
        <f t="shared" si="1"/>
        <v>-0.02884615385</v>
      </c>
      <c r="D489" s="13">
        <f t="shared" si="2"/>
        <v>-0.02884615385</v>
      </c>
      <c r="E489" s="11" t="s">
        <v>405</v>
      </c>
      <c r="F489" s="12">
        <v>17173.65</v>
      </c>
      <c r="G489" s="11">
        <v>-0.017281188</v>
      </c>
      <c r="H489" s="13">
        <v>-0.0173</v>
      </c>
      <c r="J489" s="15"/>
      <c r="K489" s="11"/>
      <c r="L489" s="11"/>
      <c r="M489" s="11"/>
      <c r="N489" s="11"/>
    </row>
    <row r="490" ht="15.75" customHeight="1">
      <c r="A490" s="11" t="s">
        <v>406</v>
      </c>
      <c r="B490" s="38">
        <v>10.4</v>
      </c>
      <c r="C490" s="11">
        <f t="shared" si="1"/>
        <v>-0.01886792453</v>
      </c>
      <c r="D490" s="13">
        <f t="shared" si="2"/>
        <v>-0.01886792453</v>
      </c>
      <c r="E490" s="11" t="s">
        <v>406</v>
      </c>
      <c r="F490" s="12">
        <v>17475.65</v>
      </c>
      <c r="G490" s="11">
        <v>-0.003117459</v>
      </c>
      <c r="H490" s="13">
        <v>-0.0031</v>
      </c>
      <c r="J490" s="15"/>
      <c r="K490" s="11"/>
      <c r="L490" s="11"/>
      <c r="M490" s="11"/>
      <c r="N490" s="11"/>
    </row>
    <row r="491" ht="15.75" customHeight="1">
      <c r="A491" s="35">
        <v>44899.0</v>
      </c>
      <c r="B491" s="38">
        <v>10.6</v>
      </c>
      <c r="C491" s="11">
        <f t="shared" si="1"/>
        <v>-0.02304147465</v>
      </c>
      <c r="D491" s="13">
        <f t="shared" si="2"/>
        <v>-0.02304147465</v>
      </c>
      <c r="E491" s="35">
        <v>44899.0</v>
      </c>
      <c r="F491" s="12">
        <v>17530.3</v>
      </c>
      <c r="G491" s="11">
        <v>-0.008183899</v>
      </c>
      <c r="H491" s="13">
        <v>-0.0082</v>
      </c>
      <c r="J491" s="15"/>
      <c r="K491" s="11"/>
      <c r="L491" s="11"/>
      <c r="M491" s="11"/>
      <c r="N491" s="11"/>
    </row>
    <row r="492" ht="15.75" customHeight="1">
      <c r="A492" s="35">
        <v>44869.0</v>
      </c>
      <c r="B492" s="38">
        <v>10.85</v>
      </c>
      <c r="C492" s="11">
        <f t="shared" si="1"/>
        <v>-0.03125</v>
      </c>
      <c r="D492" s="13">
        <f t="shared" si="2"/>
        <v>-0.03125</v>
      </c>
      <c r="E492" s="35">
        <v>44869.0</v>
      </c>
      <c r="F492" s="12">
        <v>17674.95</v>
      </c>
      <c r="G492" s="11">
        <v>-0.006151476</v>
      </c>
      <c r="H492" s="13">
        <v>-0.0062</v>
      </c>
      <c r="J492" s="15"/>
      <c r="K492" s="11"/>
      <c r="L492" s="11"/>
      <c r="M492" s="11"/>
      <c r="N492" s="11"/>
    </row>
    <row r="493" ht="15.75" customHeight="1">
      <c r="A493" s="35">
        <v>44777.0</v>
      </c>
      <c r="B493" s="38">
        <v>11.2</v>
      </c>
      <c r="C493" s="11">
        <f t="shared" si="1"/>
        <v>0.02752293578</v>
      </c>
      <c r="D493" s="13">
        <f t="shared" si="2"/>
        <v>0.02752293578</v>
      </c>
      <c r="E493" s="35">
        <v>44777.0</v>
      </c>
      <c r="F493" s="12">
        <v>17784.35</v>
      </c>
      <c r="G493" s="11">
        <v>0.008208826</v>
      </c>
      <c r="H493" s="13">
        <v>0.0082</v>
      </c>
      <c r="J493" s="15"/>
      <c r="K493" s="11"/>
      <c r="L493" s="11"/>
      <c r="M493" s="11"/>
      <c r="N493" s="11"/>
    </row>
    <row r="494" ht="15.75" customHeight="1">
      <c r="A494" s="35">
        <v>44746.0</v>
      </c>
      <c r="B494" s="38">
        <v>10.9</v>
      </c>
      <c r="C494" s="11">
        <f t="shared" si="1"/>
        <v>0.009259259259</v>
      </c>
      <c r="D494" s="13">
        <f t="shared" si="2"/>
        <v>0.009259259259</v>
      </c>
      <c r="E494" s="35">
        <v>44746.0</v>
      </c>
      <c r="F494" s="12">
        <v>17639.55</v>
      </c>
      <c r="G494" s="11">
        <v>-0.009439763</v>
      </c>
      <c r="H494" s="13">
        <v>-0.0094</v>
      </c>
      <c r="J494" s="15"/>
      <c r="K494" s="11"/>
      <c r="L494" s="11"/>
      <c r="M494" s="11"/>
      <c r="N494" s="11"/>
    </row>
    <row r="495" ht="15.75" customHeight="1">
      <c r="A495" s="35">
        <v>44716.0</v>
      </c>
      <c r="B495" s="38">
        <v>10.8</v>
      </c>
      <c r="C495" s="11">
        <f t="shared" si="1"/>
        <v>0.04347826087</v>
      </c>
      <c r="D495" s="13">
        <f t="shared" si="2"/>
        <v>0.04347826087</v>
      </c>
      <c r="E495" s="35">
        <v>44716.0</v>
      </c>
      <c r="F495" s="12">
        <v>17807.65</v>
      </c>
      <c r="G495" s="11">
        <v>-0.008339181</v>
      </c>
      <c r="H495" s="13">
        <v>-0.0083</v>
      </c>
      <c r="J495" s="15"/>
      <c r="K495" s="11"/>
      <c r="L495" s="11"/>
      <c r="M495" s="11"/>
      <c r="N495" s="11"/>
    </row>
    <row r="496" ht="15.75" customHeight="1">
      <c r="A496" s="35">
        <v>44685.0</v>
      </c>
      <c r="B496" s="38">
        <v>10.35</v>
      </c>
      <c r="C496" s="11">
        <f t="shared" si="1"/>
        <v>0.009756097561</v>
      </c>
      <c r="D496" s="13">
        <f t="shared" si="2"/>
        <v>0.009756097561</v>
      </c>
      <c r="E496" s="35">
        <v>44685.0</v>
      </c>
      <c r="F496" s="12">
        <v>17957.4</v>
      </c>
      <c r="G496" s="11">
        <v>-0.005317558</v>
      </c>
      <c r="H496" s="13">
        <v>-0.0053</v>
      </c>
      <c r="J496" s="15"/>
      <c r="K496" s="11"/>
      <c r="L496" s="11"/>
      <c r="M496" s="11"/>
      <c r="N496" s="11"/>
    </row>
    <row r="497" ht="15.75" customHeight="1">
      <c r="A497" s="35">
        <v>44655.0</v>
      </c>
      <c r="B497" s="38">
        <v>10.25</v>
      </c>
      <c r="C497" s="11">
        <f t="shared" si="1"/>
        <v>0.01485148515</v>
      </c>
      <c r="D497" s="13">
        <f t="shared" si="2"/>
        <v>0.01485148515</v>
      </c>
      <c r="E497" s="35">
        <v>44655.0</v>
      </c>
      <c r="F497" s="12">
        <v>18053.4</v>
      </c>
      <c r="G497" s="11">
        <v>0.021671774</v>
      </c>
      <c r="H497" s="13">
        <v>0.0217</v>
      </c>
      <c r="J497" s="15"/>
      <c r="K497" s="11"/>
      <c r="L497" s="11"/>
      <c r="M497" s="11"/>
      <c r="N497" s="11"/>
    </row>
    <row r="498" ht="15.75" customHeight="1">
      <c r="A498" s="35">
        <v>44565.0</v>
      </c>
      <c r="B498" s="38">
        <v>10.1</v>
      </c>
      <c r="C498" s="11">
        <f t="shared" si="1"/>
        <v>0.04663212435</v>
      </c>
      <c r="D498" s="13">
        <f t="shared" si="2"/>
        <v>0.04663212435</v>
      </c>
      <c r="E498" s="35">
        <v>44565.0</v>
      </c>
      <c r="F498" s="12">
        <v>17670.45</v>
      </c>
      <c r="G498" s="11">
        <v>0.01177801</v>
      </c>
      <c r="H498" s="13">
        <v>0.0118</v>
      </c>
      <c r="J498" s="15"/>
      <c r="K498" s="11"/>
      <c r="L498" s="11"/>
      <c r="M498" s="11"/>
      <c r="N498" s="11"/>
    </row>
    <row r="499" ht="15.75" customHeight="1">
      <c r="A499" s="11" t="s">
        <v>407</v>
      </c>
      <c r="B499" s="38">
        <v>9.65</v>
      </c>
      <c r="C499" s="11">
        <f t="shared" si="1"/>
        <v>-0.02030456853</v>
      </c>
      <c r="D499" s="13">
        <f t="shared" si="2"/>
        <v>-0.02030456853</v>
      </c>
      <c r="E499" s="11" t="s">
        <v>407</v>
      </c>
      <c r="F499" s="12">
        <v>17464.75</v>
      </c>
      <c r="G499" s="11">
        <v>-0.001914477</v>
      </c>
      <c r="H499" s="13">
        <v>-0.0019</v>
      </c>
      <c r="J499" s="15"/>
      <c r="K499" s="11"/>
      <c r="L499" s="11"/>
      <c r="M499" s="11"/>
      <c r="N499" s="11"/>
    </row>
    <row r="500" ht="15.75" customHeight="1">
      <c r="A500" s="11" t="s">
        <v>408</v>
      </c>
      <c r="B500" s="38">
        <v>9.85</v>
      </c>
      <c r="C500" s="11">
        <f t="shared" si="1"/>
        <v>0</v>
      </c>
      <c r="D500" s="13">
        <f t="shared" si="2"/>
        <v>0</v>
      </c>
      <c r="E500" s="11" t="s">
        <v>408</v>
      </c>
      <c r="F500" s="12">
        <v>17498.25</v>
      </c>
      <c r="G500" s="11">
        <v>0.009982511</v>
      </c>
      <c r="H500" s="13">
        <v>0.01</v>
      </c>
      <c r="J500" s="15"/>
      <c r="K500" s="11"/>
      <c r="L500" s="11"/>
      <c r="M500" s="11"/>
      <c r="N500" s="11"/>
    </row>
    <row r="501" ht="15.75" customHeight="1">
      <c r="A501" s="11" t="s">
        <v>409</v>
      </c>
      <c r="B501" s="38">
        <v>9.85</v>
      </c>
      <c r="C501" s="11">
        <f t="shared" si="1"/>
        <v>-0.01005025126</v>
      </c>
      <c r="D501" s="13">
        <f t="shared" si="2"/>
        <v>-0.01005025126</v>
      </c>
      <c r="E501" s="11" t="s">
        <v>409</v>
      </c>
      <c r="F501" s="12">
        <v>17325.3</v>
      </c>
      <c r="G501" s="11">
        <v>0.005998142</v>
      </c>
      <c r="H501" s="13">
        <v>0.006</v>
      </c>
      <c r="J501" s="15"/>
      <c r="K501" s="11"/>
      <c r="L501" s="11"/>
      <c r="M501" s="11"/>
      <c r="N501" s="11"/>
    </row>
    <row r="502" ht="15.75" customHeight="1">
      <c r="A502" s="11" t="s">
        <v>410</v>
      </c>
      <c r="B502" s="38">
        <v>9.95</v>
      </c>
      <c r="C502" s="11">
        <f t="shared" si="1"/>
        <v>-0.01485148515</v>
      </c>
      <c r="D502" s="13">
        <f t="shared" si="2"/>
        <v>-0.01485148515</v>
      </c>
      <c r="E502" s="11" t="s">
        <v>410</v>
      </c>
      <c r="F502" s="12">
        <v>17222.0</v>
      </c>
      <c r="G502" s="11">
        <v>0.00402262</v>
      </c>
      <c r="H502" s="13">
        <v>0.004</v>
      </c>
      <c r="J502" s="15"/>
      <c r="K502" s="11"/>
      <c r="L502" s="11"/>
      <c r="M502" s="11"/>
      <c r="N502" s="11"/>
    </row>
    <row r="503" ht="15.75" customHeight="1">
      <c r="A503" s="11" t="s">
        <v>411</v>
      </c>
      <c r="B503" s="38">
        <v>10.1</v>
      </c>
      <c r="C503" s="11">
        <f t="shared" si="1"/>
        <v>-0.004926108374</v>
      </c>
      <c r="D503" s="13">
        <f t="shared" si="2"/>
        <v>-0.004926108374</v>
      </c>
      <c r="E503" s="11" t="s">
        <v>411</v>
      </c>
      <c r="F503" s="12">
        <v>17153.0</v>
      </c>
      <c r="G503" s="11">
        <v>-0.004049876</v>
      </c>
      <c r="H503" s="13">
        <v>-0.004</v>
      </c>
      <c r="J503" s="15"/>
      <c r="K503" s="11"/>
      <c r="L503" s="11"/>
      <c r="M503" s="11"/>
      <c r="N503" s="11"/>
    </row>
    <row r="504" ht="15.75" customHeight="1">
      <c r="A504" s="11" t="s">
        <v>412</v>
      </c>
      <c r="B504" s="38">
        <v>10.15</v>
      </c>
      <c r="C504" s="11">
        <f t="shared" si="1"/>
        <v>0.015</v>
      </c>
      <c r="D504" s="13">
        <f t="shared" si="2"/>
        <v>0.015</v>
      </c>
      <c r="E504" s="11" t="s">
        <v>412</v>
      </c>
      <c r="F504" s="12">
        <v>17222.75</v>
      </c>
      <c r="G504" s="11">
        <v>-0.001327871</v>
      </c>
      <c r="H504" s="13">
        <v>-0.0013</v>
      </c>
      <c r="J504" s="15"/>
      <c r="K504" s="11"/>
      <c r="L504" s="11"/>
      <c r="M504" s="11"/>
      <c r="N504" s="11"/>
    </row>
    <row r="505" ht="15.75" customHeight="1">
      <c r="A505" s="11" t="s">
        <v>413</v>
      </c>
      <c r="B505" s="38">
        <v>10.0</v>
      </c>
      <c r="C505" s="11">
        <f t="shared" si="1"/>
        <v>-0.004975124378</v>
      </c>
      <c r="D505" s="13">
        <f t="shared" si="2"/>
        <v>-0.004975124378</v>
      </c>
      <c r="E505" s="11" t="s">
        <v>413</v>
      </c>
      <c r="F505" s="12">
        <v>17245.65</v>
      </c>
      <c r="G505" s="11">
        <v>-0.004033958</v>
      </c>
      <c r="H505" s="13">
        <v>-0.004</v>
      </c>
      <c r="J505" s="15"/>
      <c r="K505" s="11"/>
      <c r="L505" s="11"/>
      <c r="M505" s="11"/>
      <c r="N505" s="11"/>
    </row>
    <row r="506" ht="15.75" customHeight="1">
      <c r="A506" s="11" t="s">
        <v>414</v>
      </c>
      <c r="B506" s="38">
        <v>10.05</v>
      </c>
      <c r="C506" s="11">
        <f t="shared" si="1"/>
        <v>0</v>
      </c>
      <c r="D506" s="13">
        <f t="shared" si="2"/>
        <v>0</v>
      </c>
      <c r="E506" s="11" t="s">
        <v>414</v>
      </c>
      <c r="F506" s="12">
        <v>17315.5</v>
      </c>
      <c r="G506" s="11">
        <v>0.0115612</v>
      </c>
      <c r="H506" s="13">
        <v>0.0116</v>
      </c>
      <c r="J506" s="15"/>
      <c r="K506" s="11"/>
      <c r="L506" s="11"/>
      <c r="M506" s="11"/>
      <c r="N506" s="11"/>
    </row>
    <row r="507" ht="15.75" customHeight="1">
      <c r="A507" s="11" t="s">
        <v>415</v>
      </c>
      <c r="B507" s="38">
        <v>10.05</v>
      </c>
      <c r="C507" s="11">
        <f t="shared" si="1"/>
        <v>-0.01951219512</v>
      </c>
      <c r="D507" s="13">
        <f t="shared" si="2"/>
        <v>-0.01951219512</v>
      </c>
      <c r="E507" s="11" t="s">
        <v>415</v>
      </c>
      <c r="F507" s="12">
        <v>17117.6</v>
      </c>
      <c r="G507" s="11">
        <v>-0.009802135</v>
      </c>
      <c r="H507" s="13">
        <v>-0.0098</v>
      </c>
      <c r="J507" s="15"/>
      <c r="K507" s="11"/>
      <c r="L507" s="11"/>
      <c r="M507" s="11"/>
      <c r="N507" s="11"/>
    </row>
    <row r="508" ht="15.75" customHeight="1">
      <c r="A508" s="11" t="s">
        <v>416</v>
      </c>
      <c r="B508" s="38">
        <v>10.25</v>
      </c>
      <c r="C508" s="11">
        <f t="shared" si="1"/>
        <v>-0.004854368932</v>
      </c>
      <c r="D508" s="13">
        <f t="shared" si="2"/>
        <v>-0.004854368932</v>
      </c>
      <c r="E508" s="11" t="s">
        <v>416</v>
      </c>
      <c r="F508" s="12">
        <v>17287.05</v>
      </c>
      <c r="G508" s="11">
        <v>0.018361919</v>
      </c>
      <c r="H508" s="13">
        <v>0.0184</v>
      </c>
      <c r="J508" s="15"/>
      <c r="K508" s="11"/>
      <c r="L508" s="11"/>
      <c r="M508" s="11"/>
      <c r="N508" s="11"/>
    </row>
    <row r="509" ht="15.75" customHeight="1">
      <c r="A509" s="11" t="s">
        <v>417</v>
      </c>
      <c r="B509" s="38">
        <v>10.3</v>
      </c>
      <c r="C509" s="11">
        <f t="shared" si="1"/>
        <v>0.03</v>
      </c>
      <c r="D509" s="13">
        <f t="shared" si="2"/>
        <v>0.03</v>
      </c>
      <c r="E509" s="11" t="s">
        <v>417</v>
      </c>
      <c r="F509" s="12">
        <v>16975.35</v>
      </c>
      <c r="G509" s="11">
        <v>0.018745124</v>
      </c>
      <c r="H509" s="13">
        <v>0.0187</v>
      </c>
      <c r="J509" s="15"/>
      <c r="K509" s="11"/>
      <c r="L509" s="11"/>
      <c r="M509" s="11"/>
      <c r="N509" s="11"/>
    </row>
    <row r="510" ht="15.75" customHeight="1">
      <c r="A510" s="11" t="s">
        <v>418</v>
      </c>
      <c r="B510" s="38">
        <v>10.0</v>
      </c>
      <c r="C510" s="11">
        <f t="shared" si="1"/>
        <v>-0.01960784314</v>
      </c>
      <c r="D510" s="13">
        <f t="shared" si="2"/>
        <v>-0.01960784314</v>
      </c>
      <c r="E510" s="11" t="s">
        <v>418</v>
      </c>
      <c r="F510" s="12">
        <v>16663.0</v>
      </c>
      <c r="G510" s="11">
        <v>-0.012346411</v>
      </c>
      <c r="H510" s="13">
        <v>-0.0123</v>
      </c>
      <c r="J510" s="15"/>
      <c r="K510" s="11"/>
      <c r="L510" s="11"/>
      <c r="M510" s="11"/>
      <c r="N510" s="11"/>
    </row>
    <row r="511" ht="15.75" customHeight="1">
      <c r="A511" s="11" t="s">
        <v>419</v>
      </c>
      <c r="B511" s="38">
        <v>10.2</v>
      </c>
      <c r="C511" s="11">
        <f t="shared" si="1"/>
        <v>-0.01923076923</v>
      </c>
      <c r="D511" s="13">
        <f t="shared" si="2"/>
        <v>-0.01923076923</v>
      </c>
      <c r="E511" s="11" t="s">
        <v>419</v>
      </c>
      <c r="F511" s="12">
        <v>16871.3</v>
      </c>
      <c r="G511" s="11">
        <v>0.01448247</v>
      </c>
      <c r="H511" s="13">
        <v>0.0145</v>
      </c>
      <c r="J511" s="15"/>
      <c r="K511" s="11"/>
      <c r="L511" s="11"/>
      <c r="M511" s="11"/>
      <c r="N511" s="11"/>
    </row>
    <row r="512" ht="15.75" customHeight="1">
      <c r="A512" s="35">
        <v>44868.0</v>
      </c>
      <c r="B512" s="38">
        <v>10.4</v>
      </c>
      <c r="C512" s="11">
        <f t="shared" si="1"/>
        <v>0.01463414634</v>
      </c>
      <c r="D512" s="13">
        <f t="shared" si="2"/>
        <v>0.01463414634</v>
      </c>
      <c r="E512" s="35">
        <v>44868.0</v>
      </c>
      <c r="F512" s="12">
        <v>16630.45</v>
      </c>
      <c r="G512" s="11">
        <v>0.002142224</v>
      </c>
      <c r="H512" s="13">
        <v>0.0021</v>
      </c>
      <c r="J512" s="15"/>
      <c r="K512" s="11"/>
      <c r="L512" s="11"/>
      <c r="M512" s="11"/>
      <c r="N512" s="11"/>
    </row>
    <row r="513" ht="15.75" customHeight="1">
      <c r="A513" s="35">
        <v>44837.0</v>
      </c>
      <c r="B513" s="38">
        <v>10.25</v>
      </c>
      <c r="C513" s="11">
        <f t="shared" si="1"/>
        <v>-0.004854368932</v>
      </c>
      <c r="D513" s="13">
        <f t="shared" si="2"/>
        <v>-0.004854368932</v>
      </c>
      <c r="E513" s="35">
        <v>44837.0</v>
      </c>
      <c r="F513" s="12">
        <v>16594.9</v>
      </c>
      <c r="G513" s="11">
        <v>0.015267339</v>
      </c>
      <c r="H513" s="13">
        <v>0.0153</v>
      </c>
      <c r="J513" s="15"/>
      <c r="K513" s="11"/>
      <c r="L513" s="11"/>
      <c r="M513" s="11"/>
      <c r="N513" s="11"/>
    </row>
    <row r="514" ht="15.75" customHeight="1">
      <c r="A514" s="35">
        <v>44807.0</v>
      </c>
      <c r="B514" s="38">
        <v>10.3</v>
      </c>
      <c r="C514" s="11">
        <f t="shared" si="1"/>
        <v>0.0404040404</v>
      </c>
      <c r="D514" s="13">
        <f t="shared" si="2"/>
        <v>0.0404040404</v>
      </c>
      <c r="E514" s="35">
        <v>44807.0</v>
      </c>
      <c r="F514" s="12">
        <v>16345.35</v>
      </c>
      <c r="G514" s="11">
        <v>0.020726327</v>
      </c>
      <c r="H514" s="13">
        <v>0.0207</v>
      </c>
      <c r="J514" s="15"/>
      <c r="K514" s="11"/>
      <c r="L514" s="11"/>
      <c r="M514" s="11"/>
      <c r="N514" s="11"/>
    </row>
    <row r="515" ht="15.75" customHeight="1">
      <c r="A515" s="35">
        <v>44776.0</v>
      </c>
      <c r="B515" s="38">
        <v>9.9</v>
      </c>
      <c r="C515" s="11">
        <f t="shared" si="1"/>
        <v>0.03664921466</v>
      </c>
      <c r="D515" s="13">
        <f t="shared" si="2"/>
        <v>0.03664921466</v>
      </c>
      <c r="E515" s="35">
        <v>44776.0</v>
      </c>
      <c r="F515" s="12">
        <v>16013.45</v>
      </c>
      <c r="G515" s="11">
        <v>0.009474789</v>
      </c>
      <c r="H515" s="13">
        <v>0.0095</v>
      </c>
      <c r="J515" s="15"/>
      <c r="K515" s="11"/>
      <c r="L515" s="11"/>
      <c r="M515" s="11"/>
      <c r="N515" s="11"/>
    </row>
    <row r="516" ht="15.75" customHeight="1">
      <c r="A516" s="35">
        <v>44745.0</v>
      </c>
      <c r="B516" s="38">
        <v>9.55</v>
      </c>
      <c r="C516" s="11">
        <f t="shared" si="1"/>
        <v>-0.07729468599</v>
      </c>
      <c r="D516" s="13">
        <f t="shared" si="2"/>
        <v>-0.07729468599</v>
      </c>
      <c r="E516" s="35">
        <v>44745.0</v>
      </c>
      <c r="F516" s="12">
        <v>15863.15</v>
      </c>
      <c r="G516" s="11">
        <v>-0.023526732</v>
      </c>
      <c r="H516" s="13">
        <v>-0.0235</v>
      </c>
      <c r="J516" s="15"/>
      <c r="K516" s="11"/>
      <c r="L516" s="11"/>
      <c r="M516" s="11"/>
      <c r="N516" s="11"/>
    </row>
    <row r="517" ht="15.75" customHeight="1">
      <c r="A517" s="35">
        <v>44654.0</v>
      </c>
      <c r="B517" s="38">
        <v>10.35</v>
      </c>
      <c r="C517" s="11">
        <f t="shared" si="1"/>
        <v>-0.06756756757</v>
      </c>
      <c r="D517" s="13">
        <f t="shared" si="2"/>
        <v>-0.06756756757</v>
      </c>
      <c r="E517" s="35">
        <v>44654.0</v>
      </c>
      <c r="F517" s="12">
        <v>16245.35</v>
      </c>
      <c r="G517" s="11">
        <v>-0.015316962</v>
      </c>
      <c r="H517" s="13">
        <v>-0.0153</v>
      </c>
      <c r="J517" s="15"/>
      <c r="K517" s="11"/>
      <c r="L517" s="11"/>
      <c r="M517" s="11"/>
      <c r="N517" s="11"/>
    </row>
    <row r="518" ht="15.75" customHeight="1">
      <c r="A518" s="35">
        <v>44623.0</v>
      </c>
      <c r="B518" s="38">
        <v>11.1</v>
      </c>
      <c r="C518" s="11">
        <f t="shared" si="1"/>
        <v>0.06220095694</v>
      </c>
      <c r="D518" s="13">
        <f t="shared" si="2"/>
        <v>0.06220095694</v>
      </c>
      <c r="E518" s="35">
        <v>44623.0</v>
      </c>
      <c r="F518" s="12">
        <v>16498.05</v>
      </c>
      <c r="G518" s="11">
        <v>-0.006497671</v>
      </c>
      <c r="H518" s="13">
        <v>-0.0065</v>
      </c>
      <c r="J518" s="15"/>
      <c r="K518" s="11"/>
      <c r="L518" s="11"/>
      <c r="M518" s="11"/>
      <c r="N518" s="11"/>
    </row>
    <row r="519" ht="15.75" customHeight="1">
      <c r="A519" s="35">
        <v>44595.0</v>
      </c>
      <c r="B519" s="38">
        <v>10.45</v>
      </c>
      <c r="C519" s="11">
        <f t="shared" si="1"/>
        <v>0.0145631068</v>
      </c>
      <c r="D519" s="13">
        <f t="shared" si="2"/>
        <v>0.0145631068</v>
      </c>
      <c r="E519" s="35">
        <v>44595.0</v>
      </c>
      <c r="F519" s="12">
        <v>16605.95</v>
      </c>
      <c r="G519" s="11">
        <v>-0.011191564</v>
      </c>
      <c r="H519" s="13">
        <v>-0.0112</v>
      </c>
      <c r="J519" s="15"/>
      <c r="K519" s="11"/>
      <c r="L519" s="11"/>
      <c r="M519" s="11"/>
      <c r="N519" s="11"/>
    </row>
    <row r="520" ht="15.75" customHeight="1">
      <c r="A520" s="11" t="s">
        <v>420</v>
      </c>
      <c r="B520" s="38">
        <v>10.3</v>
      </c>
      <c r="C520" s="11">
        <f t="shared" si="1"/>
        <v>0.00487804878</v>
      </c>
      <c r="D520" s="13">
        <f t="shared" si="2"/>
        <v>0.00487804878</v>
      </c>
      <c r="E520" s="11" t="s">
        <v>420</v>
      </c>
      <c r="F520" s="12">
        <v>16793.9</v>
      </c>
      <c r="G520" s="11">
        <v>0.008134034</v>
      </c>
      <c r="H520" s="13">
        <v>0.0081</v>
      </c>
      <c r="J520" s="15"/>
      <c r="K520" s="11"/>
      <c r="L520" s="11"/>
      <c r="M520" s="11"/>
      <c r="N520" s="11"/>
    </row>
    <row r="521" ht="15.75" customHeight="1">
      <c r="A521" s="11" t="s">
        <v>421</v>
      </c>
      <c r="B521" s="38">
        <v>10.25</v>
      </c>
      <c r="C521" s="11">
        <f t="shared" si="1"/>
        <v>0.0621761658</v>
      </c>
      <c r="D521" s="13">
        <f t="shared" si="2"/>
        <v>0.0621761658</v>
      </c>
      <c r="E521" s="11" t="s">
        <v>421</v>
      </c>
      <c r="F521" s="12">
        <v>16658.4</v>
      </c>
      <c r="G521" s="11">
        <v>0.025261648</v>
      </c>
      <c r="H521" s="13">
        <v>0.0253</v>
      </c>
      <c r="J521" s="15"/>
      <c r="K521" s="11"/>
      <c r="L521" s="11"/>
      <c r="M521" s="11"/>
      <c r="N521" s="11"/>
    </row>
    <row r="522" ht="15.75" customHeight="1">
      <c r="A522" s="11" t="s">
        <v>422</v>
      </c>
      <c r="B522" s="38">
        <v>9.65</v>
      </c>
      <c r="C522" s="11">
        <f t="shared" si="1"/>
        <v>-0.09813084112</v>
      </c>
      <c r="D522" s="13">
        <f t="shared" si="2"/>
        <v>-0.09813084112</v>
      </c>
      <c r="E522" s="11" t="s">
        <v>422</v>
      </c>
      <c r="F522" s="12">
        <v>16247.95</v>
      </c>
      <c r="G522" s="11">
        <v>-0.04778105</v>
      </c>
      <c r="H522" s="13">
        <v>-0.0478</v>
      </c>
      <c r="J522" s="15"/>
      <c r="K522" s="11"/>
      <c r="L522" s="11"/>
      <c r="M522" s="11"/>
      <c r="N522" s="11"/>
    </row>
    <row r="523" ht="15.75" customHeight="1">
      <c r="A523" s="11" t="s">
        <v>423</v>
      </c>
      <c r="B523" s="38">
        <v>10.7</v>
      </c>
      <c r="C523" s="11">
        <f t="shared" si="1"/>
        <v>-0.01834862385</v>
      </c>
      <c r="D523" s="13">
        <f t="shared" si="2"/>
        <v>-0.01834862385</v>
      </c>
      <c r="E523" s="11" t="s">
        <v>423</v>
      </c>
      <c r="F523" s="12">
        <v>17063.25</v>
      </c>
      <c r="G523" s="11">
        <v>-0.001693755</v>
      </c>
      <c r="H523" s="13">
        <v>-0.0017</v>
      </c>
      <c r="J523" s="15"/>
      <c r="K523" s="11"/>
      <c r="L523" s="11"/>
      <c r="M523" s="11"/>
      <c r="N523" s="11"/>
    </row>
    <row r="524" ht="15.75" customHeight="1">
      <c r="A524" s="11" t="s">
        <v>424</v>
      </c>
      <c r="B524" s="38">
        <v>10.9</v>
      </c>
      <c r="C524" s="11">
        <f t="shared" si="1"/>
        <v>-0.03111111111</v>
      </c>
      <c r="D524" s="13">
        <f t="shared" si="2"/>
        <v>-0.03111111111</v>
      </c>
      <c r="E524" s="11" t="s">
        <v>424</v>
      </c>
      <c r="F524" s="12">
        <v>17092.2</v>
      </c>
      <c r="G524" s="11">
        <v>-0.006651498</v>
      </c>
      <c r="H524" s="13">
        <v>-0.0067</v>
      </c>
      <c r="J524" s="15"/>
      <c r="K524" s="11"/>
      <c r="L524" s="11"/>
      <c r="M524" s="11"/>
      <c r="N524" s="11"/>
    </row>
    <row r="525" ht="15.75" customHeight="1">
      <c r="A525" s="11" t="s">
        <v>425</v>
      </c>
      <c r="B525" s="38">
        <v>11.25</v>
      </c>
      <c r="C525" s="11">
        <f t="shared" si="1"/>
        <v>0.05633802817</v>
      </c>
      <c r="D525" s="13">
        <f t="shared" si="2"/>
        <v>0.05633802817</v>
      </c>
      <c r="E525" s="11" t="s">
        <v>425</v>
      </c>
      <c r="F525" s="12">
        <v>17206.65</v>
      </c>
      <c r="G525" s="11">
        <v>-0.004031535</v>
      </c>
      <c r="H525" s="13">
        <v>-0.004</v>
      </c>
      <c r="J525" s="15"/>
      <c r="K525" s="11"/>
      <c r="L525" s="11"/>
      <c r="M525" s="11"/>
      <c r="N525" s="11"/>
    </row>
    <row r="526" ht="15.75" customHeight="1">
      <c r="A526" s="11" t="s">
        <v>426</v>
      </c>
      <c r="B526" s="38">
        <v>10.65</v>
      </c>
      <c r="C526" s="11">
        <f t="shared" si="1"/>
        <v>0.009478672986</v>
      </c>
      <c r="D526" s="13">
        <f t="shared" si="2"/>
        <v>0.009478672986</v>
      </c>
      <c r="E526" s="11" t="s">
        <v>426</v>
      </c>
      <c r="F526" s="12">
        <v>17276.3</v>
      </c>
      <c r="G526" s="11">
        <v>-0.001635403</v>
      </c>
      <c r="H526" s="13">
        <v>-0.0016</v>
      </c>
      <c r="J526" s="15"/>
      <c r="K526" s="11"/>
      <c r="L526" s="11"/>
      <c r="M526" s="11"/>
      <c r="N526" s="11"/>
    </row>
    <row r="527" ht="15.75" customHeight="1">
      <c r="A527" s="11" t="s">
        <v>427</v>
      </c>
      <c r="B527" s="38">
        <v>10.55</v>
      </c>
      <c r="C527" s="11">
        <f t="shared" si="1"/>
        <v>-0.004716981132</v>
      </c>
      <c r="D527" s="13">
        <f t="shared" si="2"/>
        <v>-0.004716981132</v>
      </c>
      <c r="E527" s="11" t="s">
        <v>427</v>
      </c>
      <c r="F527" s="12">
        <v>17304.6</v>
      </c>
      <c r="G527" s="11">
        <v>-0.001016037</v>
      </c>
      <c r="H527" s="13">
        <v>-0.001</v>
      </c>
      <c r="J527" s="15"/>
      <c r="K527" s="11"/>
      <c r="L527" s="11"/>
      <c r="M527" s="11"/>
      <c r="N527" s="11"/>
    </row>
    <row r="528" ht="15.75" customHeight="1">
      <c r="A528" s="11" t="s">
        <v>428</v>
      </c>
      <c r="B528" s="38">
        <v>10.6</v>
      </c>
      <c r="C528" s="11">
        <f t="shared" si="1"/>
        <v>-0.004694835681</v>
      </c>
      <c r="D528" s="13">
        <f t="shared" si="2"/>
        <v>-0.004694835681</v>
      </c>
      <c r="E528" s="11" t="s">
        <v>428</v>
      </c>
      <c r="F528" s="12">
        <v>17322.2</v>
      </c>
      <c r="G528" s="11">
        <v>-0.00174327</v>
      </c>
      <c r="H528" s="13">
        <v>-0.0017</v>
      </c>
      <c r="J528" s="15"/>
      <c r="K528" s="11"/>
      <c r="L528" s="11"/>
      <c r="M528" s="11"/>
      <c r="N528" s="11"/>
    </row>
    <row r="529" ht="15.75" customHeight="1">
      <c r="A529" s="11" t="s">
        <v>429</v>
      </c>
      <c r="B529" s="38">
        <v>10.65</v>
      </c>
      <c r="C529" s="11">
        <f t="shared" si="1"/>
        <v>0.04926108374</v>
      </c>
      <c r="D529" s="13">
        <f t="shared" si="2"/>
        <v>0.04926108374</v>
      </c>
      <c r="E529" s="11" t="s">
        <v>429</v>
      </c>
      <c r="F529" s="12">
        <v>17352.45</v>
      </c>
      <c r="G529" s="11">
        <v>0.030259221</v>
      </c>
      <c r="H529" s="13">
        <v>0.0303</v>
      </c>
      <c r="J529" s="15"/>
      <c r="K529" s="11"/>
      <c r="L529" s="11"/>
      <c r="M529" s="11"/>
      <c r="N529" s="11"/>
    </row>
    <row r="530" ht="15.75" customHeight="1">
      <c r="A530" s="11" t="s">
        <v>430</v>
      </c>
      <c r="B530" s="38">
        <v>10.15</v>
      </c>
      <c r="C530" s="11">
        <f t="shared" si="1"/>
        <v>-0.06018518519</v>
      </c>
      <c r="D530" s="13">
        <f t="shared" si="2"/>
        <v>-0.06018518519</v>
      </c>
      <c r="E530" s="11" t="s">
        <v>430</v>
      </c>
      <c r="F530" s="12">
        <v>16842.8</v>
      </c>
      <c r="G530" s="11">
        <v>-0.030616268</v>
      </c>
      <c r="H530" s="13">
        <v>-0.0306</v>
      </c>
      <c r="J530" s="15"/>
      <c r="K530" s="11"/>
      <c r="L530" s="11"/>
      <c r="M530" s="11"/>
      <c r="N530" s="11"/>
    </row>
    <row r="531" ht="15.75" customHeight="1">
      <c r="A531" s="35">
        <v>44867.0</v>
      </c>
      <c r="B531" s="38">
        <v>10.8</v>
      </c>
      <c r="C531" s="11">
        <f t="shared" si="1"/>
        <v>-0.03139013453</v>
      </c>
      <c r="D531" s="13">
        <f t="shared" si="2"/>
        <v>-0.03139013453</v>
      </c>
      <c r="E531" s="35">
        <v>44867.0</v>
      </c>
      <c r="F531" s="12">
        <v>17374.75</v>
      </c>
      <c r="G531" s="11">
        <v>-0.013126319</v>
      </c>
      <c r="H531" s="13">
        <v>-0.0131</v>
      </c>
      <c r="J531" s="15"/>
      <c r="K531" s="11"/>
      <c r="L531" s="11"/>
      <c r="M531" s="11"/>
      <c r="N531" s="11"/>
    </row>
    <row r="532" ht="15.75" customHeight="1">
      <c r="A532" s="35">
        <v>44836.0</v>
      </c>
      <c r="B532" s="38">
        <v>11.15</v>
      </c>
      <c r="C532" s="11">
        <f t="shared" si="1"/>
        <v>0.03240740741</v>
      </c>
      <c r="D532" s="13">
        <f t="shared" si="2"/>
        <v>0.03240740741</v>
      </c>
      <c r="E532" s="35">
        <v>44836.0</v>
      </c>
      <c r="F532" s="12">
        <v>17605.85</v>
      </c>
      <c r="G532" s="11">
        <v>0.008133969</v>
      </c>
      <c r="H532" s="13">
        <v>0.0081</v>
      </c>
      <c r="J532" s="15"/>
      <c r="K532" s="11"/>
      <c r="L532" s="11"/>
      <c r="M532" s="11"/>
      <c r="N532" s="11"/>
    </row>
    <row r="533" ht="15.75" customHeight="1">
      <c r="A533" s="35">
        <v>44806.0</v>
      </c>
      <c r="B533" s="38">
        <v>10.8</v>
      </c>
      <c r="C533" s="11">
        <f t="shared" si="1"/>
        <v>-0.004608294931</v>
      </c>
      <c r="D533" s="13">
        <f t="shared" si="2"/>
        <v>-0.004608294931</v>
      </c>
      <c r="E533" s="35">
        <v>44806.0</v>
      </c>
      <c r="F533" s="12">
        <v>17463.8</v>
      </c>
      <c r="G533" s="11">
        <v>0.011412107</v>
      </c>
      <c r="H533" s="13">
        <v>0.0114</v>
      </c>
      <c r="J533" s="15"/>
      <c r="K533" s="11"/>
      <c r="L533" s="11"/>
      <c r="M533" s="11"/>
      <c r="N533" s="11"/>
    </row>
    <row r="534" ht="15.75" customHeight="1">
      <c r="A534" s="35">
        <v>44775.0</v>
      </c>
      <c r="B534" s="38">
        <v>10.85</v>
      </c>
      <c r="C534" s="11">
        <f t="shared" si="1"/>
        <v>-0.009132420091</v>
      </c>
      <c r="D534" s="13">
        <f t="shared" si="2"/>
        <v>-0.009132420091</v>
      </c>
      <c r="E534" s="35">
        <v>44775.0</v>
      </c>
      <c r="F534" s="12">
        <v>17266.75</v>
      </c>
      <c r="G534" s="11">
        <v>0.003087675</v>
      </c>
      <c r="H534" s="13">
        <v>0.0031</v>
      </c>
      <c r="J534" s="15"/>
      <c r="K534" s="11"/>
      <c r="L534" s="11"/>
      <c r="M534" s="11"/>
      <c r="N534" s="11"/>
    </row>
    <row r="535" ht="15.75" customHeight="1">
      <c r="A535" s="35">
        <v>44744.0</v>
      </c>
      <c r="B535" s="38">
        <v>10.95</v>
      </c>
      <c r="C535" s="11">
        <f t="shared" si="1"/>
        <v>-0.03097345133</v>
      </c>
      <c r="D535" s="13">
        <f t="shared" si="2"/>
        <v>-0.03097345133</v>
      </c>
      <c r="E535" s="35">
        <v>44744.0</v>
      </c>
      <c r="F535" s="12">
        <v>17213.6</v>
      </c>
      <c r="G535" s="11">
        <v>-0.017281047</v>
      </c>
      <c r="H535" s="13">
        <v>-0.0173</v>
      </c>
      <c r="J535" s="15"/>
      <c r="K535" s="11"/>
      <c r="L535" s="11"/>
      <c r="M535" s="11"/>
      <c r="N535" s="11"/>
    </row>
    <row r="536" ht="15.75" customHeight="1">
      <c r="A536" s="35">
        <v>44653.0</v>
      </c>
      <c r="B536" s="38">
        <v>11.3</v>
      </c>
      <c r="C536" s="11">
        <f t="shared" si="1"/>
        <v>-0.004405286344</v>
      </c>
      <c r="D536" s="13">
        <f t="shared" si="2"/>
        <v>-0.004405286344</v>
      </c>
      <c r="E536" s="35">
        <v>44653.0</v>
      </c>
      <c r="F536" s="12">
        <v>17516.3</v>
      </c>
      <c r="G536" s="11">
        <v>-0.002499972</v>
      </c>
      <c r="H536" s="13">
        <v>-0.0025</v>
      </c>
      <c r="J536" s="15"/>
      <c r="K536" s="11"/>
      <c r="L536" s="11"/>
      <c r="M536" s="11"/>
      <c r="N536" s="11"/>
    </row>
    <row r="537" ht="15.75" customHeight="1">
      <c r="A537" s="35">
        <v>44622.0</v>
      </c>
      <c r="B537" s="38">
        <v>11.35</v>
      </c>
      <c r="C537" s="11">
        <f t="shared" si="1"/>
        <v>-0.004385964912</v>
      </c>
      <c r="D537" s="13">
        <f t="shared" si="2"/>
        <v>-0.004385964912</v>
      </c>
      <c r="E537" s="35">
        <v>44622.0</v>
      </c>
      <c r="F537" s="12">
        <v>17560.2</v>
      </c>
      <c r="G537" s="11">
        <v>-0.012362205</v>
      </c>
      <c r="H537" s="13">
        <v>-0.0124</v>
      </c>
      <c r="J537" s="15"/>
      <c r="K537" s="11"/>
      <c r="L537" s="11"/>
      <c r="M537" s="11"/>
      <c r="N537" s="11"/>
    </row>
    <row r="538" ht="15.75" customHeight="1">
      <c r="A538" s="35">
        <v>44594.0</v>
      </c>
      <c r="B538" s="38">
        <v>11.4</v>
      </c>
      <c r="C538" s="11">
        <f t="shared" si="1"/>
        <v>0.06542056075</v>
      </c>
      <c r="D538" s="13">
        <f t="shared" si="2"/>
        <v>0.06542056075</v>
      </c>
      <c r="E538" s="35">
        <v>44594.0</v>
      </c>
      <c r="F538" s="12">
        <v>17780.0</v>
      </c>
      <c r="G538" s="11">
        <v>0.011557816</v>
      </c>
      <c r="H538" s="13">
        <v>0.0116</v>
      </c>
      <c r="J538" s="15"/>
      <c r="K538" s="11"/>
      <c r="L538" s="11"/>
      <c r="M538" s="11"/>
      <c r="N538" s="11"/>
    </row>
    <row r="539" ht="15.75" customHeight="1">
      <c r="A539" s="35">
        <v>44563.0</v>
      </c>
      <c r="B539" s="38">
        <v>10.7</v>
      </c>
      <c r="C539" s="11">
        <f t="shared" si="1"/>
        <v>0.004694835681</v>
      </c>
      <c r="D539" s="13">
        <f t="shared" si="2"/>
        <v>0.004694835681</v>
      </c>
      <c r="E539" s="35">
        <v>44563.0</v>
      </c>
      <c r="F539" s="12">
        <v>17576.85</v>
      </c>
      <c r="G539" s="11">
        <v>0.013667938</v>
      </c>
      <c r="H539" s="13">
        <v>0.0137</v>
      </c>
      <c r="J539" s="15"/>
      <c r="K539" s="11"/>
      <c r="L539" s="11"/>
      <c r="M539" s="11"/>
      <c r="N539" s="11"/>
    </row>
    <row r="540" ht="15.75" customHeight="1">
      <c r="A540" s="11" t="s">
        <v>431</v>
      </c>
      <c r="B540" s="38">
        <v>10.65</v>
      </c>
      <c r="C540" s="11">
        <f t="shared" si="1"/>
        <v>-0.01388888889</v>
      </c>
      <c r="D540" s="13">
        <f t="shared" si="2"/>
        <v>-0.01388888889</v>
      </c>
      <c r="E540" s="11" t="s">
        <v>431</v>
      </c>
      <c r="F540" s="12">
        <v>17339.85</v>
      </c>
      <c r="G540" s="11">
        <v>0.013910694</v>
      </c>
      <c r="H540" s="13">
        <v>0.0139</v>
      </c>
      <c r="J540" s="15"/>
      <c r="K540" s="11"/>
      <c r="L540" s="11"/>
      <c r="M540" s="11"/>
      <c r="N540" s="11"/>
    </row>
    <row r="541" ht="15.75" customHeight="1">
      <c r="A541" s="11" t="s">
        <v>432</v>
      </c>
      <c r="B541" s="38">
        <v>10.8</v>
      </c>
      <c r="C541" s="11">
        <f t="shared" si="1"/>
        <v>0.01408450704</v>
      </c>
      <c r="D541" s="13">
        <f t="shared" si="2"/>
        <v>0.01408450704</v>
      </c>
      <c r="E541" s="11" t="s">
        <v>432</v>
      </c>
      <c r="F541" s="12">
        <v>17101.95</v>
      </c>
      <c r="G541" s="11">
        <v>-4.79248E-4</v>
      </c>
      <c r="H541" s="13">
        <v>-5.0E-4</v>
      </c>
      <c r="J541" s="15"/>
      <c r="K541" s="11"/>
      <c r="L541" s="11"/>
      <c r="M541" s="11"/>
      <c r="N541" s="11"/>
    </row>
    <row r="542" ht="15.75" customHeight="1">
      <c r="A542" s="11" t="s">
        <v>433</v>
      </c>
      <c r="B542" s="38">
        <v>10.65</v>
      </c>
      <c r="C542" s="11">
        <f t="shared" si="1"/>
        <v>-0.05752212389</v>
      </c>
      <c r="D542" s="13">
        <f t="shared" si="2"/>
        <v>-0.05752212389</v>
      </c>
      <c r="E542" s="11" t="s">
        <v>433</v>
      </c>
      <c r="F542" s="12">
        <v>17110.15</v>
      </c>
      <c r="G542" s="11">
        <v>-0.0097118</v>
      </c>
      <c r="H542" s="13">
        <v>-0.0097</v>
      </c>
      <c r="J542" s="15"/>
      <c r="K542" s="11"/>
      <c r="L542" s="11"/>
      <c r="M542" s="11"/>
      <c r="N542" s="11"/>
    </row>
    <row r="543" ht="15.75" customHeight="1">
      <c r="A543" s="11" t="s">
        <v>434</v>
      </c>
      <c r="B543" s="38">
        <v>11.3</v>
      </c>
      <c r="C543" s="11">
        <f t="shared" si="1"/>
        <v>0.03196347032</v>
      </c>
      <c r="D543" s="13">
        <f t="shared" si="2"/>
        <v>0.03196347032</v>
      </c>
      <c r="E543" s="11" t="s">
        <v>434</v>
      </c>
      <c r="F543" s="12">
        <v>17277.95</v>
      </c>
      <c r="G543" s="11">
        <v>0.007513514</v>
      </c>
      <c r="H543" s="13">
        <v>0.0075</v>
      </c>
      <c r="J543" s="15"/>
      <c r="K543" s="11"/>
      <c r="L543" s="11"/>
      <c r="M543" s="11"/>
      <c r="N543" s="11"/>
    </row>
    <row r="544" ht="15.75" customHeight="1">
      <c r="A544" s="11" t="s">
        <v>435</v>
      </c>
      <c r="B544" s="38">
        <v>10.95</v>
      </c>
      <c r="C544" s="11">
        <f t="shared" si="1"/>
        <v>-0.07594936709</v>
      </c>
      <c r="D544" s="13">
        <f t="shared" si="2"/>
        <v>-0.07594936709</v>
      </c>
      <c r="E544" s="11" t="s">
        <v>435</v>
      </c>
      <c r="F544" s="12">
        <v>17149.1</v>
      </c>
      <c r="G544" s="11">
        <v>-0.026567861</v>
      </c>
      <c r="H544" s="13">
        <v>-0.0266</v>
      </c>
      <c r="J544" s="15"/>
      <c r="K544" s="11"/>
      <c r="L544" s="11"/>
      <c r="M544" s="11"/>
      <c r="N544" s="11"/>
    </row>
    <row r="545" ht="15.75" customHeight="1">
      <c r="A545" s="11" t="s">
        <v>436</v>
      </c>
      <c r="B545" s="38">
        <v>11.85</v>
      </c>
      <c r="C545" s="11">
        <f t="shared" si="1"/>
        <v>-0.01659751037</v>
      </c>
      <c r="D545" s="13">
        <f t="shared" si="2"/>
        <v>-0.01659751037</v>
      </c>
      <c r="E545" s="11" t="s">
        <v>436</v>
      </c>
      <c r="F545" s="12">
        <v>17617.15</v>
      </c>
      <c r="G545" s="11">
        <v>-0.007875767</v>
      </c>
      <c r="H545" s="13">
        <v>-0.0079</v>
      </c>
      <c r="J545" s="15"/>
      <c r="K545" s="11"/>
      <c r="L545" s="11"/>
      <c r="M545" s="11"/>
      <c r="N545" s="11"/>
    </row>
    <row r="546" ht="15.75" customHeight="1">
      <c r="A546" s="11" t="s">
        <v>437</v>
      </c>
      <c r="B546" s="38">
        <v>12.05</v>
      </c>
      <c r="C546" s="11">
        <f t="shared" si="1"/>
        <v>0.008368200837</v>
      </c>
      <c r="D546" s="13">
        <f t="shared" si="2"/>
        <v>0.008368200837</v>
      </c>
      <c r="E546" s="11" t="s">
        <v>437</v>
      </c>
      <c r="F546" s="12">
        <v>17757.0</v>
      </c>
      <c r="G546" s="11">
        <v>-0.010112385</v>
      </c>
      <c r="H546" s="13">
        <v>-0.0101</v>
      </c>
      <c r="J546" s="15"/>
      <c r="K546" s="11"/>
      <c r="L546" s="11"/>
      <c r="M546" s="11"/>
      <c r="N546" s="11"/>
    </row>
    <row r="547" ht="15.75" customHeight="1">
      <c r="A547" s="11" t="s">
        <v>438</v>
      </c>
      <c r="B547" s="38">
        <v>11.95</v>
      </c>
      <c r="C547" s="11">
        <f t="shared" si="1"/>
        <v>-0.008298755187</v>
      </c>
      <c r="D547" s="13">
        <f t="shared" si="2"/>
        <v>-0.008298755187</v>
      </c>
      <c r="E547" s="11" t="s">
        <v>438</v>
      </c>
      <c r="F547" s="12">
        <v>17938.4</v>
      </c>
      <c r="G547" s="11">
        <v>-0.009642219</v>
      </c>
      <c r="H547" s="13">
        <v>-0.0096</v>
      </c>
      <c r="J547" s="15"/>
      <c r="K547" s="11"/>
      <c r="L547" s="11"/>
      <c r="M547" s="11"/>
      <c r="N547" s="11"/>
    </row>
    <row r="548" ht="15.75" customHeight="1">
      <c r="A548" s="11" t="s">
        <v>439</v>
      </c>
      <c r="B548" s="38">
        <v>12.05</v>
      </c>
      <c r="C548" s="11">
        <f t="shared" si="1"/>
        <v>-0.036</v>
      </c>
      <c r="D548" s="13">
        <f t="shared" si="2"/>
        <v>-0.036</v>
      </c>
      <c r="E548" s="11" t="s">
        <v>439</v>
      </c>
      <c r="F548" s="12">
        <v>18113.05</v>
      </c>
      <c r="G548" s="11">
        <v>-0.010653754</v>
      </c>
      <c r="H548" s="13">
        <v>-0.0107</v>
      </c>
      <c r="J548" s="15"/>
      <c r="K548" s="11"/>
      <c r="L548" s="11"/>
      <c r="M548" s="11"/>
      <c r="N548" s="11"/>
    </row>
    <row r="549" ht="15.75" customHeight="1">
      <c r="A549" s="11" t="s">
        <v>440</v>
      </c>
      <c r="B549" s="38">
        <v>12.5</v>
      </c>
      <c r="C549" s="11">
        <f t="shared" si="1"/>
        <v>-0.01960784314</v>
      </c>
      <c r="D549" s="13">
        <f t="shared" si="2"/>
        <v>-0.01960784314</v>
      </c>
      <c r="E549" s="11" t="s">
        <v>440</v>
      </c>
      <c r="F549" s="12">
        <v>18308.1</v>
      </c>
      <c r="G549" s="11">
        <v>0.00286759</v>
      </c>
      <c r="H549" s="13">
        <v>0.0029</v>
      </c>
      <c r="J549" s="15"/>
      <c r="K549" s="11"/>
      <c r="L549" s="11"/>
      <c r="M549" s="11"/>
      <c r="N549" s="11"/>
    </row>
    <row r="550" ht="15.75" customHeight="1">
      <c r="A550" s="11" t="s">
        <v>441</v>
      </c>
      <c r="B550" s="38">
        <v>12.75</v>
      </c>
      <c r="C550" s="11">
        <f t="shared" si="1"/>
        <v>-0.00390625</v>
      </c>
      <c r="D550" s="13">
        <f t="shared" si="2"/>
        <v>-0.00390625</v>
      </c>
      <c r="E550" s="11" t="s">
        <v>441</v>
      </c>
      <c r="F550" s="12">
        <v>18255.75</v>
      </c>
      <c r="G550" s="11">
        <v>-1.12281E-4</v>
      </c>
      <c r="H550" s="13">
        <v>-1.0E-4</v>
      </c>
      <c r="J550" s="15"/>
      <c r="K550" s="11"/>
      <c r="L550" s="11"/>
      <c r="M550" s="11"/>
      <c r="N550" s="11"/>
    </row>
    <row r="551" ht="15.75" customHeight="1">
      <c r="A551" s="11" t="s">
        <v>442</v>
      </c>
      <c r="B551" s="38">
        <v>12.8</v>
      </c>
      <c r="C551" s="11">
        <f t="shared" si="1"/>
        <v>0</v>
      </c>
      <c r="D551" s="13">
        <f t="shared" si="2"/>
        <v>0</v>
      </c>
      <c r="E551" s="11" t="s">
        <v>442</v>
      </c>
      <c r="F551" s="12">
        <v>18257.8</v>
      </c>
      <c r="G551" s="11">
        <v>0.002495559</v>
      </c>
      <c r="H551" s="13">
        <v>0.0025</v>
      </c>
      <c r="J551" s="15"/>
      <c r="K551" s="11"/>
      <c r="L551" s="11"/>
      <c r="M551" s="11"/>
      <c r="N551" s="11"/>
    </row>
    <row r="552" ht="15.75" customHeight="1">
      <c r="A552" s="35">
        <v>44896.0</v>
      </c>
      <c r="B552" s="38">
        <v>12.8</v>
      </c>
      <c r="C552" s="11">
        <f t="shared" si="1"/>
        <v>0.08474576271</v>
      </c>
      <c r="D552" s="13">
        <f t="shared" si="2"/>
        <v>0.08474576271</v>
      </c>
      <c r="E552" s="35">
        <v>44896.0</v>
      </c>
      <c r="F552" s="12">
        <v>18212.35</v>
      </c>
      <c r="G552" s="11">
        <v>0.008673137</v>
      </c>
      <c r="H552" s="13">
        <v>0.0087</v>
      </c>
      <c r="J552" s="15"/>
      <c r="K552" s="11"/>
      <c r="L552" s="11"/>
      <c r="M552" s="11"/>
      <c r="N552" s="11"/>
    </row>
    <row r="553" ht="15.75" customHeight="1">
      <c r="A553" s="35">
        <v>44866.0</v>
      </c>
      <c r="B553" s="38">
        <v>11.8</v>
      </c>
      <c r="C553" s="11">
        <f t="shared" si="1"/>
        <v>-0.2053872054</v>
      </c>
      <c r="D553" s="13">
        <f t="shared" si="2"/>
        <v>-0.2053872054</v>
      </c>
      <c r="E553" s="35">
        <v>44866.0</v>
      </c>
      <c r="F553" s="12">
        <v>18055.75</v>
      </c>
      <c r="G553" s="11">
        <v>0.002913355</v>
      </c>
      <c r="H553" s="13">
        <v>0.0029</v>
      </c>
      <c r="J553" s="15"/>
      <c r="K553" s="11"/>
      <c r="L553" s="11"/>
      <c r="M553" s="11"/>
      <c r="N553" s="11"/>
    </row>
    <row r="554" ht="15.75" customHeight="1">
      <c r="A554" s="35">
        <v>44835.0</v>
      </c>
      <c r="B554" s="38">
        <v>14.85</v>
      </c>
      <c r="C554" s="11">
        <f t="shared" si="1"/>
        <v>-0.01655629139</v>
      </c>
      <c r="D554" s="13">
        <f t="shared" si="2"/>
        <v>-0.01655629139</v>
      </c>
      <c r="E554" s="35">
        <v>44835.0</v>
      </c>
      <c r="F554" s="12">
        <v>18003.3</v>
      </c>
      <c r="G554" s="11">
        <v>0.010700231</v>
      </c>
      <c r="H554" s="13">
        <v>0.0107</v>
      </c>
      <c r="J554" s="15"/>
      <c r="K554" s="11"/>
      <c r="L554" s="11"/>
      <c r="M554" s="11"/>
      <c r="N554" s="11"/>
    </row>
    <row r="555" ht="15.75" customHeight="1">
      <c r="A555" s="35">
        <v>44743.0</v>
      </c>
      <c r="B555" s="38">
        <v>15.1</v>
      </c>
      <c r="C555" s="11">
        <f t="shared" si="1"/>
        <v>-0.01307189542</v>
      </c>
      <c r="D555" s="13">
        <f t="shared" si="2"/>
        <v>-0.01307189542</v>
      </c>
      <c r="E555" s="35">
        <v>44743.0</v>
      </c>
      <c r="F555" s="12">
        <v>17812.7</v>
      </c>
      <c r="G555" s="11">
        <v>0.00376425</v>
      </c>
      <c r="H555" s="13">
        <v>0.0038</v>
      </c>
      <c r="J555" s="15"/>
      <c r="K555" s="11"/>
      <c r="L555" s="11"/>
      <c r="M555" s="11"/>
      <c r="N555" s="11"/>
    </row>
    <row r="556" ht="15.75" customHeight="1">
      <c r="A556" s="35">
        <v>44713.0</v>
      </c>
      <c r="B556" s="38">
        <v>15.3</v>
      </c>
      <c r="C556" s="11">
        <f t="shared" si="1"/>
        <v>0.01324503311</v>
      </c>
      <c r="D556" s="13">
        <f t="shared" si="2"/>
        <v>0.01324503311</v>
      </c>
      <c r="E556" s="35">
        <v>44713.0</v>
      </c>
      <c r="F556" s="12">
        <v>17745.9</v>
      </c>
      <c r="G556" s="11">
        <v>-0.010005439</v>
      </c>
      <c r="H556" s="13">
        <v>-0.01</v>
      </c>
      <c r="J556" s="15"/>
      <c r="K556" s="11"/>
      <c r="L556" s="11"/>
      <c r="M556" s="11"/>
      <c r="N556" s="11"/>
    </row>
    <row r="557" ht="15.75" customHeight="1">
      <c r="A557" s="35">
        <v>44682.0</v>
      </c>
      <c r="B557" s="38">
        <v>15.1</v>
      </c>
      <c r="C557" s="11">
        <f t="shared" si="1"/>
        <v>-0.009836065574</v>
      </c>
      <c r="D557" s="13">
        <f t="shared" si="2"/>
        <v>-0.009836065574</v>
      </c>
      <c r="E557" s="35">
        <v>44682.0</v>
      </c>
      <c r="F557" s="12">
        <v>17925.25</v>
      </c>
      <c r="G557" s="11">
        <v>0.006739585</v>
      </c>
      <c r="H557" s="13">
        <v>0.0067</v>
      </c>
      <c r="J557" s="15"/>
      <c r="K557" s="11"/>
      <c r="L557" s="11"/>
      <c r="M557" s="11"/>
      <c r="N557" s="11"/>
    </row>
    <row r="558" ht="15.75" customHeight="1">
      <c r="A558" s="35">
        <v>44652.0</v>
      </c>
      <c r="B558" s="38">
        <v>15.25</v>
      </c>
      <c r="C558" s="11">
        <f t="shared" si="1"/>
        <v>-0.0192926045</v>
      </c>
      <c r="D558" s="13">
        <f t="shared" si="2"/>
        <v>-0.0192926045</v>
      </c>
      <c r="E558" s="35">
        <v>44652.0</v>
      </c>
      <c r="F558" s="12">
        <v>17805.25</v>
      </c>
      <c r="G558" s="11">
        <v>0.010186829</v>
      </c>
      <c r="H558" s="13">
        <v>0.0102</v>
      </c>
      <c r="J558" s="15"/>
      <c r="K558" s="11"/>
      <c r="L558" s="11"/>
      <c r="M558" s="11"/>
      <c r="N558" s="11"/>
    </row>
    <row r="559" ht="15.75" customHeight="1">
      <c r="A559" s="35">
        <v>44621.0</v>
      </c>
      <c r="B559" s="38">
        <v>15.55</v>
      </c>
      <c r="C559" s="11">
        <f t="shared" si="1"/>
        <v>0.01302931596</v>
      </c>
      <c r="D559" s="13">
        <f t="shared" si="2"/>
        <v>0.01302931596</v>
      </c>
      <c r="E559" s="35">
        <v>44621.0</v>
      </c>
      <c r="F559" s="12">
        <v>17625.7</v>
      </c>
      <c r="G559" s="11">
        <v>0.015653407</v>
      </c>
      <c r="H559" s="13">
        <v>0.0157</v>
      </c>
      <c r="J559" s="15"/>
      <c r="K559" s="11"/>
      <c r="L559" s="11"/>
      <c r="M559" s="11"/>
      <c r="N559" s="11"/>
    </row>
    <row r="560" ht="15.75" customHeight="1">
      <c r="A560" s="11" t="s">
        <v>443</v>
      </c>
      <c r="B560" s="38">
        <v>15.35</v>
      </c>
      <c r="C560" s="11">
        <f t="shared" si="1"/>
        <v>0.09642857143</v>
      </c>
      <c r="D560" s="13">
        <f t="shared" si="2"/>
        <v>0.09642857143</v>
      </c>
      <c r="E560" s="11" t="s">
        <v>443</v>
      </c>
      <c r="F560" s="12">
        <v>17354.05</v>
      </c>
      <c r="G560" s="11">
        <v>0.008724741</v>
      </c>
      <c r="H560" s="13">
        <v>0.0087</v>
      </c>
      <c r="J560" s="15"/>
      <c r="K560" s="11"/>
      <c r="L560" s="11"/>
      <c r="M560" s="11"/>
      <c r="N560" s="11"/>
    </row>
    <row r="561" ht="15.75" customHeight="1">
      <c r="A561" s="11" t="s">
        <v>444</v>
      </c>
      <c r="B561" s="38">
        <v>14.0</v>
      </c>
      <c r="C561" s="11">
        <f t="shared" si="1"/>
        <v>-0.03114186851</v>
      </c>
      <c r="D561" s="13">
        <f t="shared" si="2"/>
        <v>-0.03114186851</v>
      </c>
      <c r="E561" s="11" t="s">
        <v>444</v>
      </c>
      <c r="F561" s="12">
        <v>17203.95</v>
      </c>
      <c r="G561" s="11">
        <v>-5.60603E-4</v>
      </c>
      <c r="H561" s="13">
        <v>-6.0E-4</v>
      </c>
      <c r="J561" s="15"/>
      <c r="K561" s="11"/>
      <c r="L561" s="11"/>
      <c r="M561" s="11"/>
      <c r="N561" s="11"/>
    </row>
    <row r="562" ht="15.75" customHeight="1">
      <c r="A562" s="11" t="s">
        <v>445</v>
      </c>
      <c r="B562" s="38">
        <v>14.45</v>
      </c>
      <c r="C562" s="11">
        <f t="shared" si="1"/>
        <v>0.05090909091</v>
      </c>
      <c r="D562" s="13">
        <f t="shared" si="2"/>
        <v>0.05090909091</v>
      </c>
      <c r="E562" s="11" t="s">
        <v>445</v>
      </c>
      <c r="F562" s="12">
        <v>17213.6</v>
      </c>
      <c r="G562" s="11">
        <v>-0.001140238</v>
      </c>
      <c r="H562" s="13">
        <v>-0.0011</v>
      </c>
      <c r="J562" s="15"/>
      <c r="K562" s="11"/>
      <c r="L562" s="11"/>
      <c r="M562" s="11"/>
      <c r="N562" s="11"/>
    </row>
    <row r="563" ht="15.75" customHeight="1">
      <c r="A563" s="11" t="s">
        <v>446</v>
      </c>
      <c r="B563" s="38">
        <v>13.75</v>
      </c>
      <c r="C563" s="11">
        <f t="shared" si="1"/>
        <v>0.02230483271</v>
      </c>
      <c r="D563" s="13">
        <f t="shared" si="2"/>
        <v>0.02230483271</v>
      </c>
      <c r="E563" s="11" t="s">
        <v>446</v>
      </c>
      <c r="F563" s="12">
        <v>17233.25</v>
      </c>
      <c r="G563" s="11">
        <v>0.008603409</v>
      </c>
      <c r="H563" s="13">
        <v>0.0086</v>
      </c>
      <c r="J563" s="15"/>
      <c r="K563" s="11"/>
      <c r="L563" s="11"/>
      <c r="M563" s="11"/>
      <c r="N563" s="11"/>
    </row>
    <row r="564" ht="15.75" customHeight="1">
      <c r="A564" s="11" t="s">
        <v>447</v>
      </c>
      <c r="B564" s="38">
        <v>13.45</v>
      </c>
      <c r="C564" s="11">
        <f t="shared" si="1"/>
        <v>-0.01465201465</v>
      </c>
      <c r="D564" s="13">
        <f t="shared" si="2"/>
        <v>-0.01465201465</v>
      </c>
      <c r="E564" s="11" t="s">
        <v>447</v>
      </c>
      <c r="F564" s="12">
        <v>17086.25</v>
      </c>
      <c r="G564" s="11">
        <v>0.004851871</v>
      </c>
      <c r="H564" s="13">
        <v>0.0049</v>
      </c>
      <c r="J564" s="15"/>
      <c r="K564" s="11"/>
      <c r="L564" s="11"/>
      <c r="M564" s="11"/>
      <c r="N564" s="11"/>
    </row>
    <row r="565" ht="15.75" customHeight="1">
      <c r="A565" s="11" t="s">
        <v>448</v>
      </c>
      <c r="B565" s="38">
        <v>13.65</v>
      </c>
      <c r="C565" s="11">
        <f t="shared" si="1"/>
        <v>-0.01086956522</v>
      </c>
      <c r="D565" s="13">
        <f t="shared" si="2"/>
        <v>-0.01086956522</v>
      </c>
      <c r="E565" s="11" t="s">
        <v>448</v>
      </c>
      <c r="F565" s="12">
        <v>17003.75</v>
      </c>
      <c r="G565" s="11">
        <v>-0.004032778</v>
      </c>
      <c r="H565" s="13">
        <v>-0.004</v>
      </c>
      <c r="J565" s="15"/>
      <c r="K565" s="11"/>
      <c r="L565" s="11"/>
      <c r="M565" s="11"/>
      <c r="N565" s="11"/>
    </row>
    <row r="566" ht="15.75" customHeight="1">
      <c r="A566" s="11" t="s">
        <v>449</v>
      </c>
      <c r="B566" s="38">
        <v>13.8</v>
      </c>
      <c r="C566" s="11">
        <f t="shared" si="1"/>
        <v>-0.007194244604</v>
      </c>
      <c r="D566" s="13">
        <f t="shared" si="2"/>
        <v>-0.007194244604</v>
      </c>
      <c r="E566" s="11" t="s">
        <v>449</v>
      </c>
      <c r="F566" s="12">
        <v>17072.6</v>
      </c>
      <c r="G566" s="11">
        <v>0.006909283</v>
      </c>
      <c r="H566" s="13">
        <v>0.0069</v>
      </c>
      <c r="J566" s="15"/>
      <c r="K566" s="11"/>
      <c r="L566" s="11"/>
      <c r="M566" s="11"/>
      <c r="N566" s="11"/>
    </row>
    <row r="567" ht="15.75" customHeight="1">
      <c r="A567" s="11" t="s">
        <v>450</v>
      </c>
      <c r="B567" s="38">
        <v>13.9</v>
      </c>
      <c r="C567" s="11">
        <f t="shared" si="1"/>
        <v>-0.003584229391</v>
      </c>
      <c r="D567" s="13">
        <f t="shared" si="2"/>
        <v>-0.003584229391</v>
      </c>
      <c r="E567" s="11" t="s">
        <v>450</v>
      </c>
      <c r="F567" s="12">
        <v>16955.45</v>
      </c>
      <c r="G567" s="11">
        <v>0.011007194</v>
      </c>
      <c r="H567" s="13">
        <v>0.011</v>
      </c>
      <c r="J567" s="15"/>
      <c r="K567" s="11"/>
      <c r="L567" s="11"/>
      <c r="M567" s="11"/>
      <c r="N567" s="11"/>
    </row>
    <row r="568" ht="15.75" customHeight="1">
      <c r="A568" s="11" t="s">
        <v>451</v>
      </c>
      <c r="B568" s="38">
        <v>13.95</v>
      </c>
      <c r="C568" s="11">
        <f t="shared" si="1"/>
        <v>0.02197802198</v>
      </c>
      <c r="D568" s="13">
        <f t="shared" si="2"/>
        <v>0.02197802198</v>
      </c>
      <c r="E568" s="11" t="s">
        <v>451</v>
      </c>
      <c r="F568" s="12">
        <v>16770.85</v>
      </c>
      <c r="G568" s="11">
        <v>0.009428681</v>
      </c>
      <c r="H568" s="13">
        <v>0.0094</v>
      </c>
      <c r="J568" s="15"/>
      <c r="K568" s="11"/>
      <c r="L568" s="11"/>
      <c r="M568" s="11"/>
      <c r="N568" s="11"/>
    </row>
    <row r="569" ht="15.75" customHeight="1">
      <c r="A569" s="11" t="s">
        <v>452</v>
      </c>
      <c r="B569" s="38">
        <v>13.65</v>
      </c>
      <c r="C569" s="11">
        <f t="shared" si="1"/>
        <v>-0.02846975089</v>
      </c>
      <c r="D569" s="13">
        <f t="shared" si="2"/>
        <v>-0.02846975089</v>
      </c>
      <c r="E569" s="11" t="s">
        <v>452</v>
      </c>
      <c r="F569" s="12">
        <v>16614.2</v>
      </c>
      <c r="G569" s="11">
        <v>-0.021842545</v>
      </c>
      <c r="H569" s="13">
        <v>-0.0218</v>
      </c>
      <c r="J569" s="15"/>
      <c r="K569" s="11"/>
      <c r="L569" s="11"/>
      <c r="M569" s="11"/>
      <c r="N569" s="11"/>
    </row>
    <row r="570" ht="15.75" customHeight="1">
      <c r="A570" s="11" t="s">
        <v>453</v>
      </c>
      <c r="B570" s="38">
        <v>14.05</v>
      </c>
      <c r="C570" s="11">
        <f t="shared" si="1"/>
        <v>-0.04421768707</v>
      </c>
      <c r="D570" s="13">
        <f t="shared" si="2"/>
        <v>-0.04421768707</v>
      </c>
      <c r="E570" s="11" t="s">
        <v>453</v>
      </c>
      <c r="F570" s="12">
        <v>16985.2</v>
      </c>
      <c r="G570" s="11">
        <v>-0.015259386</v>
      </c>
      <c r="H570" s="13">
        <v>-0.0153</v>
      </c>
      <c r="J570" s="15"/>
      <c r="K570" s="11"/>
      <c r="L570" s="11"/>
      <c r="M570" s="11"/>
      <c r="N570" s="11"/>
    </row>
    <row r="571" ht="15.75" customHeight="1">
      <c r="A571" s="11" t="s">
        <v>454</v>
      </c>
      <c r="B571" s="38">
        <v>14.7</v>
      </c>
      <c r="C571" s="11">
        <f t="shared" si="1"/>
        <v>-0.01672240803</v>
      </c>
      <c r="D571" s="13">
        <f t="shared" si="2"/>
        <v>-0.01672240803</v>
      </c>
      <c r="E571" s="11" t="s">
        <v>454</v>
      </c>
      <c r="F571" s="12">
        <v>17248.4</v>
      </c>
      <c r="G571" s="11">
        <v>0.001567817</v>
      </c>
      <c r="H571" s="13">
        <v>0.0016</v>
      </c>
      <c r="J571" s="15"/>
      <c r="K571" s="11"/>
      <c r="L571" s="11"/>
      <c r="M571" s="11"/>
      <c r="N571" s="11"/>
    </row>
    <row r="572" ht="15.75" customHeight="1">
      <c r="A572" s="11" t="s">
        <v>455</v>
      </c>
      <c r="B572" s="38">
        <v>14.95</v>
      </c>
      <c r="C572" s="11">
        <f t="shared" si="1"/>
        <v>-0.01967213115</v>
      </c>
      <c r="D572" s="13">
        <f t="shared" si="2"/>
        <v>-0.01967213115</v>
      </c>
      <c r="E572" s="11" t="s">
        <v>455</v>
      </c>
      <c r="F572" s="12">
        <v>17221.4</v>
      </c>
      <c r="G572" s="11">
        <v>-0.00597406</v>
      </c>
      <c r="H572" s="13">
        <v>-0.006</v>
      </c>
      <c r="J572" s="15"/>
      <c r="K572" s="11"/>
      <c r="L572" s="11"/>
      <c r="M572" s="11"/>
      <c r="N572" s="11"/>
    </row>
    <row r="573" ht="15.75" customHeight="1">
      <c r="A573" s="11" t="s">
        <v>456</v>
      </c>
      <c r="B573" s="38">
        <v>15.25</v>
      </c>
      <c r="C573" s="11">
        <f t="shared" si="1"/>
        <v>-0.01612903226</v>
      </c>
      <c r="D573" s="13">
        <f t="shared" si="2"/>
        <v>-0.01612903226</v>
      </c>
      <c r="E573" s="11" t="s">
        <v>456</v>
      </c>
      <c r="F573" s="12">
        <v>17324.9</v>
      </c>
      <c r="G573" s="11">
        <v>-0.002495934</v>
      </c>
      <c r="H573" s="13">
        <v>-0.0025</v>
      </c>
      <c r="J573" s="15"/>
      <c r="K573" s="11"/>
      <c r="L573" s="11"/>
      <c r="M573" s="11"/>
      <c r="N573" s="11"/>
    </row>
    <row r="574" ht="15.75" customHeight="1">
      <c r="A574" s="11" t="s">
        <v>457</v>
      </c>
      <c r="B574" s="38">
        <v>15.5</v>
      </c>
      <c r="C574" s="11">
        <f t="shared" si="1"/>
        <v>-0.05487804878</v>
      </c>
      <c r="D574" s="13">
        <f t="shared" si="2"/>
        <v>-0.05487804878</v>
      </c>
      <c r="E574" s="11" t="s">
        <v>457</v>
      </c>
      <c r="F574" s="12">
        <v>17368.25</v>
      </c>
      <c r="G574" s="11">
        <v>-0.008169011</v>
      </c>
      <c r="H574" s="13">
        <v>-0.0082</v>
      </c>
      <c r="J574" s="15"/>
      <c r="K574" s="11"/>
      <c r="L574" s="11"/>
      <c r="M574" s="11"/>
      <c r="N574" s="11"/>
    </row>
    <row r="575" ht="15.75" customHeight="1">
      <c r="A575" s="55">
        <v>44481.0</v>
      </c>
      <c r="B575" s="38">
        <v>16.4</v>
      </c>
      <c r="C575" s="11">
        <f t="shared" si="1"/>
        <v>0</v>
      </c>
      <c r="D575" s="13">
        <f t="shared" si="2"/>
        <v>0</v>
      </c>
      <c r="E575" s="55">
        <v>44481.0</v>
      </c>
      <c r="F575" s="12">
        <v>17511.3</v>
      </c>
      <c r="G575" s="11">
        <v>-3.16838E-4</v>
      </c>
      <c r="H575" s="13">
        <v>-3.0E-4</v>
      </c>
      <c r="J575" s="15"/>
      <c r="K575" s="11"/>
      <c r="L575" s="11"/>
      <c r="M575" s="11"/>
      <c r="N575" s="11"/>
    </row>
    <row r="576" ht="15.75" customHeight="1">
      <c r="A576" s="35">
        <v>44451.0</v>
      </c>
      <c r="B576" s="38">
        <v>16.4</v>
      </c>
      <c r="C576" s="11">
        <f t="shared" si="1"/>
        <v>0.1468531469</v>
      </c>
      <c r="D576" s="13">
        <f t="shared" si="2"/>
        <v>0.1468531469</v>
      </c>
      <c r="E576" s="35">
        <v>44451.0</v>
      </c>
      <c r="F576" s="12">
        <v>17516.85</v>
      </c>
      <c r="G576" s="11">
        <v>0.002696089</v>
      </c>
      <c r="H576" s="13">
        <v>0.0027</v>
      </c>
      <c r="J576" s="15"/>
      <c r="K576" s="11"/>
      <c r="L576" s="11"/>
      <c r="M576" s="11"/>
      <c r="N576" s="11"/>
    </row>
    <row r="577" ht="15.75" customHeight="1">
      <c r="A577" s="35">
        <v>44420.0</v>
      </c>
      <c r="B577" s="38">
        <v>14.3</v>
      </c>
      <c r="C577" s="11">
        <f t="shared" si="1"/>
        <v>0.00350877193</v>
      </c>
      <c r="D577" s="13">
        <f t="shared" si="2"/>
        <v>0.00350877193</v>
      </c>
      <c r="E577" s="35">
        <v>44420.0</v>
      </c>
      <c r="F577" s="12">
        <v>17469.75</v>
      </c>
      <c r="G577" s="11">
        <v>0.017060902</v>
      </c>
      <c r="H577" s="13">
        <v>0.0171</v>
      </c>
      <c r="J577" s="15"/>
      <c r="K577" s="11"/>
      <c r="L577" s="11"/>
      <c r="M577" s="11"/>
      <c r="N577" s="11"/>
    </row>
    <row r="578" ht="15.75" customHeight="1">
      <c r="A578" s="35">
        <v>44389.0</v>
      </c>
      <c r="B578" s="38">
        <v>14.25</v>
      </c>
      <c r="C578" s="11">
        <f t="shared" si="1"/>
        <v>-0.05</v>
      </c>
      <c r="D578" s="13">
        <f t="shared" si="2"/>
        <v>-0.05</v>
      </c>
      <c r="E578" s="35">
        <v>44389.0</v>
      </c>
      <c r="F578" s="12">
        <v>17176.7</v>
      </c>
      <c r="G578" s="11">
        <v>0.015636595</v>
      </c>
      <c r="H578" s="13">
        <v>0.0156</v>
      </c>
      <c r="J578" s="15"/>
      <c r="K578" s="11"/>
      <c r="L578" s="11"/>
      <c r="M578" s="11"/>
      <c r="N578" s="11"/>
    </row>
    <row r="579" ht="15.75" customHeight="1">
      <c r="A579" s="35">
        <v>44359.0</v>
      </c>
      <c r="B579" s="38">
        <v>15.0</v>
      </c>
      <c r="C579" s="11">
        <f t="shared" si="1"/>
        <v>0.03806228374</v>
      </c>
      <c r="D579" s="13">
        <f t="shared" si="2"/>
        <v>0.03806228374</v>
      </c>
      <c r="E579" s="35">
        <v>44359.0</v>
      </c>
      <c r="F579" s="12">
        <v>16912.25</v>
      </c>
      <c r="G579" s="11">
        <v>-0.016540964</v>
      </c>
      <c r="H579" s="13">
        <v>-0.0165</v>
      </c>
      <c r="J579" s="15"/>
      <c r="K579" s="11"/>
      <c r="L579" s="11"/>
      <c r="M579" s="11"/>
      <c r="N579" s="11"/>
    </row>
    <row r="580" ht="15.75" customHeight="1">
      <c r="A580" s="35">
        <v>44267.0</v>
      </c>
      <c r="B580" s="38">
        <v>14.45</v>
      </c>
      <c r="C580" s="11">
        <f t="shared" si="1"/>
        <v>0.12890625</v>
      </c>
      <c r="D580" s="13">
        <f t="shared" si="2"/>
        <v>0.12890625</v>
      </c>
      <c r="E580" s="35">
        <v>44267.0</v>
      </c>
      <c r="F580" s="12">
        <v>17196.7</v>
      </c>
      <c r="G580" s="11">
        <v>-0.011777619</v>
      </c>
      <c r="H580" s="13">
        <v>-0.0118</v>
      </c>
      <c r="J580" s="15"/>
      <c r="K580" s="11"/>
      <c r="L580" s="11"/>
      <c r="M580" s="11"/>
      <c r="N580" s="11"/>
    </row>
    <row r="581" ht="15.75" customHeight="1">
      <c r="A581" s="35">
        <v>44239.0</v>
      </c>
      <c r="B581" s="38">
        <v>12.8</v>
      </c>
      <c r="C581" s="11">
        <f t="shared" si="1"/>
        <v>0</v>
      </c>
      <c r="D581" s="13">
        <f t="shared" si="2"/>
        <v>0</v>
      </c>
      <c r="E581" s="35">
        <v>44239.0</v>
      </c>
      <c r="F581" s="12">
        <v>17401.65</v>
      </c>
      <c r="G581" s="11">
        <v>0.013674571</v>
      </c>
      <c r="H581" s="13">
        <v>0.0137</v>
      </c>
      <c r="J581" s="15"/>
      <c r="K581" s="11"/>
      <c r="L581" s="11"/>
      <c r="M581" s="11"/>
      <c r="N581" s="11"/>
    </row>
    <row r="582" ht="15.75" customHeight="1">
      <c r="A582" s="35">
        <v>44208.0</v>
      </c>
      <c r="B582" s="38">
        <v>12.8</v>
      </c>
      <c r="C582" s="11">
        <f t="shared" si="1"/>
        <v>0.1583710407</v>
      </c>
      <c r="D582" s="13">
        <f t="shared" si="2"/>
        <v>0.1583710407</v>
      </c>
      <c r="E582" s="35">
        <v>44208.0</v>
      </c>
      <c r="F582" s="12">
        <v>17166.9</v>
      </c>
      <c r="G582" s="11">
        <v>0.010816572</v>
      </c>
      <c r="H582" s="13">
        <v>0.0108</v>
      </c>
      <c r="J582" s="15"/>
      <c r="K582" s="11"/>
      <c r="L582" s="11"/>
      <c r="M582" s="11"/>
      <c r="N582" s="11"/>
    </row>
    <row r="583" ht="15.75" customHeight="1">
      <c r="A583" s="11" t="s">
        <v>458</v>
      </c>
      <c r="B583" s="38">
        <v>11.05</v>
      </c>
      <c r="C583" s="11">
        <f t="shared" si="1"/>
        <v>-0.01339285714</v>
      </c>
      <c r="D583" s="13">
        <f t="shared" si="2"/>
        <v>-0.01339285714</v>
      </c>
      <c r="E583" s="11" t="s">
        <v>458</v>
      </c>
      <c r="F583" s="12">
        <v>16983.2</v>
      </c>
      <c r="G583" s="11">
        <v>-0.004148599</v>
      </c>
      <c r="H583" s="13">
        <v>-0.0041</v>
      </c>
      <c r="J583" s="15"/>
      <c r="K583" s="11"/>
      <c r="L583" s="11"/>
      <c r="M583" s="11"/>
      <c r="N583" s="11"/>
    </row>
    <row r="584" ht="15.75" customHeight="1">
      <c r="A584" s="11" t="s">
        <v>459</v>
      </c>
      <c r="B584" s="38">
        <v>11.2</v>
      </c>
      <c r="C584" s="11">
        <f t="shared" si="1"/>
        <v>0.03225806452</v>
      </c>
      <c r="D584" s="13">
        <f t="shared" si="2"/>
        <v>0.03225806452</v>
      </c>
      <c r="E584" s="11" t="s">
        <v>459</v>
      </c>
      <c r="F584" s="12">
        <v>17053.95</v>
      </c>
      <c r="G584" s="11">
        <v>0.001615134</v>
      </c>
      <c r="H584" s="13">
        <v>0.0016</v>
      </c>
      <c r="J584" s="15"/>
      <c r="K584" s="11"/>
      <c r="L584" s="11"/>
      <c r="M584" s="11"/>
      <c r="N584" s="11"/>
    </row>
    <row r="585" ht="15.75" customHeight="1">
      <c r="A585" s="11" t="s">
        <v>460</v>
      </c>
      <c r="B585" s="38">
        <v>10.85</v>
      </c>
      <c r="C585" s="11">
        <f t="shared" si="1"/>
        <v>-0.0686695279</v>
      </c>
      <c r="D585" s="13">
        <f t="shared" si="2"/>
        <v>-0.0686695279</v>
      </c>
      <c r="E585" s="11" t="s">
        <v>460</v>
      </c>
      <c r="F585" s="12">
        <v>17026.45</v>
      </c>
      <c r="G585" s="11">
        <v>-0.02907121</v>
      </c>
      <c r="H585" s="13">
        <v>-0.0291</v>
      </c>
      <c r="J585" s="15"/>
      <c r="K585" s="11"/>
      <c r="L585" s="11"/>
      <c r="M585" s="11"/>
      <c r="N585" s="11"/>
    </row>
    <row r="586" ht="15.75" customHeight="1">
      <c r="A586" s="11" t="s">
        <v>461</v>
      </c>
      <c r="B586" s="38">
        <v>11.65</v>
      </c>
      <c r="C586" s="11">
        <f t="shared" si="1"/>
        <v>0.05909090909</v>
      </c>
      <c r="D586" s="13">
        <f t="shared" si="2"/>
        <v>0.05909090909</v>
      </c>
      <c r="E586" s="11" t="s">
        <v>461</v>
      </c>
      <c r="F586" s="12">
        <v>17536.25</v>
      </c>
      <c r="G586" s="11">
        <v>0.006959498</v>
      </c>
      <c r="H586" s="13">
        <v>0.007</v>
      </c>
      <c r="J586" s="15"/>
      <c r="K586" s="11"/>
      <c r="L586" s="11"/>
      <c r="M586" s="11"/>
      <c r="N586" s="11"/>
    </row>
    <row r="587" ht="15.75" customHeight="1">
      <c r="A587" s="11" t="s">
        <v>462</v>
      </c>
      <c r="B587" s="38">
        <v>11.0</v>
      </c>
      <c r="C587" s="11">
        <f t="shared" si="1"/>
        <v>0.03773584906</v>
      </c>
      <c r="D587" s="13">
        <f t="shared" si="2"/>
        <v>0.03773584906</v>
      </c>
      <c r="E587" s="11" t="s">
        <v>462</v>
      </c>
      <c r="F587" s="12">
        <v>17415.05</v>
      </c>
      <c r="G587" s="11">
        <v>-0.005044749</v>
      </c>
      <c r="H587" s="13">
        <v>-0.005</v>
      </c>
      <c r="J587" s="15"/>
      <c r="K587" s="11"/>
      <c r="L587" s="11"/>
      <c r="M587" s="11"/>
      <c r="N587" s="11"/>
    </row>
    <row r="588" ht="15.75" customHeight="1">
      <c r="A588" s="11" t="s">
        <v>463</v>
      </c>
      <c r="B588" s="38">
        <v>10.6</v>
      </c>
      <c r="C588" s="11">
        <f t="shared" si="1"/>
        <v>0</v>
      </c>
      <c r="D588" s="13">
        <f t="shared" si="2"/>
        <v>0</v>
      </c>
      <c r="E588" s="11" t="s">
        <v>463</v>
      </c>
      <c r="F588" s="12">
        <v>17503.35</v>
      </c>
      <c r="G588" s="11">
        <v>0.004983765</v>
      </c>
      <c r="H588" s="13">
        <v>0.005</v>
      </c>
      <c r="J588" s="15"/>
      <c r="K588" s="11"/>
      <c r="L588" s="11"/>
      <c r="M588" s="11"/>
      <c r="N588" s="11"/>
    </row>
    <row r="589" ht="15.75" customHeight="1">
      <c r="A589" s="11" t="s">
        <v>464</v>
      </c>
      <c r="B589" s="38">
        <v>10.6</v>
      </c>
      <c r="C589" s="11">
        <f t="shared" si="1"/>
        <v>0.06532663317</v>
      </c>
      <c r="D589" s="13">
        <f t="shared" si="2"/>
        <v>0.06532663317</v>
      </c>
      <c r="E589" s="11" t="s">
        <v>464</v>
      </c>
      <c r="F589" s="12">
        <v>17416.55</v>
      </c>
      <c r="G589" s="11">
        <v>-0.019603373</v>
      </c>
      <c r="H589" s="13">
        <v>-0.0196</v>
      </c>
      <c r="J589" s="15"/>
      <c r="K589" s="11"/>
      <c r="L589" s="11"/>
      <c r="M589" s="11"/>
      <c r="N589" s="11"/>
    </row>
    <row r="590" ht="15.75" customHeight="1">
      <c r="A590" s="11" t="s">
        <v>465</v>
      </c>
      <c r="B590" s="38">
        <v>9.95</v>
      </c>
      <c r="C590" s="11">
        <f t="shared" si="1"/>
        <v>0</v>
      </c>
      <c r="D590" s="13">
        <f t="shared" si="2"/>
        <v>0</v>
      </c>
      <c r="E590" s="11" t="s">
        <v>465</v>
      </c>
      <c r="F590" s="12">
        <v>17764.8</v>
      </c>
      <c r="G590" s="11">
        <v>-0.007478218</v>
      </c>
      <c r="H590" s="13">
        <v>-0.0075</v>
      </c>
      <c r="J590" s="15"/>
      <c r="K590" s="11"/>
      <c r="L590" s="11"/>
      <c r="M590" s="11"/>
      <c r="N590" s="11"/>
    </row>
    <row r="591" ht="15.75" customHeight="1">
      <c r="A591" s="11" t="s">
        <v>466</v>
      </c>
      <c r="B591" s="38">
        <v>9.95</v>
      </c>
      <c r="C591" s="11">
        <f t="shared" si="1"/>
        <v>-0.005</v>
      </c>
      <c r="D591" s="13">
        <f t="shared" si="2"/>
        <v>-0.005</v>
      </c>
      <c r="E591" s="11" t="s">
        <v>466</v>
      </c>
      <c r="F591" s="12">
        <v>17898.65</v>
      </c>
      <c r="G591" s="11">
        <v>-0.005586359</v>
      </c>
      <c r="H591" s="13">
        <v>-0.0056</v>
      </c>
      <c r="J591" s="15"/>
      <c r="K591" s="11"/>
      <c r="L591" s="11"/>
      <c r="M591" s="11"/>
      <c r="N591" s="11"/>
    </row>
    <row r="592" ht="15.75" customHeight="1">
      <c r="A592" s="11" t="s">
        <v>467</v>
      </c>
      <c r="B592" s="38">
        <v>10.0</v>
      </c>
      <c r="C592" s="11">
        <f t="shared" si="1"/>
        <v>-0.009900990099</v>
      </c>
      <c r="D592" s="13">
        <f t="shared" si="2"/>
        <v>-0.009900990099</v>
      </c>
      <c r="E592" s="11" t="s">
        <v>467</v>
      </c>
      <c r="F592" s="12">
        <v>17999.2</v>
      </c>
      <c r="G592" s="11">
        <v>-0.006087982</v>
      </c>
      <c r="H592" s="13">
        <v>-0.0061</v>
      </c>
      <c r="J592" s="15"/>
      <c r="K592" s="11"/>
      <c r="L592" s="11"/>
      <c r="M592" s="11"/>
      <c r="N592" s="11"/>
    </row>
    <row r="593" ht="15.75" customHeight="1">
      <c r="A593" s="11" t="s">
        <v>468</v>
      </c>
      <c r="B593" s="38">
        <v>10.1</v>
      </c>
      <c r="C593" s="11">
        <f t="shared" si="1"/>
        <v>-0.01941747573</v>
      </c>
      <c r="D593" s="13">
        <f t="shared" si="2"/>
        <v>-0.01941747573</v>
      </c>
      <c r="E593" s="11" t="s">
        <v>468</v>
      </c>
      <c r="F593" s="12">
        <v>18109.45</v>
      </c>
      <c r="G593" s="11">
        <v>3.7011E-4</v>
      </c>
      <c r="H593" s="13">
        <v>4.0E-4</v>
      </c>
      <c r="J593" s="15"/>
      <c r="K593" s="11"/>
      <c r="L593" s="11"/>
      <c r="M593" s="11"/>
      <c r="N593" s="11"/>
    </row>
    <row r="594" ht="15.75" customHeight="1">
      <c r="A594" s="55">
        <v>44541.0</v>
      </c>
      <c r="B594" s="38">
        <v>10.3</v>
      </c>
      <c r="C594" s="11">
        <f t="shared" si="1"/>
        <v>0.04568527919</v>
      </c>
      <c r="D594" s="13">
        <f t="shared" si="2"/>
        <v>0.04568527919</v>
      </c>
      <c r="E594" s="55">
        <v>44541.0</v>
      </c>
      <c r="F594" s="12">
        <v>18102.75</v>
      </c>
      <c r="G594" s="11">
        <v>0.012820585</v>
      </c>
      <c r="H594" s="13">
        <v>0.0128</v>
      </c>
      <c r="J594" s="15"/>
      <c r="K594" s="11"/>
      <c r="L594" s="11"/>
      <c r="M594" s="11"/>
      <c r="N594" s="11"/>
    </row>
    <row r="595" ht="15.75" customHeight="1">
      <c r="A595" s="55">
        <v>44511.0</v>
      </c>
      <c r="B595" s="38">
        <v>9.85</v>
      </c>
      <c r="C595" s="11">
        <f t="shared" si="1"/>
        <v>-0.04368932039</v>
      </c>
      <c r="D595" s="13">
        <f t="shared" si="2"/>
        <v>-0.04368932039</v>
      </c>
      <c r="E595" s="55">
        <v>44511.0</v>
      </c>
      <c r="F595" s="12">
        <v>17873.6</v>
      </c>
      <c r="G595" s="11">
        <v>-0.007970162</v>
      </c>
      <c r="H595" s="13">
        <v>-0.008</v>
      </c>
      <c r="J595" s="15"/>
      <c r="K595" s="11"/>
      <c r="L595" s="11"/>
      <c r="M595" s="11"/>
      <c r="N595" s="11"/>
    </row>
    <row r="596" ht="15.75" customHeight="1">
      <c r="A596" s="55">
        <v>44480.0</v>
      </c>
      <c r="B596" s="38">
        <v>10.3</v>
      </c>
      <c r="C596" s="11">
        <f t="shared" si="1"/>
        <v>-0.009615384615</v>
      </c>
      <c r="D596" s="13">
        <f t="shared" si="2"/>
        <v>-0.009615384615</v>
      </c>
      <c r="E596" s="55">
        <v>44480.0</v>
      </c>
      <c r="F596" s="12">
        <v>18017.2</v>
      </c>
      <c r="G596" s="11">
        <v>-0.001499093</v>
      </c>
      <c r="H596" s="13">
        <v>-0.0015</v>
      </c>
      <c r="J596" s="15"/>
      <c r="K596" s="11"/>
      <c r="L596" s="11"/>
      <c r="M596" s="11"/>
      <c r="N596" s="11"/>
    </row>
    <row r="597" ht="15.75" customHeight="1">
      <c r="A597" s="35">
        <v>44450.0</v>
      </c>
      <c r="B597" s="38">
        <v>10.4</v>
      </c>
      <c r="C597" s="11">
        <f t="shared" si="1"/>
        <v>0.0612244898</v>
      </c>
      <c r="D597" s="13">
        <f t="shared" si="2"/>
        <v>0.0612244898</v>
      </c>
      <c r="E597" s="35">
        <v>44450.0</v>
      </c>
      <c r="F597" s="12">
        <v>18044.25</v>
      </c>
      <c r="G597" s="11">
        <v>-0.001344878</v>
      </c>
      <c r="H597" s="13">
        <v>-0.0013</v>
      </c>
      <c r="J597" s="15"/>
      <c r="K597" s="11"/>
      <c r="L597" s="11"/>
      <c r="M597" s="11"/>
      <c r="N597" s="11"/>
    </row>
    <row r="598" ht="15.75" customHeight="1">
      <c r="A598" s="35">
        <v>44419.0</v>
      </c>
      <c r="B598" s="38">
        <v>9.8</v>
      </c>
      <c r="C598" s="11">
        <f t="shared" si="1"/>
        <v>-0.02</v>
      </c>
      <c r="D598" s="13">
        <f t="shared" si="2"/>
        <v>-0.02</v>
      </c>
      <c r="E598" s="35">
        <v>44419.0</v>
      </c>
      <c r="F598" s="12">
        <v>18068.55</v>
      </c>
      <c r="G598" s="11">
        <v>0.008469704</v>
      </c>
      <c r="H598" s="13">
        <v>0.0085</v>
      </c>
      <c r="J598" s="15"/>
      <c r="K598" s="11"/>
      <c r="L598" s="11"/>
      <c r="M598" s="11"/>
      <c r="N598" s="11"/>
    </row>
    <row r="599" ht="15.75" customHeight="1">
      <c r="A599" s="35">
        <v>44297.0</v>
      </c>
      <c r="B599" s="38">
        <v>10.0</v>
      </c>
      <c r="C599" s="11">
        <f t="shared" si="1"/>
        <v>0.0101010101</v>
      </c>
      <c r="D599" s="13">
        <f t="shared" si="2"/>
        <v>0.0101010101</v>
      </c>
      <c r="E599" s="35">
        <v>44297.0</v>
      </c>
      <c r="F599" s="12">
        <v>17916.8</v>
      </c>
      <c r="G599" s="11">
        <v>0.004913288</v>
      </c>
      <c r="H599" s="13">
        <v>0.0049</v>
      </c>
      <c r="J599" s="15"/>
      <c r="K599" s="11"/>
      <c r="L599" s="11"/>
      <c r="M599" s="11"/>
      <c r="N599" s="11"/>
    </row>
    <row r="600" ht="15.75" customHeight="1">
      <c r="A600" s="35">
        <v>44266.0</v>
      </c>
      <c r="B600" s="38">
        <v>9.9</v>
      </c>
      <c r="C600" s="11">
        <f t="shared" si="1"/>
        <v>-0.01492537313</v>
      </c>
      <c r="D600" s="13">
        <f t="shared" si="2"/>
        <v>-0.01492537313</v>
      </c>
      <c r="E600" s="35">
        <v>44266.0</v>
      </c>
      <c r="F600" s="12">
        <v>17829.2</v>
      </c>
      <c r="G600" s="11">
        <v>-0.003340051</v>
      </c>
      <c r="H600" s="13">
        <v>-0.0033</v>
      </c>
      <c r="J600" s="15"/>
      <c r="K600" s="11"/>
      <c r="L600" s="11"/>
      <c r="M600" s="11"/>
      <c r="N600" s="11"/>
    </row>
    <row r="601" ht="15.75" customHeight="1">
      <c r="A601" s="35">
        <v>44238.0</v>
      </c>
      <c r="B601" s="38">
        <v>10.05</v>
      </c>
      <c r="C601" s="11">
        <f t="shared" si="1"/>
        <v>-0.00495049505</v>
      </c>
      <c r="D601" s="13">
        <f t="shared" si="2"/>
        <v>-0.00495049505</v>
      </c>
      <c r="E601" s="35">
        <v>44238.0</v>
      </c>
      <c r="F601" s="12">
        <v>17888.95</v>
      </c>
      <c r="G601" s="11">
        <v>-0.002269983</v>
      </c>
      <c r="H601" s="13">
        <v>-0.0023</v>
      </c>
      <c r="J601" s="15"/>
      <c r="K601" s="11"/>
      <c r="L601" s="11"/>
      <c r="M601" s="11"/>
      <c r="N601" s="11"/>
    </row>
    <row r="602" ht="15.75" customHeight="1">
      <c r="A602" s="35">
        <v>44207.0</v>
      </c>
      <c r="B602" s="38">
        <v>10.1</v>
      </c>
      <c r="C602" s="11">
        <f t="shared" si="1"/>
        <v>0.05759162304</v>
      </c>
      <c r="D602" s="13">
        <f t="shared" si="2"/>
        <v>0.05759162304</v>
      </c>
      <c r="E602" s="35">
        <v>44207.0</v>
      </c>
      <c r="F602" s="12">
        <v>17929.65</v>
      </c>
      <c r="G602" s="11">
        <v>0.014599655</v>
      </c>
      <c r="H602" s="13">
        <v>0.0146</v>
      </c>
      <c r="J602" s="15"/>
      <c r="K602" s="11"/>
      <c r="L602" s="11"/>
      <c r="M602" s="11"/>
      <c r="N602" s="11"/>
    </row>
    <row r="603" ht="15.75" customHeight="1">
      <c r="A603" s="11" t="s">
        <v>469</v>
      </c>
      <c r="B603" s="38">
        <v>9.55</v>
      </c>
      <c r="C603" s="11">
        <f t="shared" si="1"/>
        <v>-0.01546391753</v>
      </c>
      <c r="D603" s="13">
        <f t="shared" si="2"/>
        <v>-0.01546391753</v>
      </c>
      <c r="E603" s="11" t="s">
        <v>469</v>
      </c>
      <c r="F603" s="12">
        <v>17671.65</v>
      </c>
      <c r="G603" s="11">
        <v>-0.010393538</v>
      </c>
      <c r="H603" s="13">
        <v>-0.0104</v>
      </c>
      <c r="J603" s="15"/>
      <c r="K603" s="11"/>
      <c r="L603" s="11"/>
      <c r="M603" s="11"/>
      <c r="N603" s="11"/>
    </row>
    <row r="604" ht="15.75" customHeight="1">
      <c r="A604" s="11" t="s">
        <v>470</v>
      </c>
      <c r="B604" s="38">
        <v>9.7</v>
      </c>
      <c r="C604" s="11">
        <f t="shared" si="1"/>
        <v>-0.05365853659</v>
      </c>
      <c r="D604" s="13">
        <f t="shared" si="2"/>
        <v>-0.05365853659</v>
      </c>
      <c r="E604" s="11" t="s">
        <v>470</v>
      </c>
      <c r="F604" s="12">
        <v>17857.25</v>
      </c>
      <c r="G604" s="11">
        <v>-0.01942238</v>
      </c>
      <c r="H604" s="13">
        <v>-0.0194</v>
      </c>
      <c r="J604" s="15"/>
      <c r="K604" s="11"/>
      <c r="L604" s="11"/>
      <c r="M604" s="11"/>
      <c r="N604" s="11"/>
    </row>
    <row r="605" ht="15.75" customHeight="1">
      <c r="A605" s="11" t="s">
        <v>471</v>
      </c>
      <c r="B605" s="38">
        <v>10.25</v>
      </c>
      <c r="C605" s="11">
        <f t="shared" si="1"/>
        <v>-0.01442307692</v>
      </c>
      <c r="D605" s="13">
        <f t="shared" si="2"/>
        <v>-0.01442307692</v>
      </c>
      <c r="E605" s="11" t="s">
        <v>471</v>
      </c>
      <c r="F605" s="12">
        <v>18210.95</v>
      </c>
      <c r="G605" s="11">
        <v>-0.003144775</v>
      </c>
      <c r="H605" s="13">
        <v>-0.0031</v>
      </c>
      <c r="J605" s="15"/>
      <c r="K605" s="11"/>
      <c r="L605" s="11"/>
      <c r="M605" s="11"/>
      <c r="N605" s="11"/>
    </row>
    <row r="606" ht="15.75" customHeight="1">
      <c r="A606" s="11" t="s">
        <v>472</v>
      </c>
      <c r="B606" s="38">
        <v>10.4</v>
      </c>
      <c r="C606" s="11">
        <f t="shared" si="1"/>
        <v>0</v>
      </c>
      <c r="D606" s="13">
        <f t="shared" si="2"/>
        <v>0</v>
      </c>
      <c r="E606" s="11" t="s">
        <v>472</v>
      </c>
      <c r="F606" s="12">
        <v>18268.4</v>
      </c>
      <c r="G606" s="11">
        <v>0.007889481</v>
      </c>
      <c r="H606" s="13">
        <v>0.0079</v>
      </c>
      <c r="J606" s="15"/>
      <c r="K606" s="11"/>
      <c r="L606" s="11"/>
      <c r="M606" s="11"/>
      <c r="N606" s="11"/>
    </row>
    <row r="607" ht="15.75" customHeight="1">
      <c r="A607" s="11" t="s">
        <v>473</v>
      </c>
      <c r="B607" s="38">
        <v>10.4</v>
      </c>
      <c r="C607" s="11">
        <f t="shared" si="1"/>
        <v>0.01463414634</v>
      </c>
      <c r="D607" s="13">
        <f t="shared" si="2"/>
        <v>0.01463414634</v>
      </c>
      <c r="E607" s="11" t="s">
        <v>473</v>
      </c>
      <c r="F607" s="12">
        <v>18125.4</v>
      </c>
      <c r="G607" s="11">
        <v>5.79633E-4</v>
      </c>
      <c r="H607" s="13">
        <v>6.0E-4</v>
      </c>
      <c r="J607" s="15"/>
      <c r="K607" s="11"/>
      <c r="L607" s="11"/>
      <c r="M607" s="11"/>
      <c r="N607" s="11"/>
    </row>
    <row r="608" ht="15.75" customHeight="1">
      <c r="A608" s="11" t="s">
        <v>474</v>
      </c>
      <c r="B608" s="38">
        <v>10.25</v>
      </c>
      <c r="C608" s="11">
        <f t="shared" si="1"/>
        <v>-0.004854368932</v>
      </c>
      <c r="D608" s="13">
        <f t="shared" si="2"/>
        <v>-0.004854368932</v>
      </c>
      <c r="E608" s="11" t="s">
        <v>474</v>
      </c>
      <c r="F608" s="12">
        <v>18114.9</v>
      </c>
      <c r="G608" s="11">
        <v>-0.003476711</v>
      </c>
      <c r="H608" s="13">
        <v>-0.0035</v>
      </c>
      <c r="J608" s="15"/>
      <c r="K608" s="11"/>
      <c r="L608" s="11"/>
      <c r="M608" s="11"/>
      <c r="N608" s="11"/>
    </row>
    <row r="609" ht="15.75" customHeight="1">
      <c r="A609" s="11" t="s">
        <v>475</v>
      </c>
      <c r="B609" s="38">
        <v>10.3</v>
      </c>
      <c r="C609" s="11">
        <f t="shared" si="1"/>
        <v>-0.02830188679</v>
      </c>
      <c r="D609" s="13">
        <f t="shared" si="2"/>
        <v>-0.02830188679</v>
      </c>
      <c r="E609" s="11" t="s">
        <v>475</v>
      </c>
      <c r="F609" s="12">
        <v>18178.1</v>
      </c>
      <c r="G609" s="11">
        <v>-0.004844908</v>
      </c>
      <c r="H609" s="13">
        <v>-0.0048</v>
      </c>
      <c r="J609" s="15"/>
      <c r="K609" s="11"/>
      <c r="L609" s="11"/>
      <c r="M609" s="11"/>
      <c r="N609" s="11"/>
    </row>
    <row r="610" ht="15.75" customHeight="1">
      <c r="A610" s="11" t="s">
        <v>476</v>
      </c>
      <c r="B610" s="38">
        <v>10.6</v>
      </c>
      <c r="C610" s="11">
        <f t="shared" si="1"/>
        <v>0.06</v>
      </c>
      <c r="D610" s="13">
        <f t="shared" si="2"/>
        <v>0.06</v>
      </c>
      <c r="E610" s="11" t="s">
        <v>476</v>
      </c>
      <c r="F610" s="12">
        <v>18266.6</v>
      </c>
      <c r="G610" s="11">
        <v>-0.008260604</v>
      </c>
      <c r="H610" s="13">
        <v>-0.0083</v>
      </c>
      <c r="J610" s="15"/>
      <c r="K610" s="11"/>
      <c r="L610" s="11"/>
      <c r="M610" s="11"/>
      <c r="N610" s="11"/>
    </row>
    <row r="611" ht="15.75" customHeight="1">
      <c r="A611" s="11" t="s">
        <v>477</v>
      </c>
      <c r="B611" s="38">
        <v>10.0</v>
      </c>
      <c r="C611" s="11">
        <f t="shared" si="1"/>
        <v>-0.05660377358</v>
      </c>
      <c r="D611" s="13">
        <f t="shared" si="2"/>
        <v>-0.05660377358</v>
      </c>
      <c r="E611" s="11" t="s">
        <v>477</v>
      </c>
      <c r="F611" s="12">
        <v>18418.75</v>
      </c>
      <c r="G611" s="11">
        <v>-0.003155266</v>
      </c>
      <c r="H611" s="13">
        <v>-0.0032</v>
      </c>
      <c r="J611" s="15"/>
      <c r="K611" s="11"/>
      <c r="L611" s="11"/>
      <c r="M611" s="11"/>
      <c r="N611" s="11"/>
    </row>
    <row r="612" ht="15.75" customHeight="1">
      <c r="A612" s="11" t="s">
        <v>478</v>
      </c>
      <c r="B612" s="38">
        <v>10.6</v>
      </c>
      <c r="C612" s="11">
        <f t="shared" si="1"/>
        <v>-0.01395348837</v>
      </c>
      <c r="D612" s="13">
        <f t="shared" si="2"/>
        <v>-0.01395348837</v>
      </c>
      <c r="E612" s="11" t="s">
        <v>478</v>
      </c>
      <c r="F612" s="12">
        <v>18477.05</v>
      </c>
      <c r="G612" s="11">
        <v>0.007552396</v>
      </c>
      <c r="H612" s="13">
        <v>0.0076</v>
      </c>
      <c r="J612" s="15"/>
      <c r="K612" s="11"/>
      <c r="L612" s="11"/>
      <c r="M612" s="11"/>
      <c r="N612" s="11"/>
    </row>
    <row r="613" ht="15.75" customHeight="1">
      <c r="A613" s="11" t="s">
        <v>479</v>
      </c>
      <c r="B613" s="38">
        <v>10.75</v>
      </c>
      <c r="C613" s="11">
        <f t="shared" si="1"/>
        <v>0.004672897196</v>
      </c>
      <c r="D613" s="13">
        <f t="shared" si="2"/>
        <v>0.004672897196</v>
      </c>
      <c r="E613" s="11" t="s">
        <v>479</v>
      </c>
      <c r="F613" s="12">
        <v>18338.55</v>
      </c>
      <c r="G613" s="11">
        <v>0.009734745</v>
      </c>
      <c r="H613" s="13">
        <v>0.0097</v>
      </c>
      <c r="J613" s="15"/>
      <c r="K613" s="11"/>
      <c r="L613" s="11"/>
      <c r="M613" s="11"/>
      <c r="N613" s="11"/>
    </row>
    <row r="614" ht="15.75" customHeight="1">
      <c r="A614" s="11" t="s">
        <v>480</v>
      </c>
      <c r="B614" s="38">
        <v>10.7</v>
      </c>
      <c r="C614" s="11">
        <f t="shared" si="1"/>
        <v>0.004694835681</v>
      </c>
      <c r="D614" s="13">
        <f t="shared" si="2"/>
        <v>0.004694835681</v>
      </c>
      <c r="E614" s="11" t="s">
        <v>480</v>
      </c>
      <c r="F614" s="12">
        <v>18161.75</v>
      </c>
      <c r="G614" s="11">
        <v>0.009437554</v>
      </c>
      <c r="H614" s="13">
        <v>0.0094</v>
      </c>
      <c r="J614" s="15"/>
      <c r="K614" s="11"/>
      <c r="L614" s="11"/>
      <c r="M614" s="11"/>
      <c r="N614" s="11"/>
    </row>
    <row r="615" ht="15.75" customHeight="1">
      <c r="A615" s="55">
        <v>44540.0</v>
      </c>
      <c r="B615" s="38">
        <v>10.65</v>
      </c>
      <c r="C615" s="11">
        <f t="shared" si="1"/>
        <v>-0.01843317972</v>
      </c>
      <c r="D615" s="13">
        <f t="shared" si="2"/>
        <v>-0.01843317972</v>
      </c>
      <c r="E615" s="55">
        <v>44540.0</v>
      </c>
      <c r="F615" s="12">
        <v>17991.95</v>
      </c>
      <c r="G615" s="11">
        <v>0.002563252</v>
      </c>
      <c r="H615" s="13">
        <v>0.0026</v>
      </c>
      <c r="J615" s="15"/>
      <c r="K615" s="11"/>
      <c r="L615" s="11"/>
      <c r="M615" s="11"/>
      <c r="N615" s="11"/>
    </row>
    <row r="616" ht="15.75" customHeight="1">
      <c r="A616" s="55">
        <v>44510.0</v>
      </c>
      <c r="B616" s="38">
        <v>10.85</v>
      </c>
      <c r="C616" s="11">
        <f t="shared" si="1"/>
        <v>-0.04405286344</v>
      </c>
      <c r="D616" s="13">
        <f t="shared" si="2"/>
        <v>-0.04405286344</v>
      </c>
      <c r="E616" s="55">
        <v>44510.0</v>
      </c>
      <c r="F616" s="12">
        <v>17945.95</v>
      </c>
      <c r="G616" s="11">
        <v>0.002835956</v>
      </c>
      <c r="H616" s="13">
        <v>0.0028</v>
      </c>
      <c r="J616" s="15"/>
      <c r="K616" s="11"/>
      <c r="L616" s="11"/>
      <c r="M616" s="11"/>
      <c r="N616" s="11"/>
    </row>
    <row r="617" ht="15.75" customHeight="1">
      <c r="A617" s="35">
        <v>44418.0</v>
      </c>
      <c r="B617" s="38">
        <v>11.35</v>
      </c>
      <c r="C617" s="11">
        <f t="shared" si="1"/>
        <v>0</v>
      </c>
      <c r="D617" s="13">
        <f t="shared" si="2"/>
        <v>0</v>
      </c>
      <c r="E617" s="35">
        <v>44418.0</v>
      </c>
      <c r="F617" s="12">
        <v>17895.2</v>
      </c>
      <c r="G617" s="11">
        <v>0.005893645</v>
      </c>
      <c r="H617" s="13">
        <v>0.0059</v>
      </c>
      <c r="J617" s="15"/>
      <c r="K617" s="11"/>
      <c r="L617" s="11"/>
      <c r="M617" s="11"/>
      <c r="N617" s="11"/>
    </row>
    <row r="618" ht="15.75" customHeight="1">
      <c r="A618" s="35">
        <v>44387.0</v>
      </c>
      <c r="B618" s="38">
        <v>11.35</v>
      </c>
      <c r="C618" s="11">
        <f t="shared" si="1"/>
        <v>-0.008733624454</v>
      </c>
      <c r="D618" s="13">
        <f t="shared" si="2"/>
        <v>-0.008733624454</v>
      </c>
      <c r="E618" s="35">
        <v>44387.0</v>
      </c>
      <c r="F618" s="12">
        <v>17790.35</v>
      </c>
      <c r="G618" s="11">
        <v>0.008180324</v>
      </c>
      <c r="H618" s="13">
        <v>0.0082</v>
      </c>
      <c r="J618" s="15"/>
      <c r="K618" s="11"/>
      <c r="L618" s="11"/>
      <c r="M618" s="11"/>
      <c r="N618" s="11"/>
    </row>
    <row r="619" ht="15.75" customHeight="1">
      <c r="A619" s="35">
        <v>44357.0</v>
      </c>
      <c r="B619" s="38">
        <v>11.45</v>
      </c>
      <c r="C619" s="11">
        <f t="shared" si="1"/>
        <v>-0.008658008658</v>
      </c>
      <c r="D619" s="13">
        <f t="shared" si="2"/>
        <v>-0.008658008658</v>
      </c>
      <c r="E619" s="35">
        <v>44357.0</v>
      </c>
      <c r="F619" s="12">
        <v>17646.0</v>
      </c>
      <c r="G619" s="11">
        <v>-0.009892101</v>
      </c>
      <c r="H619" s="13">
        <v>-0.0099</v>
      </c>
      <c r="J619" s="15"/>
      <c r="K619" s="11"/>
      <c r="L619" s="11"/>
      <c r="M619" s="11"/>
      <c r="N619" s="11"/>
    </row>
    <row r="620" ht="15.75" customHeight="1">
      <c r="A620" s="35">
        <v>44326.0</v>
      </c>
      <c r="B620" s="38">
        <v>11.55</v>
      </c>
      <c r="C620" s="11">
        <f t="shared" si="1"/>
        <v>0.01315789474</v>
      </c>
      <c r="D620" s="13">
        <f t="shared" si="2"/>
        <v>0.01315789474</v>
      </c>
      <c r="E620" s="35">
        <v>44326.0</v>
      </c>
      <c r="F620" s="12">
        <v>17822.3</v>
      </c>
      <c r="G620" s="11">
        <v>0.007407617</v>
      </c>
      <c r="H620" s="13">
        <v>0.0074</v>
      </c>
      <c r="J620" s="15"/>
      <c r="K620" s="11"/>
      <c r="L620" s="11"/>
      <c r="M620" s="11"/>
      <c r="N620" s="11"/>
    </row>
    <row r="621" ht="15.75" customHeight="1">
      <c r="A621" s="35">
        <v>44296.0</v>
      </c>
      <c r="B621" s="38">
        <v>11.4</v>
      </c>
      <c r="C621" s="11">
        <f t="shared" si="1"/>
        <v>0</v>
      </c>
      <c r="D621" s="13">
        <f t="shared" si="2"/>
        <v>0</v>
      </c>
      <c r="E621" s="35">
        <v>44296.0</v>
      </c>
      <c r="F621" s="12">
        <v>17691.25</v>
      </c>
      <c r="G621" s="11">
        <v>0.009080513</v>
      </c>
      <c r="H621" s="13">
        <v>0.0091</v>
      </c>
      <c r="J621" s="15"/>
      <c r="K621" s="11"/>
      <c r="L621" s="11"/>
      <c r="M621" s="11"/>
      <c r="N621" s="11"/>
    </row>
    <row r="622" ht="15.75" customHeight="1">
      <c r="A622" s="35">
        <v>44206.0</v>
      </c>
      <c r="B622" s="38">
        <v>11.4</v>
      </c>
      <c r="C622" s="11">
        <f t="shared" si="1"/>
        <v>-0.04201680672</v>
      </c>
      <c r="D622" s="13">
        <f t="shared" si="2"/>
        <v>-0.04201680672</v>
      </c>
      <c r="E622" s="35">
        <v>44206.0</v>
      </c>
      <c r="F622" s="12">
        <v>17532.05</v>
      </c>
      <c r="G622" s="11">
        <v>-0.004887006</v>
      </c>
      <c r="H622" s="13">
        <v>-0.0049</v>
      </c>
      <c r="J622" s="15"/>
      <c r="K622" s="11"/>
      <c r="L622" s="11"/>
      <c r="M622" s="11"/>
      <c r="N622" s="11"/>
    </row>
    <row r="623" ht="15.75" customHeight="1">
      <c r="A623" s="11" t="s">
        <v>481</v>
      </c>
      <c r="B623" s="38">
        <v>11.9</v>
      </c>
      <c r="C623" s="11">
        <f t="shared" si="1"/>
        <v>0.05777777778</v>
      </c>
      <c r="D623" s="13">
        <f t="shared" si="2"/>
        <v>0.05777777778</v>
      </c>
      <c r="E623" s="11" t="s">
        <v>481</v>
      </c>
      <c r="F623" s="12">
        <v>17618.15</v>
      </c>
      <c r="G623" s="11">
        <v>-0.005259354</v>
      </c>
      <c r="H623" s="13">
        <v>-0.0053</v>
      </c>
      <c r="J623" s="15"/>
      <c r="K623" s="11"/>
      <c r="L623" s="11"/>
      <c r="M623" s="11"/>
      <c r="N623" s="11"/>
    </row>
    <row r="624" ht="15.75" customHeight="1">
      <c r="A624" s="11" t="s">
        <v>482</v>
      </c>
      <c r="B624" s="38">
        <v>11.25</v>
      </c>
      <c r="C624" s="11">
        <f t="shared" si="1"/>
        <v>0.02739726027</v>
      </c>
      <c r="D624" s="13">
        <f t="shared" si="2"/>
        <v>0.02739726027</v>
      </c>
      <c r="E624" s="11" t="s">
        <v>482</v>
      </c>
      <c r="F624" s="12">
        <v>17711.3</v>
      </c>
      <c r="G624" s="11">
        <v>-0.002101574</v>
      </c>
      <c r="H624" s="13">
        <v>-0.0021</v>
      </c>
      <c r="J624" s="15"/>
      <c r="K624" s="11"/>
      <c r="L624" s="11"/>
      <c r="M624" s="11"/>
      <c r="N624" s="11"/>
    </row>
    <row r="625" ht="15.75" customHeight="1">
      <c r="A625" s="11" t="s">
        <v>483</v>
      </c>
      <c r="B625" s="38">
        <v>10.95</v>
      </c>
      <c r="C625" s="11">
        <f t="shared" si="1"/>
        <v>-0.03524229075</v>
      </c>
      <c r="D625" s="13">
        <f t="shared" si="2"/>
        <v>-0.03524229075</v>
      </c>
      <c r="E625" s="11" t="s">
        <v>483</v>
      </c>
      <c r="F625" s="12">
        <v>17748.6</v>
      </c>
      <c r="G625" s="11">
        <v>-0.005964682</v>
      </c>
      <c r="H625" s="13">
        <v>-0.006</v>
      </c>
      <c r="J625" s="15"/>
      <c r="K625" s="11"/>
      <c r="L625" s="11"/>
      <c r="M625" s="11"/>
      <c r="N625" s="11"/>
    </row>
    <row r="626" ht="15.75" customHeight="1">
      <c r="A626" s="11" t="s">
        <v>484</v>
      </c>
      <c r="B626" s="38">
        <v>11.35</v>
      </c>
      <c r="C626" s="11">
        <f t="shared" si="1"/>
        <v>-0.01304347826</v>
      </c>
      <c r="D626" s="13">
        <f t="shared" si="2"/>
        <v>-0.01304347826</v>
      </c>
      <c r="E626" s="11" t="s">
        <v>484</v>
      </c>
      <c r="F626" s="12">
        <v>17855.1</v>
      </c>
      <c r="G626" s="11">
        <v>1.06423E-4</v>
      </c>
      <c r="H626" s="13">
        <v>1.0E-4</v>
      </c>
      <c r="J626" s="15"/>
      <c r="K626" s="11"/>
      <c r="L626" s="11"/>
      <c r="M626" s="11"/>
      <c r="N626" s="11"/>
    </row>
    <row r="627" ht="15.75" customHeight="1">
      <c r="A627" s="11" t="s">
        <v>485</v>
      </c>
      <c r="B627" s="38">
        <v>11.5</v>
      </c>
      <c r="C627" s="11">
        <f t="shared" si="1"/>
        <v>0.09004739336</v>
      </c>
      <c r="D627" s="13">
        <f t="shared" si="2"/>
        <v>0.09004739336</v>
      </c>
      <c r="E627" s="11" t="s">
        <v>485</v>
      </c>
      <c r="F627" s="12">
        <v>17853.2</v>
      </c>
      <c r="G627" s="11">
        <v>0.00169725</v>
      </c>
      <c r="H627" s="13">
        <v>0.0017</v>
      </c>
      <c r="J627" s="15"/>
      <c r="K627" s="11"/>
      <c r="L627" s="11"/>
      <c r="M627" s="11"/>
      <c r="N627" s="11"/>
    </row>
    <row r="628" ht="15.75" customHeight="1">
      <c r="A628" s="11" t="s">
        <v>486</v>
      </c>
      <c r="B628" s="38">
        <v>10.55</v>
      </c>
      <c r="C628" s="11">
        <f t="shared" si="1"/>
        <v>0.01442307692</v>
      </c>
      <c r="D628" s="13">
        <f t="shared" si="2"/>
        <v>0.01442307692</v>
      </c>
      <c r="E628" s="11" t="s">
        <v>486</v>
      </c>
      <c r="F628" s="12">
        <v>17822.95</v>
      </c>
      <c r="G628" s="11">
        <v>0.015746596</v>
      </c>
      <c r="H628" s="13">
        <v>0.0157</v>
      </c>
      <c r="J628" s="15"/>
      <c r="K628" s="11"/>
      <c r="L628" s="11"/>
      <c r="M628" s="11"/>
      <c r="N628" s="11"/>
    </row>
    <row r="629" ht="15.75" customHeight="1">
      <c r="A629" s="11" t="s">
        <v>487</v>
      </c>
      <c r="B629" s="38">
        <v>10.4</v>
      </c>
      <c r="C629" s="11">
        <f t="shared" si="1"/>
        <v>-0.03703703704</v>
      </c>
      <c r="D629" s="13">
        <f t="shared" si="2"/>
        <v>-0.03703703704</v>
      </c>
      <c r="E629" s="11" t="s">
        <v>487</v>
      </c>
      <c r="F629" s="12">
        <v>17546.65</v>
      </c>
      <c r="G629" s="11">
        <v>-8.74046E-4</v>
      </c>
      <c r="H629" s="13">
        <v>-9.0E-4</v>
      </c>
      <c r="J629" s="15"/>
      <c r="K629" s="11"/>
      <c r="L629" s="11"/>
      <c r="M629" s="11"/>
      <c r="N629" s="11"/>
    </row>
    <row r="630" ht="15.75" customHeight="1">
      <c r="A630" s="11" t="s">
        <v>488</v>
      </c>
      <c r="B630" s="38">
        <v>10.8</v>
      </c>
      <c r="C630" s="11">
        <f t="shared" si="1"/>
        <v>0.004651162791</v>
      </c>
      <c r="D630" s="13">
        <f t="shared" si="2"/>
        <v>0.004651162791</v>
      </c>
      <c r="E630" s="11" t="s">
        <v>488</v>
      </c>
      <c r="F630" s="12">
        <v>17562.0</v>
      </c>
      <c r="G630" s="11">
        <v>0.009490197</v>
      </c>
      <c r="H630" s="13">
        <v>0.0095</v>
      </c>
      <c r="J630" s="15"/>
      <c r="K630" s="11"/>
      <c r="L630" s="11"/>
      <c r="M630" s="11"/>
      <c r="N630" s="11"/>
    </row>
    <row r="631" ht="15.75" customHeight="1">
      <c r="A631" s="11" t="s">
        <v>489</v>
      </c>
      <c r="B631" s="38">
        <v>10.75</v>
      </c>
      <c r="C631" s="11">
        <f t="shared" si="1"/>
        <v>-0.03587443946</v>
      </c>
      <c r="D631" s="13">
        <f t="shared" si="2"/>
        <v>-0.03587443946</v>
      </c>
      <c r="E631" s="11" t="s">
        <v>489</v>
      </c>
      <c r="F631" s="12">
        <v>17396.9</v>
      </c>
      <c r="G631" s="11">
        <v>-0.010705055</v>
      </c>
      <c r="H631" s="13">
        <v>-0.0107</v>
      </c>
      <c r="J631" s="15"/>
      <c r="K631" s="11"/>
      <c r="L631" s="11"/>
      <c r="M631" s="11"/>
      <c r="N631" s="11"/>
    </row>
    <row r="632" ht="15.75" customHeight="1">
      <c r="A632" s="11" t="s">
        <v>490</v>
      </c>
      <c r="B632" s="38">
        <v>11.15</v>
      </c>
      <c r="C632" s="11">
        <f t="shared" si="1"/>
        <v>-0.008888888889</v>
      </c>
      <c r="D632" s="13">
        <f t="shared" si="2"/>
        <v>-0.008888888889</v>
      </c>
      <c r="E632" s="11" t="s">
        <v>490</v>
      </c>
      <c r="F632" s="12">
        <v>17585.15</v>
      </c>
      <c r="G632" s="11">
        <v>-0.00251567</v>
      </c>
      <c r="H632" s="13">
        <v>-0.0025</v>
      </c>
      <c r="J632" s="15"/>
      <c r="K632" s="11"/>
      <c r="L632" s="11"/>
      <c r="M632" s="11"/>
      <c r="N632" s="11"/>
    </row>
    <row r="633" ht="15.75" customHeight="1">
      <c r="A633" s="11" t="s">
        <v>491</v>
      </c>
      <c r="B633" s="38">
        <v>11.25</v>
      </c>
      <c r="C633" s="11">
        <f t="shared" si="1"/>
        <v>0.2569832402</v>
      </c>
      <c r="D633" s="13">
        <f t="shared" si="2"/>
        <v>0.2569832402</v>
      </c>
      <c r="E633" s="11" t="s">
        <v>491</v>
      </c>
      <c r="F633" s="12">
        <v>17629.5</v>
      </c>
      <c r="G633" s="11">
        <v>0.00628159</v>
      </c>
      <c r="H633" s="13">
        <v>0.0063</v>
      </c>
      <c r="J633" s="15"/>
      <c r="K633" s="11"/>
      <c r="L633" s="11"/>
      <c r="M633" s="11"/>
      <c r="N633" s="11"/>
    </row>
    <row r="634" ht="15.75" customHeight="1">
      <c r="A634" s="11" t="s">
        <v>492</v>
      </c>
      <c r="B634" s="38">
        <v>8.95</v>
      </c>
      <c r="C634" s="11">
        <f t="shared" si="1"/>
        <v>0.02873563218</v>
      </c>
      <c r="D634" s="13">
        <f t="shared" si="2"/>
        <v>0.02873563218</v>
      </c>
      <c r="E634" s="11" t="s">
        <v>492</v>
      </c>
      <c r="F634" s="12">
        <v>17519.45</v>
      </c>
      <c r="G634" s="11">
        <v>0.00802359</v>
      </c>
      <c r="H634" s="13">
        <v>0.008</v>
      </c>
      <c r="J634" s="15"/>
      <c r="K634" s="11"/>
      <c r="L634" s="11"/>
      <c r="M634" s="11"/>
      <c r="N634" s="11"/>
    </row>
    <row r="635" ht="15.75" customHeight="1">
      <c r="A635" s="11" t="s">
        <v>493</v>
      </c>
      <c r="B635" s="38">
        <v>8.7</v>
      </c>
      <c r="C635" s="11">
        <f t="shared" si="1"/>
        <v>0.09433962264</v>
      </c>
      <c r="D635" s="13">
        <f t="shared" si="2"/>
        <v>0.09433962264</v>
      </c>
      <c r="E635" s="11" t="s">
        <v>493</v>
      </c>
      <c r="F635" s="12">
        <v>17380.0</v>
      </c>
      <c r="G635" s="11">
        <v>0.001423196</v>
      </c>
      <c r="H635" s="13">
        <v>0.0014</v>
      </c>
      <c r="J635" s="15"/>
      <c r="K635" s="11"/>
      <c r="L635" s="11"/>
      <c r="M635" s="11"/>
      <c r="N635" s="11"/>
    </row>
    <row r="636" ht="15.75" customHeight="1">
      <c r="A636" s="11" t="s">
        <v>494</v>
      </c>
      <c r="B636" s="38">
        <v>7.95</v>
      </c>
      <c r="C636" s="11">
        <f t="shared" si="1"/>
        <v>-0.05357142857</v>
      </c>
      <c r="D636" s="13">
        <f t="shared" si="2"/>
        <v>-0.05357142857</v>
      </c>
      <c r="E636" s="11" t="s">
        <v>494</v>
      </c>
      <c r="F636" s="12">
        <v>17355.3</v>
      </c>
      <c r="G636" s="11">
        <v>-8.03143E-4</v>
      </c>
      <c r="H636" s="13">
        <v>-8.0E-4</v>
      </c>
      <c r="J636" s="15"/>
      <c r="K636" s="11"/>
      <c r="L636" s="11"/>
      <c r="M636" s="11"/>
      <c r="N636" s="11"/>
    </row>
    <row r="637" ht="15.75" customHeight="1">
      <c r="A637" s="35">
        <v>44448.0</v>
      </c>
      <c r="B637" s="38">
        <v>8.4</v>
      </c>
      <c r="C637" s="11">
        <f t="shared" si="1"/>
        <v>0.04347826087</v>
      </c>
      <c r="D637" s="13">
        <f t="shared" si="2"/>
        <v>0.04347826087</v>
      </c>
      <c r="E637" s="35">
        <v>44448.0</v>
      </c>
      <c r="F637" s="12">
        <v>17369.25</v>
      </c>
      <c r="G637" s="11">
        <v>9.07598E-4</v>
      </c>
      <c r="H637" s="13">
        <v>9.0E-4</v>
      </c>
      <c r="J637" s="15"/>
      <c r="K637" s="11"/>
      <c r="L637" s="11"/>
      <c r="M637" s="11"/>
      <c r="N637" s="11"/>
    </row>
    <row r="638" ht="15.75" customHeight="1">
      <c r="A638" s="35">
        <v>44417.0</v>
      </c>
      <c r="B638" s="38">
        <v>8.05</v>
      </c>
      <c r="C638" s="11">
        <f t="shared" si="1"/>
        <v>-0.02424242424</v>
      </c>
      <c r="D638" s="13">
        <f t="shared" si="2"/>
        <v>-0.02424242424</v>
      </c>
      <c r="E638" s="35">
        <v>44417.0</v>
      </c>
      <c r="F638" s="12">
        <v>17353.5</v>
      </c>
      <c r="G638" s="11">
        <v>-4.95332E-4</v>
      </c>
      <c r="H638" s="13">
        <v>-5.0E-4</v>
      </c>
      <c r="J638" s="15"/>
      <c r="K638" s="11"/>
      <c r="L638" s="11"/>
      <c r="M638" s="11"/>
      <c r="N638" s="11"/>
    </row>
    <row r="639" ht="15.75" customHeight="1">
      <c r="A639" s="35">
        <v>44386.0</v>
      </c>
      <c r="B639" s="38">
        <v>8.25</v>
      </c>
      <c r="C639" s="11">
        <f t="shared" si="1"/>
        <v>0.1379310345</v>
      </c>
      <c r="D639" s="13">
        <f t="shared" si="2"/>
        <v>0.1379310345</v>
      </c>
      <c r="E639" s="35">
        <v>44386.0</v>
      </c>
      <c r="F639" s="12">
        <v>17362.1</v>
      </c>
      <c r="G639" s="11">
        <v>-9.03452E-4</v>
      </c>
      <c r="H639" s="13">
        <v>-9.0E-4</v>
      </c>
      <c r="J639" s="15"/>
      <c r="K639" s="11"/>
      <c r="L639" s="11"/>
      <c r="M639" s="11"/>
      <c r="N639" s="11"/>
    </row>
    <row r="640" ht="15.75" customHeight="1">
      <c r="A640" s="35">
        <v>44356.0</v>
      </c>
      <c r="B640" s="38">
        <v>7.25</v>
      </c>
      <c r="C640" s="11">
        <f t="shared" si="1"/>
        <v>0</v>
      </c>
      <c r="D640" s="13">
        <f t="shared" si="2"/>
        <v>0</v>
      </c>
      <c r="E640" s="35">
        <v>44356.0</v>
      </c>
      <c r="F640" s="12">
        <v>17377.8</v>
      </c>
      <c r="G640" s="11">
        <v>0.00312868</v>
      </c>
      <c r="H640" s="13">
        <v>0.0031</v>
      </c>
      <c r="J640" s="15"/>
      <c r="K640" s="11"/>
      <c r="L640" s="11"/>
      <c r="M640" s="11"/>
      <c r="N640" s="11"/>
    </row>
    <row r="641" ht="15.75" customHeight="1">
      <c r="A641" s="35">
        <v>44264.0</v>
      </c>
      <c r="B641" s="38">
        <v>7.25</v>
      </c>
      <c r="C641" s="11">
        <f t="shared" si="1"/>
        <v>0.01398601399</v>
      </c>
      <c r="D641" s="13">
        <f t="shared" si="2"/>
        <v>0.01398601399</v>
      </c>
      <c r="E641" s="35">
        <v>44264.0</v>
      </c>
      <c r="F641" s="12">
        <v>17323.6</v>
      </c>
      <c r="G641" s="11">
        <v>0.005190276</v>
      </c>
      <c r="H641" s="13">
        <v>0.0052</v>
      </c>
      <c r="J641" s="15"/>
      <c r="K641" s="11"/>
      <c r="L641" s="11"/>
      <c r="M641" s="11"/>
      <c r="N641" s="11"/>
    </row>
    <row r="642" ht="15.75" customHeight="1">
      <c r="A642" s="35">
        <v>44236.0</v>
      </c>
      <c r="B642" s="38">
        <v>7.15</v>
      </c>
      <c r="C642" s="11">
        <f t="shared" si="1"/>
        <v>0.1721311475</v>
      </c>
      <c r="D642" s="13">
        <f t="shared" si="2"/>
        <v>0.1721311475</v>
      </c>
      <c r="E642" s="35">
        <v>44236.0</v>
      </c>
      <c r="F642" s="12">
        <v>17234.15</v>
      </c>
      <c r="G642" s="11">
        <v>0.009246761</v>
      </c>
      <c r="H642" s="13">
        <v>0.0092</v>
      </c>
      <c r="J642" s="15"/>
      <c r="K642" s="11"/>
      <c r="L642" s="11"/>
      <c r="M642" s="11"/>
      <c r="N642" s="11"/>
    </row>
    <row r="643" ht="15.75" customHeight="1">
      <c r="A643" s="35">
        <v>44205.0</v>
      </c>
      <c r="B643" s="38">
        <v>6.1</v>
      </c>
      <c r="C643" s="11">
        <f t="shared" si="1"/>
        <v>0</v>
      </c>
      <c r="D643" s="13">
        <f t="shared" si="2"/>
        <v>0</v>
      </c>
      <c r="E643" s="35">
        <v>44205.0</v>
      </c>
      <c r="F643" s="12">
        <v>17076.25</v>
      </c>
      <c r="G643" s="11">
        <v>-0.00326578</v>
      </c>
      <c r="H643" s="13">
        <v>-0.0033</v>
      </c>
      <c r="J643" s="15"/>
      <c r="K643" s="11"/>
      <c r="L643" s="11"/>
      <c r="M643" s="11"/>
      <c r="N643" s="11"/>
    </row>
    <row r="644" ht="15.75" customHeight="1">
      <c r="A644" s="11" t="s">
        <v>495</v>
      </c>
      <c r="B644" s="38">
        <v>6.1</v>
      </c>
      <c r="C644" s="11">
        <f t="shared" si="1"/>
        <v>0.02521008403</v>
      </c>
      <c r="D644" s="13">
        <f t="shared" si="2"/>
        <v>0.02521008403</v>
      </c>
      <c r="E644" s="11" t="s">
        <v>495</v>
      </c>
      <c r="F644" s="12">
        <v>17132.2</v>
      </c>
      <c r="G644" s="11">
        <v>0.011880539</v>
      </c>
      <c r="H644" s="13">
        <v>0.0119</v>
      </c>
      <c r="J644" s="15"/>
      <c r="K644" s="11"/>
      <c r="L644" s="11"/>
      <c r="M644" s="11"/>
      <c r="N644" s="11"/>
    </row>
    <row r="645" ht="15.75" customHeight="1">
      <c r="A645" s="11" t="s">
        <v>496</v>
      </c>
      <c r="B645" s="38">
        <v>5.95</v>
      </c>
      <c r="C645" s="11">
        <f t="shared" si="1"/>
        <v>-0.008333333333</v>
      </c>
      <c r="D645" s="13">
        <f t="shared" si="2"/>
        <v>-0.008333333333</v>
      </c>
      <c r="E645" s="11" t="s">
        <v>496</v>
      </c>
      <c r="F645" s="12">
        <v>16931.05</v>
      </c>
      <c r="G645" s="11">
        <v>0.013519742</v>
      </c>
      <c r="H645" s="13">
        <v>0.0135</v>
      </c>
      <c r="J645" s="15"/>
      <c r="K645" s="11"/>
      <c r="L645" s="11"/>
      <c r="M645" s="11"/>
      <c r="N645" s="11"/>
    </row>
    <row r="646" ht="15.75" customHeight="1">
      <c r="A646" s="11" t="s">
        <v>497</v>
      </c>
      <c r="B646" s="38">
        <v>6.0</v>
      </c>
      <c r="C646" s="11">
        <f t="shared" si="1"/>
        <v>0.01694915254</v>
      </c>
      <c r="D646" s="13">
        <f t="shared" si="2"/>
        <v>0.01694915254</v>
      </c>
      <c r="E646" s="11" t="s">
        <v>497</v>
      </c>
      <c r="F646" s="12">
        <v>16705.2</v>
      </c>
      <c r="G646" s="11">
        <v>0.004105332</v>
      </c>
      <c r="H646" s="13">
        <v>0.0041</v>
      </c>
      <c r="J646" s="15"/>
      <c r="K646" s="11"/>
      <c r="L646" s="11"/>
      <c r="M646" s="11"/>
      <c r="N646" s="11"/>
    </row>
    <row r="647" ht="15.75" customHeight="1">
      <c r="A647" s="11" t="s">
        <v>498</v>
      </c>
      <c r="B647" s="38">
        <v>5.9</v>
      </c>
      <c r="C647" s="11">
        <f t="shared" si="1"/>
        <v>-0.06349206349</v>
      </c>
      <c r="D647" s="13">
        <f t="shared" si="2"/>
        <v>-0.06349206349</v>
      </c>
      <c r="E647" s="11" t="s">
        <v>498</v>
      </c>
      <c r="F647" s="12">
        <v>16636.9</v>
      </c>
      <c r="G647" s="11">
        <v>1.3526E-4</v>
      </c>
      <c r="H647" s="13">
        <v>1.0E-4</v>
      </c>
      <c r="J647" s="15"/>
      <c r="K647" s="11"/>
      <c r="L647" s="11"/>
      <c r="M647" s="11"/>
      <c r="N647" s="11"/>
    </row>
    <row r="648" ht="15.75" customHeight="1">
      <c r="A648" s="11" t="s">
        <v>499</v>
      </c>
      <c r="B648" s="38">
        <v>6.3</v>
      </c>
      <c r="C648" s="11">
        <f t="shared" si="1"/>
        <v>0.008</v>
      </c>
      <c r="D648" s="13">
        <f t="shared" si="2"/>
        <v>0.008</v>
      </c>
      <c r="E648" s="11" t="s">
        <v>499</v>
      </c>
      <c r="F648" s="12">
        <v>16634.65</v>
      </c>
      <c r="G648" s="11">
        <v>6.04526E-4</v>
      </c>
      <c r="H648" s="13">
        <v>6.0E-4</v>
      </c>
      <c r="J648" s="15"/>
      <c r="K648" s="11"/>
      <c r="L648" s="11"/>
      <c r="M648" s="11"/>
      <c r="N648" s="11"/>
    </row>
    <row r="649" ht="15.75" customHeight="1">
      <c r="A649" s="11" t="s">
        <v>500</v>
      </c>
      <c r="B649" s="38">
        <v>6.25</v>
      </c>
      <c r="C649" s="11">
        <f t="shared" si="1"/>
        <v>0.04166666667</v>
      </c>
      <c r="D649" s="13">
        <f t="shared" si="2"/>
        <v>0.04166666667</v>
      </c>
      <c r="E649" s="11" t="s">
        <v>500</v>
      </c>
      <c r="F649" s="12">
        <v>16624.6</v>
      </c>
      <c r="G649" s="11">
        <v>0.007768338</v>
      </c>
      <c r="H649" s="13">
        <v>0.0078</v>
      </c>
      <c r="J649" s="15"/>
      <c r="K649" s="11"/>
      <c r="L649" s="11"/>
      <c r="M649" s="11"/>
      <c r="N649" s="11"/>
    </row>
    <row r="650" ht="15.75" customHeight="1">
      <c r="A650" s="11" t="s">
        <v>501</v>
      </c>
      <c r="B650" s="38">
        <v>6.0</v>
      </c>
      <c r="C650" s="11">
        <f t="shared" si="1"/>
        <v>0.008403361345</v>
      </c>
      <c r="D650" s="13">
        <f t="shared" si="2"/>
        <v>0.008403361345</v>
      </c>
      <c r="E650" s="11" t="s">
        <v>501</v>
      </c>
      <c r="F650" s="12">
        <v>16496.45</v>
      </c>
      <c r="G650" s="11">
        <v>0.002793228</v>
      </c>
      <c r="H650" s="13">
        <v>0.0028</v>
      </c>
      <c r="J650" s="15"/>
      <c r="K650" s="11"/>
      <c r="L650" s="11"/>
      <c r="M650" s="11"/>
      <c r="N650" s="11"/>
    </row>
    <row r="651" ht="15.75" customHeight="1">
      <c r="A651" s="11" t="s">
        <v>502</v>
      </c>
      <c r="B651" s="38">
        <v>5.95</v>
      </c>
      <c r="C651" s="11">
        <f t="shared" si="1"/>
        <v>-0.07751937984</v>
      </c>
      <c r="D651" s="13">
        <f t="shared" si="2"/>
        <v>-0.07751937984</v>
      </c>
      <c r="E651" s="11" t="s">
        <v>502</v>
      </c>
      <c r="F651" s="12">
        <v>16450.5</v>
      </c>
      <c r="G651" s="11">
        <v>-0.007142922</v>
      </c>
      <c r="H651" s="13">
        <v>-0.0071</v>
      </c>
      <c r="J651" s="15"/>
      <c r="K651" s="11"/>
      <c r="L651" s="11"/>
      <c r="M651" s="11"/>
      <c r="N651" s="11"/>
    </row>
    <row r="652" ht="15.75" customHeight="1">
      <c r="A652" s="11" t="s">
        <v>503</v>
      </c>
      <c r="B652" s="38">
        <v>6.45</v>
      </c>
      <c r="C652" s="11">
        <f t="shared" si="1"/>
        <v>0.1217391304</v>
      </c>
      <c r="D652" s="13">
        <f t="shared" si="2"/>
        <v>0.1217391304</v>
      </c>
      <c r="E652" s="11" t="s">
        <v>503</v>
      </c>
      <c r="F652" s="12">
        <v>16568.85</v>
      </c>
      <c r="G652" s="11">
        <v>-0.002753602</v>
      </c>
      <c r="H652" s="13">
        <v>-0.0028</v>
      </c>
      <c r="J652" s="15"/>
      <c r="K652" s="11"/>
      <c r="L652" s="11"/>
      <c r="M652" s="11"/>
      <c r="N652" s="11"/>
    </row>
    <row r="653" ht="15.75" customHeight="1">
      <c r="A653" s="11" t="s">
        <v>504</v>
      </c>
      <c r="B653" s="38">
        <v>5.75</v>
      </c>
      <c r="C653" s="11">
        <f t="shared" si="1"/>
        <v>-0.03361344538</v>
      </c>
      <c r="D653" s="13">
        <f t="shared" si="2"/>
        <v>-0.03361344538</v>
      </c>
      <c r="E653" s="11" t="s">
        <v>504</v>
      </c>
      <c r="F653" s="12">
        <v>16614.6</v>
      </c>
      <c r="G653" s="11">
        <v>0.003112349</v>
      </c>
      <c r="H653" s="13">
        <v>0.0031</v>
      </c>
      <c r="J653" s="15"/>
      <c r="K653" s="11"/>
      <c r="L653" s="11"/>
      <c r="M653" s="11"/>
      <c r="N653" s="11"/>
    </row>
    <row r="654" ht="15.75" customHeight="1">
      <c r="A654" s="11" t="s">
        <v>505</v>
      </c>
      <c r="B654" s="38">
        <v>5.95</v>
      </c>
      <c r="C654" s="11">
        <f t="shared" si="1"/>
        <v>-0.05555555556</v>
      </c>
      <c r="D654" s="13">
        <f t="shared" si="2"/>
        <v>-0.05555555556</v>
      </c>
      <c r="E654" s="11" t="s">
        <v>505</v>
      </c>
      <c r="F654" s="12">
        <v>16563.05</v>
      </c>
      <c r="G654" s="11">
        <v>0.002053953</v>
      </c>
      <c r="H654" s="13">
        <v>0.0021</v>
      </c>
      <c r="J654" s="15"/>
      <c r="K654" s="11"/>
      <c r="L654" s="11"/>
      <c r="M654" s="11"/>
      <c r="N654" s="11"/>
    </row>
    <row r="655" ht="15.75" customHeight="1">
      <c r="A655" s="11" t="s">
        <v>506</v>
      </c>
      <c r="B655" s="38">
        <v>6.3</v>
      </c>
      <c r="C655" s="11">
        <f t="shared" si="1"/>
        <v>-0.03076923077</v>
      </c>
      <c r="D655" s="13">
        <f t="shared" si="2"/>
        <v>-0.03076923077</v>
      </c>
      <c r="E655" s="11" t="s">
        <v>506</v>
      </c>
      <c r="F655" s="12">
        <v>16529.1</v>
      </c>
      <c r="G655" s="11">
        <v>0.01006453</v>
      </c>
      <c r="H655" s="13">
        <v>0.0101</v>
      </c>
      <c r="J655" s="15"/>
      <c r="K655" s="11"/>
      <c r="L655" s="11"/>
      <c r="M655" s="11"/>
      <c r="N655" s="11"/>
    </row>
    <row r="656" ht="15.75" customHeight="1">
      <c r="A656" s="35">
        <v>44538.0</v>
      </c>
      <c r="B656" s="38">
        <v>6.5</v>
      </c>
      <c r="C656" s="11">
        <f t="shared" si="1"/>
        <v>-0.02255639098</v>
      </c>
      <c r="D656" s="13">
        <f t="shared" si="2"/>
        <v>-0.02255639098</v>
      </c>
      <c r="E656" s="35">
        <v>44538.0</v>
      </c>
      <c r="F656" s="12">
        <v>16364.4</v>
      </c>
      <c r="G656" s="11">
        <v>0.005045371</v>
      </c>
      <c r="H656" s="13">
        <v>0.005</v>
      </c>
      <c r="J656" s="15"/>
      <c r="K656" s="11"/>
      <c r="L656" s="11"/>
      <c r="M656" s="11"/>
      <c r="N656" s="11"/>
    </row>
    <row r="657" ht="15.75" customHeight="1">
      <c r="A657" s="35">
        <v>44508.0</v>
      </c>
      <c r="B657" s="38">
        <v>6.65</v>
      </c>
      <c r="C657" s="11">
        <f t="shared" si="1"/>
        <v>0</v>
      </c>
      <c r="D657" s="13">
        <f t="shared" si="2"/>
        <v>0</v>
      </c>
      <c r="E657" s="35">
        <v>44508.0</v>
      </c>
      <c r="F657" s="12">
        <v>16282.25</v>
      </c>
      <c r="G657" s="11">
        <v>1.32063E-4</v>
      </c>
      <c r="H657" s="13">
        <v>1.0E-4</v>
      </c>
      <c r="J657" s="15"/>
      <c r="K657" s="11"/>
      <c r="L657" s="11"/>
      <c r="M657" s="11"/>
      <c r="N657" s="11"/>
    </row>
    <row r="658" ht="15.75" customHeight="1">
      <c r="A658" s="35">
        <v>44477.0</v>
      </c>
      <c r="B658" s="38">
        <v>6.65</v>
      </c>
      <c r="C658" s="11">
        <f t="shared" si="1"/>
        <v>-0.03623188406</v>
      </c>
      <c r="D658" s="13">
        <f t="shared" si="2"/>
        <v>-0.03623188406</v>
      </c>
      <c r="E658" s="35">
        <v>44477.0</v>
      </c>
      <c r="F658" s="12">
        <v>16280.1</v>
      </c>
      <c r="G658" s="11">
        <v>0.001343933</v>
      </c>
      <c r="H658" s="13">
        <v>0.0013</v>
      </c>
      <c r="J658" s="15"/>
      <c r="K658" s="11"/>
      <c r="L658" s="11"/>
      <c r="M658" s="11"/>
      <c r="N658" s="11"/>
    </row>
    <row r="659" ht="15.75" customHeight="1">
      <c r="A659" s="35">
        <v>44447.0</v>
      </c>
      <c r="B659" s="38">
        <v>6.9</v>
      </c>
      <c r="C659" s="11">
        <f t="shared" si="1"/>
        <v>-0.02816901408</v>
      </c>
      <c r="D659" s="13">
        <f t="shared" si="2"/>
        <v>-0.02816901408</v>
      </c>
      <c r="E659" s="35">
        <v>44447.0</v>
      </c>
      <c r="F659" s="12">
        <v>16258.25</v>
      </c>
      <c r="G659" s="11">
        <v>0.001234743</v>
      </c>
      <c r="H659" s="13">
        <v>0.0012</v>
      </c>
      <c r="J659" s="15"/>
      <c r="K659" s="11"/>
      <c r="L659" s="11"/>
      <c r="M659" s="11"/>
      <c r="N659" s="11"/>
    </row>
    <row r="660" ht="15.75" customHeight="1">
      <c r="A660" s="35">
        <v>44355.0</v>
      </c>
      <c r="B660" s="38">
        <v>7.1</v>
      </c>
      <c r="C660" s="11">
        <f t="shared" si="1"/>
        <v>0.1932773109</v>
      </c>
      <c r="D660" s="13">
        <f t="shared" si="2"/>
        <v>0.1932773109</v>
      </c>
      <c r="E660" s="35">
        <v>44355.0</v>
      </c>
      <c r="F660" s="12">
        <v>16238.2</v>
      </c>
      <c r="G660" s="11">
        <v>-0.003461269</v>
      </c>
      <c r="H660" s="13">
        <v>-0.0035</v>
      </c>
      <c r="J660" s="15"/>
      <c r="K660" s="11"/>
      <c r="L660" s="11"/>
      <c r="M660" s="11"/>
      <c r="N660" s="11"/>
    </row>
    <row r="661" ht="15.75" customHeight="1">
      <c r="A661" s="35">
        <v>44324.0</v>
      </c>
      <c r="B661" s="38">
        <v>5.95</v>
      </c>
      <c r="C661" s="11">
        <f t="shared" si="1"/>
        <v>-0.008333333333</v>
      </c>
      <c r="D661" s="13">
        <f t="shared" si="2"/>
        <v>-0.008333333333</v>
      </c>
      <c r="E661" s="35">
        <v>44324.0</v>
      </c>
      <c r="F661" s="12">
        <v>16294.6</v>
      </c>
      <c r="G661" s="11">
        <v>0.002201885</v>
      </c>
      <c r="H661" s="13">
        <v>0.0022</v>
      </c>
      <c r="J661" s="15"/>
      <c r="K661" s="11"/>
      <c r="L661" s="11"/>
      <c r="M661" s="11"/>
      <c r="N661" s="11"/>
    </row>
    <row r="662" ht="15.75" customHeight="1">
      <c r="A662" s="35">
        <v>44294.0</v>
      </c>
      <c r="B662" s="38">
        <v>6.0</v>
      </c>
      <c r="C662" s="11">
        <f t="shared" si="1"/>
        <v>-0.1891891892</v>
      </c>
      <c r="D662" s="13">
        <f t="shared" si="2"/>
        <v>-0.1891891892</v>
      </c>
      <c r="E662" s="35">
        <v>44294.0</v>
      </c>
      <c r="F662" s="12">
        <v>16258.8</v>
      </c>
      <c r="G662" s="11">
        <v>0.007938255</v>
      </c>
      <c r="H662" s="13">
        <v>0.0079</v>
      </c>
      <c r="J662" s="15"/>
      <c r="K662" s="11"/>
      <c r="L662" s="11"/>
      <c r="M662" s="11"/>
      <c r="N662" s="11"/>
    </row>
    <row r="663" ht="15.75" customHeight="1">
      <c r="A663" s="35">
        <v>44263.0</v>
      </c>
      <c r="B663" s="38">
        <v>7.4</v>
      </c>
      <c r="C663" s="11">
        <f t="shared" si="1"/>
        <v>-0.103030303</v>
      </c>
      <c r="D663" s="13">
        <f t="shared" si="2"/>
        <v>-0.103030303</v>
      </c>
      <c r="E663" s="35">
        <v>44263.0</v>
      </c>
      <c r="F663" s="12">
        <v>16130.75</v>
      </c>
      <c r="G663" s="11">
        <v>0.015460981</v>
      </c>
      <c r="H663" s="13">
        <v>0.0155</v>
      </c>
      <c r="J663" s="15"/>
      <c r="K663" s="11"/>
      <c r="L663" s="11"/>
      <c r="M663" s="11"/>
      <c r="N663" s="11"/>
    </row>
    <row r="664" ht="15.75" customHeight="1">
      <c r="A664" s="35">
        <v>44235.0</v>
      </c>
      <c r="B664" s="38">
        <v>8.25</v>
      </c>
      <c r="C664" s="11">
        <f t="shared" si="1"/>
        <v>0</v>
      </c>
      <c r="D664" s="13">
        <f t="shared" si="2"/>
        <v>0</v>
      </c>
      <c r="E664" s="35">
        <v>44235.0</v>
      </c>
      <c r="F664" s="12">
        <v>15885.15</v>
      </c>
      <c r="G664" s="11">
        <v>0.007745963</v>
      </c>
      <c r="H664" s="13">
        <v>0.0077</v>
      </c>
      <c r="J664" s="15"/>
      <c r="K664" s="11"/>
      <c r="L664" s="11"/>
      <c r="M664" s="11"/>
      <c r="N664" s="11"/>
    </row>
    <row r="665" ht="15.75" customHeight="1">
      <c r="A665" s="11" t="s">
        <v>507</v>
      </c>
      <c r="B665" s="38">
        <v>8.25</v>
      </c>
      <c r="C665" s="11">
        <f t="shared" si="1"/>
        <v>0</v>
      </c>
      <c r="D665" s="13">
        <f t="shared" si="2"/>
        <v>0</v>
      </c>
      <c r="E665" s="11" t="s">
        <v>507</v>
      </c>
      <c r="F665" s="12">
        <v>15763.05</v>
      </c>
      <c r="G665" s="11">
        <v>-9.76015E-4</v>
      </c>
      <c r="H665" s="13">
        <v>-0.001</v>
      </c>
      <c r="J665" s="15"/>
      <c r="K665" s="11"/>
      <c r="L665" s="11"/>
      <c r="M665" s="11"/>
      <c r="N665" s="11"/>
    </row>
    <row r="666" ht="15.75" customHeight="1">
      <c r="A666" s="11" t="s">
        <v>508</v>
      </c>
      <c r="B666" s="38">
        <v>8.25</v>
      </c>
      <c r="C666" s="11">
        <f t="shared" si="1"/>
        <v>-0.0119760479</v>
      </c>
      <c r="D666" s="13">
        <f t="shared" si="2"/>
        <v>-0.0119760479</v>
      </c>
      <c r="E666" s="11" t="s">
        <v>508</v>
      </c>
      <c r="F666" s="12">
        <v>15778.45</v>
      </c>
      <c r="G666" s="11">
        <v>0.004395457</v>
      </c>
      <c r="H666" s="13">
        <v>0.0044</v>
      </c>
      <c r="J666" s="15"/>
      <c r="K666" s="11"/>
      <c r="L666" s="11"/>
      <c r="M666" s="11"/>
      <c r="N666" s="11"/>
    </row>
    <row r="667" ht="15.75" customHeight="1">
      <c r="A667" s="11" t="s">
        <v>509</v>
      </c>
      <c r="B667" s="38">
        <v>8.35</v>
      </c>
      <c r="C667" s="11">
        <f t="shared" si="1"/>
        <v>-0.005952380952</v>
      </c>
      <c r="D667" s="13">
        <f t="shared" si="2"/>
        <v>-0.005952380952</v>
      </c>
      <c r="E667" s="11" t="s">
        <v>509</v>
      </c>
      <c r="F667" s="12">
        <v>15709.4</v>
      </c>
      <c r="G667" s="11">
        <v>-0.002352911</v>
      </c>
      <c r="H667" s="13">
        <v>-0.0024</v>
      </c>
      <c r="J667" s="15"/>
      <c r="K667" s="11"/>
      <c r="L667" s="11"/>
      <c r="M667" s="11"/>
      <c r="N667" s="11"/>
    </row>
    <row r="668" ht="15.75" customHeight="1">
      <c r="A668" s="11" t="s">
        <v>510</v>
      </c>
      <c r="B668" s="38">
        <v>8.4</v>
      </c>
      <c r="C668" s="11">
        <f t="shared" si="1"/>
        <v>0.01204819277</v>
      </c>
      <c r="D668" s="13">
        <f t="shared" si="2"/>
        <v>0.01204819277</v>
      </c>
      <c r="E668" s="11" t="s">
        <v>510</v>
      </c>
      <c r="F668" s="12">
        <v>15746.45</v>
      </c>
      <c r="G668" s="11">
        <v>-0.004929081</v>
      </c>
      <c r="H668" s="13">
        <v>-0.0049</v>
      </c>
      <c r="J668" s="15"/>
      <c r="K668" s="11"/>
      <c r="L668" s="11"/>
      <c r="M668" s="11"/>
      <c r="N668" s="11"/>
    </row>
    <row r="669" ht="15.75" customHeight="1">
      <c r="A669" s="11" t="s">
        <v>511</v>
      </c>
      <c r="B669" s="38">
        <v>8.3</v>
      </c>
      <c r="C669" s="11">
        <f t="shared" si="1"/>
        <v>-0.005988023952</v>
      </c>
      <c r="D669" s="13">
        <f t="shared" si="2"/>
        <v>-0.005988023952</v>
      </c>
      <c r="E669" s="11" t="s">
        <v>511</v>
      </c>
      <c r="F669" s="12">
        <v>15824.45</v>
      </c>
      <c r="G669" s="11">
        <v>-0.00199293</v>
      </c>
      <c r="H669" s="13">
        <v>-0.002</v>
      </c>
      <c r="J669" s="15"/>
      <c r="K669" s="11"/>
      <c r="L669" s="11"/>
      <c r="M669" s="11"/>
      <c r="N669" s="11"/>
    </row>
    <row r="670" ht="15.75" customHeight="1">
      <c r="A670" s="11" t="s">
        <v>512</v>
      </c>
      <c r="B670" s="38">
        <v>8.35</v>
      </c>
      <c r="C670" s="11">
        <f t="shared" si="1"/>
        <v>-0.0972972973</v>
      </c>
      <c r="D670" s="13">
        <f t="shared" si="2"/>
        <v>-0.0972972973</v>
      </c>
      <c r="E670" s="11" t="s">
        <v>512</v>
      </c>
      <c r="F670" s="12">
        <v>15856.05</v>
      </c>
      <c r="G670" s="11">
        <v>0.002022238</v>
      </c>
      <c r="H670" s="13">
        <v>0.002</v>
      </c>
      <c r="J670" s="15"/>
      <c r="K670" s="11"/>
      <c r="L670" s="11"/>
      <c r="M670" s="11"/>
      <c r="N670" s="11"/>
    </row>
    <row r="671" ht="15.75" customHeight="1">
      <c r="A671" s="11" t="s">
        <v>513</v>
      </c>
      <c r="B671" s="38">
        <v>9.25</v>
      </c>
      <c r="C671" s="11">
        <f t="shared" si="1"/>
        <v>0.02777777778</v>
      </c>
      <c r="D671" s="13">
        <f t="shared" si="2"/>
        <v>0.02777777778</v>
      </c>
      <c r="E671" s="11" t="s">
        <v>513</v>
      </c>
      <c r="F671" s="12">
        <v>15824.05</v>
      </c>
      <c r="G671" s="11">
        <v>0.01227922</v>
      </c>
      <c r="H671" s="13">
        <v>0.0123</v>
      </c>
      <c r="J671" s="15"/>
      <c r="K671" s="11"/>
      <c r="L671" s="11"/>
      <c r="M671" s="11"/>
      <c r="N671" s="11"/>
    </row>
    <row r="672" ht="15.75" customHeight="1">
      <c r="A672" s="11" t="s">
        <v>514</v>
      </c>
      <c r="B672" s="38">
        <v>9.0</v>
      </c>
      <c r="C672" s="11">
        <f t="shared" si="1"/>
        <v>-0.01639344262</v>
      </c>
      <c r="D672" s="13">
        <f t="shared" si="2"/>
        <v>-0.01639344262</v>
      </c>
      <c r="E672" s="11" t="s">
        <v>514</v>
      </c>
      <c r="F672" s="12">
        <v>15632.1</v>
      </c>
      <c r="G672" s="11">
        <v>-0.007636932</v>
      </c>
      <c r="H672" s="13">
        <v>-0.0076</v>
      </c>
      <c r="J672" s="15"/>
      <c r="K672" s="11"/>
      <c r="L672" s="11"/>
      <c r="M672" s="11"/>
      <c r="N672" s="11"/>
    </row>
    <row r="673" ht="15.75" customHeight="1">
      <c r="A673" s="11" t="s">
        <v>515</v>
      </c>
      <c r="B673" s="38">
        <v>9.15</v>
      </c>
      <c r="C673" s="11">
        <f t="shared" si="1"/>
        <v>-0.03174603175</v>
      </c>
      <c r="D673" s="13">
        <f t="shared" si="2"/>
        <v>-0.03174603175</v>
      </c>
      <c r="E673" s="11" t="s">
        <v>515</v>
      </c>
      <c r="F673" s="12">
        <v>15752.4</v>
      </c>
      <c r="G673" s="11">
        <v>-0.010738913</v>
      </c>
      <c r="H673" s="13">
        <v>-0.0107</v>
      </c>
      <c r="J673" s="15"/>
      <c r="K673" s="11"/>
      <c r="L673" s="11"/>
      <c r="M673" s="11"/>
      <c r="N673" s="11"/>
    </row>
    <row r="674" ht="15.75" customHeight="1">
      <c r="A674" s="11" t="s">
        <v>516</v>
      </c>
      <c r="B674" s="38">
        <v>9.45</v>
      </c>
      <c r="C674" s="11">
        <f t="shared" si="1"/>
        <v>0.08</v>
      </c>
      <c r="D674" s="13">
        <f t="shared" si="2"/>
        <v>0.08</v>
      </c>
      <c r="E674" s="11" t="s">
        <v>516</v>
      </c>
      <c r="F674" s="12">
        <v>15923.4</v>
      </c>
      <c r="G674" s="45">
        <v>-5.0238E-5</v>
      </c>
      <c r="H674" s="13">
        <v>-1.0E-4</v>
      </c>
      <c r="J674" s="15"/>
      <c r="K674" s="11"/>
      <c r="L674" s="11"/>
      <c r="M674" s="11"/>
      <c r="N674" s="11"/>
    </row>
    <row r="675" ht="15.75" customHeight="1">
      <c r="A675" s="11" t="s">
        <v>517</v>
      </c>
      <c r="B675" s="38">
        <v>8.75</v>
      </c>
      <c r="C675" s="11">
        <f t="shared" si="1"/>
        <v>-0.005681818182</v>
      </c>
      <c r="D675" s="13">
        <f t="shared" si="2"/>
        <v>-0.005681818182</v>
      </c>
      <c r="E675" s="11" t="s">
        <v>517</v>
      </c>
      <c r="F675" s="12">
        <v>15924.2</v>
      </c>
      <c r="G675" s="11">
        <v>0.004431072</v>
      </c>
      <c r="H675" s="13">
        <v>0.0044</v>
      </c>
      <c r="J675" s="15"/>
      <c r="K675" s="11"/>
      <c r="L675" s="11"/>
      <c r="M675" s="11"/>
      <c r="N675" s="11"/>
    </row>
    <row r="676" ht="15.75" customHeight="1">
      <c r="A676" s="11" t="s">
        <v>518</v>
      </c>
      <c r="B676" s="38">
        <v>8.8</v>
      </c>
      <c r="C676" s="11">
        <f t="shared" si="1"/>
        <v>-0.005649717514</v>
      </c>
      <c r="D676" s="13">
        <f t="shared" si="2"/>
        <v>-0.005649717514</v>
      </c>
      <c r="E676" s="11" t="s">
        <v>518</v>
      </c>
      <c r="F676" s="12">
        <v>15853.95</v>
      </c>
      <c r="G676" s="11">
        <v>0.002630855</v>
      </c>
      <c r="H676" s="13">
        <v>0.0026</v>
      </c>
      <c r="J676" s="15"/>
      <c r="K676" s="11"/>
      <c r="L676" s="11"/>
      <c r="M676" s="11"/>
      <c r="N676" s="11"/>
    </row>
    <row r="677" ht="15.75" customHeight="1">
      <c r="A677" s="11" t="s">
        <v>519</v>
      </c>
      <c r="B677" s="38">
        <v>8.85</v>
      </c>
      <c r="C677" s="11">
        <f t="shared" si="1"/>
        <v>-0.01666666667</v>
      </c>
      <c r="D677" s="13">
        <f t="shared" si="2"/>
        <v>-0.01666666667</v>
      </c>
      <c r="E677" s="11" t="s">
        <v>519</v>
      </c>
      <c r="F677" s="12">
        <v>15812.35</v>
      </c>
      <c r="G677" s="11">
        <v>0.007630985</v>
      </c>
      <c r="H677" s="13">
        <v>0.0076</v>
      </c>
      <c r="J677" s="15"/>
      <c r="K677" s="11"/>
      <c r="L677" s="11"/>
      <c r="M677" s="11"/>
      <c r="N677" s="11"/>
    </row>
    <row r="678" ht="15.75" customHeight="1">
      <c r="A678" s="35">
        <v>44537.0</v>
      </c>
      <c r="B678" s="38">
        <v>9.0</v>
      </c>
      <c r="C678" s="11">
        <f t="shared" si="1"/>
        <v>-0.005524861878</v>
      </c>
      <c r="D678" s="13">
        <f t="shared" si="2"/>
        <v>-0.005524861878</v>
      </c>
      <c r="E678" s="35">
        <v>44537.0</v>
      </c>
      <c r="F678" s="12">
        <v>15692.6</v>
      </c>
      <c r="G678" s="11">
        <v>1.7846E-4</v>
      </c>
      <c r="H678" s="13">
        <v>2.0E-4</v>
      </c>
      <c r="J678" s="15"/>
      <c r="K678" s="11"/>
      <c r="L678" s="11"/>
      <c r="M678" s="11"/>
      <c r="N678" s="11"/>
    </row>
    <row r="679" ht="15.75" customHeight="1">
      <c r="A679" s="35">
        <v>44446.0</v>
      </c>
      <c r="B679" s="38">
        <v>9.05</v>
      </c>
      <c r="C679" s="11">
        <f t="shared" si="1"/>
        <v>0.02840909091</v>
      </c>
      <c r="D679" s="13">
        <f t="shared" si="2"/>
        <v>0.02840909091</v>
      </c>
      <c r="E679" s="35">
        <v>44446.0</v>
      </c>
      <c r="F679" s="12">
        <v>15689.8</v>
      </c>
      <c r="G679" s="11">
        <v>-0.002422447</v>
      </c>
      <c r="H679" s="13">
        <v>-0.0024</v>
      </c>
      <c r="J679" s="15"/>
      <c r="K679" s="11"/>
      <c r="L679" s="11"/>
      <c r="M679" s="11"/>
      <c r="N679" s="11"/>
    </row>
    <row r="680" ht="15.75" customHeight="1">
      <c r="A680" s="35">
        <v>44415.0</v>
      </c>
      <c r="B680" s="38">
        <v>8.8</v>
      </c>
      <c r="C680" s="11">
        <f t="shared" si="1"/>
        <v>-0.005649717514</v>
      </c>
      <c r="D680" s="13">
        <f t="shared" si="2"/>
        <v>-0.005649717514</v>
      </c>
      <c r="E680" s="35">
        <v>44415.0</v>
      </c>
      <c r="F680" s="12">
        <v>15727.9</v>
      </c>
      <c r="G680" s="11">
        <v>-0.009556256</v>
      </c>
      <c r="H680" s="13">
        <v>-0.0096</v>
      </c>
      <c r="J680" s="15"/>
      <c r="K680" s="11"/>
      <c r="L680" s="11"/>
      <c r="M680" s="11"/>
      <c r="N680" s="11"/>
    </row>
    <row r="681" ht="15.75" customHeight="1">
      <c r="A681" s="35">
        <v>44384.0</v>
      </c>
      <c r="B681" s="38">
        <v>8.85</v>
      </c>
      <c r="C681" s="11">
        <f t="shared" si="1"/>
        <v>0.005681818182</v>
      </c>
      <c r="D681" s="13">
        <f t="shared" si="2"/>
        <v>0.005681818182</v>
      </c>
      <c r="E681" s="35">
        <v>44384.0</v>
      </c>
      <c r="F681" s="12">
        <v>15879.65</v>
      </c>
      <c r="G681" s="11">
        <v>0.003881592</v>
      </c>
      <c r="H681" s="13">
        <v>0.0039</v>
      </c>
      <c r="J681" s="15"/>
      <c r="K681" s="11"/>
      <c r="L681" s="11"/>
      <c r="M681" s="11"/>
      <c r="N681" s="11"/>
    </row>
    <row r="682" ht="15.75" customHeight="1">
      <c r="A682" s="35">
        <v>44354.0</v>
      </c>
      <c r="B682" s="38">
        <v>8.8</v>
      </c>
      <c r="C682" s="11">
        <f t="shared" si="1"/>
        <v>-0.03296703297</v>
      </c>
      <c r="D682" s="13">
        <f t="shared" si="2"/>
        <v>-0.03296703297</v>
      </c>
      <c r="E682" s="35">
        <v>44354.0</v>
      </c>
      <c r="F682" s="12">
        <v>15818.25</v>
      </c>
      <c r="G682" s="11">
        <v>-0.001016777</v>
      </c>
      <c r="H682" s="13">
        <v>-0.001</v>
      </c>
      <c r="J682" s="15"/>
      <c r="K682" s="11"/>
      <c r="L682" s="11"/>
      <c r="M682" s="11"/>
      <c r="N682" s="11"/>
    </row>
    <row r="683" ht="15.75" customHeight="1">
      <c r="A683" s="35">
        <v>44323.0</v>
      </c>
      <c r="B683" s="38">
        <v>9.1</v>
      </c>
      <c r="C683" s="11">
        <f t="shared" si="1"/>
        <v>0.03409090909</v>
      </c>
      <c r="D683" s="13">
        <f t="shared" si="2"/>
        <v>0.03409090909</v>
      </c>
      <c r="E683" s="35">
        <v>44323.0</v>
      </c>
      <c r="F683" s="12">
        <v>15834.35</v>
      </c>
      <c r="G683" s="11">
        <v>0.007133226</v>
      </c>
      <c r="H683" s="13">
        <v>0.0071</v>
      </c>
      <c r="J683" s="15"/>
      <c r="K683" s="11"/>
      <c r="L683" s="11"/>
      <c r="M683" s="11"/>
      <c r="N683" s="11"/>
    </row>
    <row r="684" ht="15.75" customHeight="1">
      <c r="A684" s="35">
        <v>44234.0</v>
      </c>
      <c r="B684" s="38">
        <v>8.8</v>
      </c>
      <c r="C684" s="11">
        <f t="shared" si="1"/>
        <v>-0.02762430939</v>
      </c>
      <c r="D684" s="13">
        <f t="shared" si="2"/>
        <v>-0.02762430939</v>
      </c>
      <c r="E684" s="35">
        <v>44234.0</v>
      </c>
      <c r="F684" s="12">
        <v>15722.2</v>
      </c>
      <c r="G684" s="11">
        <v>0.002691327</v>
      </c>
      <c r="H684" s="13">
        <v>0.0027</v>
      </c>
      <c r="J684" s="15"/>
      <c r="K684" s="11"/>
      <c r="L684" s="11"/>
      <c r="M684" s="11"/>
      <c r="N684" s="11"/>
    </row>
    <row r="685" ht="15.75" customHeight="1">
      <c r="A685" s="35">
        <v>44203.0</v>
      </c>
      <c r="B685" s="38">
        <v>9.05</v>
      </c>
      <c r="C685" s="11">
        <f t="shared" si="1"/>
        <v>-0.09045226131</v>
      </c>
      <c r="D685" s="13">
        <f t="shared" si="2"/>
        <v>-0.09045226131</v>
      </c>
      <c r="E685" s="35">
        <v>44203.0</v>
      </c>
      <c r="F685" s="12">
        <v>15680.0</v>
      </c>
      <c r="G685" s="11">
        <v>-0.002639697</v>
      </c>
      <c r="H685" s="13">
        <v>-0.0026</v>
      </c>
      <c r="J685" s="15"/>
      <c r="K685" s="11"/>
      <c r="L685" s="11"/>
      <c r="M685" s="11"/>
      <c r="N685" s="11"/>
    </row>
    <row r="686" ht="15.75" customHeight="1">
      <c r="A686" s="11" t="s">
        <v>520</v>
      </c>
      <c r="B686" s="38">
        <v>9.95</v>
      </c>
      <c r="C686" s="11">
        <f t="shared" si="1"/>
        <v>-0.01485148515</v>
      </c>
      <c r="D686" s="13">
        <f t="shared" si="2"/>
        <v>-0.01485148515</v>
      </c>
      <c r="E686" s="11" t="s">
        <v>520</v>
      </c>
      <c r="F686" s="12">
        <v>15721.5</v>
      </c>
      <c r="G686" s="11">
        <v>-0.00171128</v>
      </c>
      <c r="H686" s="13">
        <v>-0.0017</v>
      </c>
      <c r="J686" s="15"/>
      <c r="K686" s="11"/>
      <c r="L686" s="11"/>
      <c r="M686" s="11"/>
      <c r="N686" s="11"/>
    </row>
    <row r="687" ht="15.75" customHeight="1">
      <c r="A687" s="11" t="s">
        <v>521</v>
      </c>
      <c r="B687" s="38">
        <v>10.1</v>
      </c>
      <c r="C687" s="11">
        <f t="shared" si="1"/>
        <v>-0.03349282297</v>
      </c>
      <c r="D687" s="13">
        <f t="shared" si="2"/>
        <v>-0.03349282297</v>
      </c>
      <c r="E687" s="11" t="s">
        <v>521</v>
      </c>
      <c r="F687" s="12">
        <v>15748.45</v>
      </c>
      <c r="G687" s="11">
        <v>-0.00418914</v>
      </c>
      <c r="H687" s="13">
        <v>-0.0042</v>
      </c>
      <c r="J687" s="15"/>
      <c r="K687" s="11"/>
      <c r="L687" s="11"/>
      <c r="M687" s="11"/>
      <c r="N687" s="11"/>
    </row>
    <row r="688" ht="15.75" customHeight="1">
      <c r="A688" s="11" t="s">
        <v>522</v>
      </c>
      <c r="B688" s="38">
        <v>10.45</v>
      </c>
      <c r="C688" s="11">
        <f t="shared" si="1"/>
        <v>-0.0141509434</v>
      </c>
      <c r="D688" s="13">
        <f t="shared" si="2"/>
        <v>-0.0141509434</v>
      </c>
      <c r="E688" s="11" t="s">
        <v>522</v>
      </c>
      <c r="F688" s="12">
        <v>15814.7</v>
      </c>
      <c r="G688" s="11">
        <v>-0.002878247</v>
      </c>
      <c r="H688" s="13">
        <v>-0.0029</v>
      </c>
      <c r="J688" s="15"/>
      <c r="K688" s="11"/>
      <c r="L688" s="11"/>
      <c r="M688" s="11"/>
      <c r="N688" s="11"/>
    </row>
    <row r="689" ht="15.75" customHeight="1">
      <c r="A689" s="11" t="s">
        <v>523</v>
      </c>
      <c r="B689" s="38">
        <v>10.6</v>
      </c>
      <c r="C689" s="11">
        <f t="shared" si="1"/>
        <v>0.109947644</v>
      </c>
      <c r="D689" s="13">
        <f t="shared" si="2"/>
        <v>0.109947644</v>
      </c>
      <c r="E689" s="11" t="s">
        <v>523</v>
      </c>
      <c r="F689" s="12">
        <v>15860.35</v>
      </c>
      <c r="G689" s="11">
        <v>0.004426726</v>
      </c>
      <c r="H689" s="13">
        <v>0.0044</v>
      </c>
      <c r="J689" s="15"/>
      <c r="K689" s="11"/>
      <c r="L689" s="11"/>
      <c r="M689" s="11"/>
      <c r="N689" s="11"/>
    </row>
    <row r="690" ht="15.75" customHeight="1">
      <c r="A690" s="11" t="s">
        <v>524</v>
      </c>
      <c r="B690" s="38">
        <v>9.55</v>
      </c>
      <c r="C690" s="11">
        <f t="shared" si="1"/>
        <v>-0.04020100503</v>
      </c>
      <c r="D690" s="13">
        <f t="shared" si="2"/>
        <v>-0.04020100503</v>
      </c>
      <c r="E690" s="11" t="s">
        <v>524</v>
      </c>
      <c r="F690" s="12">
        <v>15790.45</v>
      </c>
      <c r="G690" s="11">
        <v>0.006597841</v>
      </c>
      <c r="H690" s="13">
        <v>0.0066</v>
      </c>
      <c r="J690" s="15"/>
      <c r="K690" s="11"/>
      <c r="L690" s="11"/>
      <c r="M690" s="11"/>
      <c r="N690" s="11"/>
    </row>
    <row r="691" ht="15.75" customHeight="1">
      <c r="A691" s="11" t="s">
        <v>525</v>
      </c>
      <c r="B691" s="38">
        <v>9.95</v>
      </c>
      <c r="C691" s="11">
        <f t="shared" si="1"/>
        <v>-0.005</v>
      </c>
      <c r="D691" s="13">
        <f t="shared" si="2"/>
        <v>-0.005</v>
      </c>
      <c r="E691" s="11" t="s">
        <v>525</v>
      </c>
      <c r="F691" s="12">
        <v>15686.95</v>
      </c>
      <c r="G691" s="11">
        <v>-0.005439762</v>
      </c>
      <c r="H691" s="13">
        <v>-0.0054</v>
      </c>
      <c r="J691" s="15"/>
      <c r="K691" s="11"/>
      <c r="L691" s="11"/>
      <c r="M691" s="11"/>
      <c r="N691" s="11"/>
    </row>
    <row r="692" ht="15.75" customHeight="1">
      <c r="A692" s="11" t="s">
        <v>526</v>
      </c>
      <c r="B692" s="38">
        <v>10.0</v>
      </c>
      <c r="C692" s="11">
        <f t="shared" si="1"/>
        <v>-0.01477832512</v>
      </c>
      <c r="D692" s="13">
        <f t="shared" si="2"/>
        <v>-0.01477832512</v>
      </c>
      <c r="E692" s="11" t="s">
        <v>526</v>
      </c>
      <c r="F692" s="12">
        <v>15772.75</v>
      </c>
      <c r="G692" s="11">
        <v>0.001667037</v>
      </c>
      <c r="H692" s="13">
        <v>0.0017</v>
      </c>
      <c r="J692" s="15"/>
      <c r="K692" s="11"/>
      <c r="L692" s="11"/>
      <c r="M692" s="11"/>
      <c r="N692" s="11"/>
    </row>
    <row r="693" ht="15.75" customHeight="1">
      <c r="A693" s="11" t="s">
        <v>527</v>
      </c>
      <c r="B693" s="38">
        <v>10.15</v>
      </c>
      <c r="C693" s="11">
        <f t="shared" si="1"/>
        <v>-0.0193236715</v>
      </c>
      <c r="D693" s="13">
        <f t="shared" si="2"/>
        <v>-0.0193236715</v>
      </c>
      <c r="E693" s="11" t="s">
        <v>527</v>
      </c>
      <c r="F693" s="12">
        <v>15746.5</v>
      </c>
      <c r="G693" s="11">
        <v>0.004026563</v>
      </c>
      <c r="H693" s="13">
        <v>0.004</v>
      </c>
      <c r="J693" s="15"/>
      <c r="K693" s="11"/>
      <c r="L693" s="11"/>
      <c r="M693" s="11"/>
      <c r="N693" s="11"/>
    </row>
    <row r="694" ht="15.75" customHeight="1">
      <c r="A694" s="11" t="s">
        <v>528</v>
      </c>
      <c r="B694" s="38">
        <v>10.35</v>
      </c>
      <c r="C694" s="11">
        <f t="shared" si="1"/>
        <v>0.09523809524</v>
      </c>
      <c r="D694" s="13">
        <f t="shared" si="2"/>
        <v>0.09523809524</v>
      </c>
      <c r="E694" s="11" t="s">
        <v>528</v>
      </c>
      <c r="F694" s="12">
        <v>15683.35</v>
      </c>
      <c r="G694" s="11">
        <v>-5.1302E-4</v>
      </c>
      <c r="H694" s="13">
        <v>-5.0E-4</v>
      </c>
      <c r="J694" s="15"/>
      <c r="K694" s="11"/>
      <c r="L694" s="11"/>
      <c r="M694" s="11"/>
      <c r="N694" s="11"/>
    </row>
    <row r="695" ht="15.75" customHeight="1">
      <c r="A695" s="11" t="s">
        <v>529</v>
      </c>
      <c r="B695" s="38">
        <v>9.45</v>
      </c>
      <c r="C695" s="11">
        <f t="shared" si="1"/>
        <v>-0.01047120419</v>
      </c>
      <c r="D695" s="13">
        <f t="shared" si="2"/>
        <v>-0.01047120419</v>
      </c>
      <c r="E695" s="11" t="s">
        <v>529</v>
      </c>
      <c r="F695" s="12">
        <v>15691.4</v>
      </c>
      <c r="G695" s="11">
        <v>-0.004829539</v>
      </c>
      <c r="H695" s="13">
        <v>-0.0048</v>
      </c>
      <c r="J695" s="15"/>
      <c r="K695" s="11"/>
      <c r="L695" s="11"/>
      <c r="M695" s="11"/>
      <c r="N695" s="11"/>
    </row>
    <row r="696" ht="15.75" customHeight="1">
      <c r="A696" s="11" t="s">
        <v>530</v>
      </c>
      <c r="B696" s="38">
        <v>9.55</v>
      </c>
      <c r="C696" s="11">
        <f t="shared" si="1"/>
        <v>-0.01546391753</v>
      </c>
      <c r="D696" s="13">
        <f t="shared" si="2"/>
        <v>-0.01546391753</v>
      </c>
      <c r="E696" s="11" t="s">
        <v>530</v>
      </c>
      <c r="F696" s="12">
        <v>15767.55</v>
      </c>
      <c r="G696" s="11">
        <v>-0.00640862</v>
      </c>
      <c r="H696" s="13">
        <v>-0.0064</v>
      </c>
      <c r="J696" s="15"/>
      <c r="K696" s="11"/>
      <c r="L696" s="11"/>
      <c r="M696" s="11"/>
      <c r="N696" s="11"/>
    </row>
    <row r="697" ht="15.75" customHeight="1">
      <c r="A697" s="11" t="s">
        <v>531</v>
      </c>
      <c r="B697" s="38">
        <v>9.7</v>
      </c>
      <c r="C697" s="11">
        <f t="shared" si="1"/>
        <v>0.00518134715</v>
      </c>
      <c r="D697" s="13">
        <f t="shared" si="2"/>
        <v>0.00518134715</v>
      </c>
      <c r="E697" s="11" t="s">
        <v>531</v>
      </c>
      <c r="F697" s="12">
        <v>15869.25</v>
      </c>
      <c r="G697" s="11">
        <v>0.003630189</v>
      </c>
      <c r="H697" s="13">
        <v>0.0036</v>
      </c>
      <c r="J697" s="15"/>
      <c r="K697" s="11"/>
      <c r="L697" s="11"/>
      <c r="M697" s="11"/>
      <c r="N697" s="11"/>
    </row>
    <row r="698" ht="15.75" customHeight="1">
      <c r="A698" s="11" t="s">
        <v>532</v>
      </c>
      <c r="B698" s="38">
        <v>9.65</v>
      </c>
      <c r="C698" s="11">
        <f t="shared" si="1"/>
        <v>-0.02030456853</v>
      </c>
      <c r="D698" s="13">
        <f t="shared" si="2"/>
        <v>-0.02030456853</v>
      </c>
      <c r="E698" s="11" t="s">
        <v>532</v>
      </c>
      <c r="F698" s="12">
        <v>15811.85</v>
      </c>
      <c r="G698" s="11">
        <v>7.91172E-4</v>
      </c>
      <c r="H698" s="13">
        <v>8.0E-4</v>
      </c>
      <c r="J698" s="15"/>
      <c r="K698" s="11"/>
      <c r="L698" s="11"/>
      <c r="M698" s="11"/>
      <c r="N698" s="11"/>
    </row>
    <row r="699" ht="15.75" customHeight="1">
      <c r="A699" s="35">
        <v>44506.0</v>
      </c>
      <c r="B699" s="38">
        <v>9.85</v>
      </c>
      <c r="C699" s="11">
        <f t="shared" si="1"/>
        <v>-0.01005025126</v>
      </c>
      <c r="D699" s="13">
        <f t="shared" si="2"/>
        <v>-0.01005025126</v>
      </c>
      <c r="E699" s="35">
        <v>44506.0</v>
      </c>
      <c r="F699" s="12">
        <v>15799.35</v>
      </c>
      <c r="G699" s="11">
        <v>0.003914155</v>
      </c>
      <c r="H699" s="13">
        <v>0.0039</v>
      </c>
      <c r="J699" s="15"/>
      <c r="K699" s="11"/>
      <c r="L699" s="11"/>
      <c r="M699" s="11"/>
      <c r="N699" s="11"/>
    </row>
    <row r="700" ht="15.75" customHeight="1">
      <c r="A700" s="35">
        <v>44475.0</v>
      </c>
      <c r="B700" s="38">
        <v>9.95</v>
      </c>
      <c r="C700" s="11">
        <f t="shared" si="1"/>
        <v>0.0310880829</v>
      </c>
      <c r="D700" s="13">
        <f t="shared" si="2"/>
        <v>0.0310880829</v>
      </c>
      <c r="E700" s="35">
        <v>44475.0</v>
      </c>
      <c r="F700" s="12">
        <v>15737.75</v>
      </c>
      <c r="G700" s="11">
        <v>0.006549262</v>
      </c>
      <c r="H700" s="13">
        <v>0.0065</v>
      </c>
      <c r="J700" s="15"/>
      <c r="K700" s="11"/>
      <c r="L700" s="11"/>
      <c r="M700" s="11"/>
      <c r="N700" s="11"/>
    </row>
    <row r="701" ht="15.75" customHeight="1">
      <c r="A701" s="35">
        <v>44445.0</v>
      </c>
      <c r="B701" s="38">
        <v>9.65</v>
      </c>
      <c r="C701" s="11">
        <f t="shared" si="1"/>
        <v>-0.03980099502</v>
      </c>
      <c r="D701" s="13">
        <f t="shared" si="2"/>
        <v>-0.03980099502</v>
      </c>
      <c r="E701" s="35">
        <v>44445.0</v>
      </c>
      <c r="F701" s="12">
        <v>15635.35</v>
      </c>
      <c r="G701" s="11">
        <v>-0.006654977</v>
      </c>
      <c r="H701" s="13">
        <v>-0.0067</v>
      </c>
      <c r="J701" s="15"/>
      <c r="K701" s="11"/>
      <c r="L701" s="11"/>
      <c r="M701" s="11"/>
      <c r="N701" s="11"/>
    </row>
    <row r="702" ht="15.75" customHeight="1">
      <c r="A702" s="35">
        <v>44414.0</v>
      </c>
      <c r="B702" s="38">
        <v>10.05</v>
      </c>
      <c r="C702" s="11">
        <f t="shared" si="1"/>
        <v>-0.00495049505</v>
      </c>
      <c r="D702" s="13">
        <f t="shared" si="2"/>
        <v>-0.00495049505</v>
      </c>
      <c r="E702" s="35">
        <v>44414.0</v>
      </c>
      <c r="F702" s="12">
        <v>15740.1</v>
      </c>
      <c r="G702" s="11">
        <v>-7.33257E-4</v>
      </c>
      <c r="H702" s="13">
        <v>-7.0E-4</v>
      </c>
      <c r="J702" s="15"/>
      <c r="K702" s="11"/>
      <c r="L702" s="11"/>
      <c r="M702" s="11"/>
      <c r="N702" s="11"/>
    </row>
    <row r="703" ht="15.75" customHeight="1">
      <c r="A703" s="35">
        <v>44383.0</v>
      </c>
      <c r="B703" s="38">
        <v>10.1</v>
      </c>
      <c r="C703" s="11">
        <f t="shared" si="1"/>
        <v>0.0358974359</v>
      </c>
      <c r="D703" s="13">
        <f t="shared" si="2"/>
        <v>0.0358974359</v>
      </c>
      <c r="E703" s="35">
        <v>44383.0</v>
      </c>
      <c r="F703" s="12">
        <v>15751.65</v>
      </c>
      <c r="G703" s="11">
        <v>0.005194557</v>
      </c>
      <c r="H703" s="13">
        <v>0.0052</v>
      </c>
      <c r="J703" s="15"/>
      <c r="K703" s="11"/>
      <c r="L703" s="11"/>
      <c r="M703" s="11"/>
      <c r="N703" s="11"/>
    </row>
    <row r="704" ht="15.75" customHeight="1">
      <c r="A704" s="35">
        <v>44292.0</v>
      </c>
      <c r="B704" s="38">
        <v>9.75</v>
      </c>
      <c r="C704" s="11">
        <f t="shared" si="1"/>
        <v>0.04278074866</v>
      </c>
      <c r="D704" s="13">
        <f t="shared" si="2"/>
        <v>0.04278074866</v>
      </c>
      <c r="E704" s="35">
        <v>44292.0</v>
      </c>
      <c r="F704" s="12">
        <v>15670.25</v>
      </c>
      <c r="G704" s="11">
        <v>-0.001281042</v>
      </c>
      <c r="H704" s="13">
        <v>-0.0013</v>
      </c>
      <c r="J704" s="15"/>
      <c r="K704" s="11"/>
      <c r="L704" s="11"/>
      <c r="M704" s="11"/>
      <c r="N704" s="11"/>
    </row>
    <row r="705" ht="15.75" customHeight="1">
      <c r="A705" s="35">
        <v>44261.0</v>
      </c>
      <c r="B705" s="38">
        <v>9.35</v>
      </c>
      <c r="C705" s="11">
        <f t="shared" si="1"/>
        <v>0.0625</v>
      </c>
      <c r="D705" s="13">
        <f t="shared" si="2"/>
        <v>0.0625</v>
      </c>
      <c r="E705" s="35">
        <v>44261.0</v>
      </c>
      <c r="F705" s="12">
        <v>15690.35</v>
      </c>
      <c r="G705" s="11">
        <v>0.007328488</v>
      </c>
      <c r="H705" s="13">
        <v>0.0073</v>
      </c>
      <c r="J705" s="15"/>
      <c r="K705" s="11"/>
      <c r="L705" s="11"/>
      <c r="M705" s="11"/>
      <c r="N705" s="11"/>
    </row>
    <row r="706" ht="15.75" customHeight="1">
      <c r="A706" s="35">
        <v>44233.0</v>
      </c>
      <c r="B706" s="38">
        <v>8.8</v>
      </c>
      <c r="C706" s="11">
        <f t="shared" si="1"/>
        <v>0.03529411765</v>
      </c>
      <c r="D706" s="13">
        <f t="shared" si="2"/>
        <v>0.03529411765</v>
      </c>
      <c r="E706" s="35">
        <v>44233.0</v>
      </c>
      <c r="F706" s="12">
        <v>15576.2</v>
      </c>
      <c r="G706" s="45">
        <v>8.66782E-5</v>
      </c>
      <c r="H706" s="13">
        <v>1.0E-4</v>
      </c>
      <c r="J706" s="15"/>
      <c r="K706" s="11"/>
      <c r="L706" s="11"/>
      <c r="M706" s="11"/>
      <c r="N706" s="11"/>
    </row>
    <row r="707" ht="15.75" customHeight="1">
      <c r="A707" s="35">
        <v>44202.0</v>
      </c>
      <c r="B707" s="38">
        <v>8.5</v>
      </c>
      <c r="C707" s="11">
        <f t="shared" si="1"/>
        <v>-0.01734104046</v>
      </c>
      <c r="D707" s="13">
        <f t="shared" si="2"/>
        <v>-0.01734104046</v>
      </c>
      <c r="E707" s="35">
        <v>44202.0</v>
      </c>
      <c r="F707" s="12">
        <v>15574.85</v>
      </c>
      <c r="G707" s="11">
        <v>-5.10178E-4</v>
      </c>
      <c r="H707" s="13">
        <v>-5.0E-4</v>
      </c>
      <c r="J707" s="15"/>
      <c r="K707" s="11"/>
      <c r="L707" s="11"/>
      <c r="M707" s="11"/>
      <c r="N707" s="11"/>
    </row>
    <row r="708" ht="15.75" customHeight="1">
      <c r="A708" s="11" t="s">
        <v>533</v>
      </c>
      <c r="B708" s="38">
        <v>8.65</v>
      </c>
      <c r="C708" s="11">
        <f t="shared" si="1"/>
        <v>-0.005747126437</v>
      </c>
      <c r="D708" s="13">
        <f t="shared" si="2"/>
        <v>-0.005747126437</v>
      </c>
      <c r="E708" s="11" t="s">
        <v>533</v>
      </c>
      <c r="F708" s="12">
        <v>15582.8</v>
      </c>
      <c r="G708" s="11">
        <v>0.009533126</v>
      </c>
      <c r="H708" s="13">
        <v>0.0095</v>
      </c>
      <c r="J708" s="15"/>
      <c r="K708" s="11"/>
      <c r="L708" s="11"/>
      <c r="M708" s="11"/>
      <c r="N708" s="11"/>
    </row>
    <row r="709" ht="15.75" customHeight="1">
      <c r="A709" s="11" t="s">
        <v>534</v>
      </c>
      <c r="B709" s="38">
        <v>8.7</v>
      </c>
      <c r="C709" s="11">
        <f t="shared" si="1"/>
        <v>0.02958579882</v>
      </c>
      <c r="D709" s="13">
        <f t="shared" si="2"/>
        <v>0.02958579882</v>
      </c>
      <c r="E709" s="11" t="s">
        <v>534</v>
      </c>
      <c r="F709" s="12">
        <v>15435.65</v>
      </c>
      <c r="G709" s="11">
        <v>0.006376383</v>
      </c>
      <c r="H709" s="13">
        <v>0.0064</v>
      </c>
      <c r="J709" s="15"/>
      <c r="K709" s="11"/>
      <c r="L709" s="11"/>
      <c r="M709" s="11"/>
      <c r="N709" s="11"/>
    </row>
    <row r="710" ht="15.75" customHeight="1">
      <c r="A710" s="11" t="s">
        <v>535</v>
      </c>
      <c r="B710" s="38">
        <v>8.45</v>
      </c>
      <c r="C710" s="11">
        <f t="shared" si="1"/>
        <v>-0.01169590643</v>
      </c>
      <c r="D710" s="13">
        <f t="shared" si="2"/>
        <v>-0.01169590643</v>
      </c>
      <c r="E710" s="11" t="s">
        <v>535</v>
      </c>
      <c r="F710" s="12">
        <v>15337.85</v>
      </c>
      <c r="G710" s="11">
        <v>0.00237886</v>
      </c>
      <c r="H710" s="13">
        <v>0.0024</v>
      </c>
      <c r="J710" s="15"/>
      <c r="K710" s="11"/>
      <c r="L710" s="11"/>
      <c r="M710" s="11"/>
      <c r="N710" s="11"/>
    </row>
    <row r="711" ht="15.75" customHeight="1">
      <c r="A711" s="11" t="s">
        <v>536</v>
      </c>
      <c r="B711" s="38">
        <v>8.55</v>
      </c>
      <c r="C711" s="11">
        <f t="shared" si="1"/>
        <v>0</v>
      </c>
      <c r="D711" s="13">
        <f t="shared" si="2"/>
        <v>0</v>
      </c>
      <c r="E711" s="11" t="s">
        <v>536</v>
      </c>
      <c r="F711" s="12">
        <v>15301.45</v>
      </c>
      <c r="G711" s="11">
        <v>0.006115022</v>
      </c>
      <c r="H711" s="13">
        <v>0.0061</v>
      </c>
      <c r="J711" s="15"/>
      <c r="K711" s="11"/>
      <c r="L711" s="11"/>
      <c r="M711" s="11"/>
      <c r="N711" s="11"/>
    </row>
    <row r="712" ht="15.75" customHeight="1">
      <c r="A712" s="11" t="s">
        <v>537</v>
      </c>
      <c r="B712" s="38">
        <v>8.55</v>
      </c>
      <c r="C712" s="11">
        <f t="shared" si="1"/>
        <v>-0.005813953488</v>
      </c>
      <c r="D712" s="13">
        <f t="shared" si="2"/>
        <v>-0.005813953488</v>
      </c>
      <c r="E712" s="11" t="s">
        <v>537</v>
      </c>
      <c r="F712" s="12">
        <v>15208.45</v>
      </c>
      <c r="G712" s="11">
        <v>7.07344E-4</v>
      </c>
      <c r="H712" s="13">
        <v>7.0E-4</v>
      </c>
      <c r="J712" s="15"/>
      <c r="K712" s="11"/>
      <c r="L712" s="11"/>
      <c r="M712" s="11"/>
      <c r="N712" s="11"/>
    </row>
    <row r="713" ht="15.75" customHeight="1">
      <c r="A713" s="11" t="s">
        <v>538</v>
      </c>
      <c r="B713" s="38">
        <v>8.6</v>
      </c>
      <c r="C713" s="11">
        <f t="shared" si="1"/>
        <v>0.005847953216</v>
      </c>
      <c r="D713" s="13">
        <f t="shared" si="2"/>
        <v>0.005847953216</v>
      </c>
      <c r="E713" s="11" t="s">
        <v>538</v>
      </c>
      <c r="F713" s="12">
        <v>15197.7</v>
      </c>
      <c r="G713" s="11">
        <v>0.001476083</v>
      </c>
      <c r="H713" s="13">
        <v>0.0015</v>
      </c>
      <c r="J713" s="15"/>
      <c r="K713" s="11"/>
      <c r="L713" s="11"/>
      <c r="M713" s="11"/>
      <c r="N713" s="11"/>
    </row>
    <row r="714" ht="15.75" customHeight="1">
      <c r="A714" s="11" t="s">
        <v>539</v>
      </c>
      <c r="B714" s="38">
        <v>8.55</v>
      </c>
      <c r="C714" s="11">
        <f t="shared" si="1"/>
        <v>0.01785714286</v>
      </c>
      <c r="D714" s="13">
        <f t="shared" si="2"/>
        <v>0.01785714286</v>
      </c>
      <c r="E714" s="11" t="s">
        <v>539</v>
      </c>
      <c r="F714" s="12">
        <v>15175.3</v>
      </c>
      <c r="G714" s="11">
        <v>0.018063135</v>
      </c>
      <c r="H714" s="13">
        <v>0.0181</v>
      </c>
      <c r="J714" s="15"/>
      <c r="K714" s="11"/>
      <c r="L714" s="11"/>
      <c r="M714" s="11"/>
      <c r="N714" s="11"/>
    </row>
    <row r="715" ht="15.75" customHeight="1">
      <c r="A715" s="11" t="s">
        <v>540</v>
      </c>
      <c r="B715" s="38">
        <v>8.4</v>
      </c>
      <c r="C715" s="11">
        <f t="shared" si="1"/>
        <v>-0.005917159763</v>
      </c>
      <c r="D715" s="13">
        <f t="shared" si="2"/>
        <v>-0.005917159763</v>
      </c>
      <c r="E715" s="11" t="s">
        <v>540</v>
      </c>
      <c r="F715" s="12">
        <v>14906.05</v>
      </c>
      <c r="G715" s="11">
        <v>-0.008256737</v>
      </c>
      <c r="H715" s="13">
        <v>-0.0083</v>
      </c>
      <c r="J715" s="15"/>
      <c r="K715" s="11"/>
      <c r="L715" s="11"/>
      <c r="M715" s="11"/>
      <c r="N715" s="11"/>
    </row>
    <row r="716" ht="15.75" customHeight="1">
      <c r="A716" s="11" t="s">
        <v>541</v>
      </c>
      <c r="B716" s="38">
        <v>8.45</v>
      </c>
      <c r="C716" s="11">
        <f t="shared" si="1"/>
        <v>-0.01169590643</v>
      </c>
      <c r="D716" s="13">
        <f t="shared" si="2"/>
        <v>-0.01169590643</v>
      </c>
      <c r="E716" s="11" t="s">
        <v>541</v>
      </c>
      <c r="F716" s="12">
        <v>15030.15</v>
      </c>
      <c r="G716" s="11">
        <v>-0.005159484</v>
      </c>
      <c r="H716" s="13">
        <v>-0.0052</v>
      </c>
      <c r="J716" s="15"/>
      <c r="K716" s="11"/>
      <c r="L716" s="11"/>
      <c r="M716" s="11"/>
      <c r="N716" s="11"/>
    </row>
    <row r="717" ht="15.75" customHeight="1">
      <c r="A717" s="11" t="s">
        <v>542</v>
      </c>
      <c r="B717" s="38">
        <v>8.55</v>
      </c>
      <c r="C717" s="11">
        <f t="shared" si="1"/>
        <v>0</v>
      </c>
      <c r="D717" s="13">
        <f t="shared" si="2"/>
        <v>0</v>
      </c>
      <c r="E717" s="11" t="s">
        <v>542</v>
      </c>
      <c r="F717" s="12">
        <v>15108.1</v>
      </c>
      <c r="G717" s="11">
        <v>0.012393496</v>
      </c>
      <c r="H717" s="13">
        <v>0.0124</v>
      </c>
      <c r="J717" s="15"/>
      <c r="K717" s="11"/>
      <c r="L717" s="11"/>
      <c r="M717" s="11"/>
      <c r="N717" s="11"/>
    </row>
    <row r="718" ht="15.75" customHeight="1">
      <c r="A718" s="11" t="s">
        <v>543</v>
      </c>
      <c r="B718" s="38">
        <v>8.55</v>
      </c>
      <c r="C718" s="11">
        <f t="shared" si="1"/>
        <v>-0.01156069364</v>
      </c>
      <c r="D718" s="13">
        <f t="shared" si="2"/>
        <v>-0.01156069364</v>
      </c>
      <c r="E718" s="11" t="s">
        <v>543</v>
      </c>
      <c r="F718" s="12">
        <v>14923.15</v>
      </c>
      <c r="G718" s="11">
        <v>0.01671572</v>
      </c>
      <c r="H718" s="13">
        <v>0.0167</v>
      </c>
      <c r="J718" s="15"/>
      <c r="K718" s="11"/>
      <c r="L718" s="11"/>
      <c r="M718" s="11"/>
      <c r="N718" s="11"/>
    </row>
    <row r="719" ht="15.75" customHeight="1">
      <c r="A719" s="11" t="s">
        <v>544</v>
      </c>
      <c r="B719" s="38">
        <v>8.65</v>
      </c>
      <c r="C719" s="11">
        <f t="shared" si="1"/>
        <v>-0.01704545455</v>
      </c>
      <c r="D719" s="13">
        <f t="shared" si="2"/>
        <v>-0.01704545455</v>
      </c>
      <c r="E719" s="11" t="s">
        <v>544</v>
      </c>
      <c r="F719" s="12">
        <v>14677.8</v>
      </c>
      <c r="G719" s="11">
        <v>-0.001272412</v>
      </c>
      <c r="H719" s="13">
        <v>-0.0013</v>
      </c>
      <c r="J719" s="15"/>
      <c r="K719" s="11"/>
      <c r="L719" s="11"/>
      <c r="M719" s="11"/>
      <c r="N719" s="11"/>
    </row>
    <row r="720" ht="15.75" customHeight="1">
      <c r="A720" s="35">
        <v>44535.0</v>
      </c>
      <c r="B720" s="38">
        <v>8.8</v>
      </c>
      <c r="C720" s="11">
        <f t="shared" si="1"/>
        <v>0.08641975309</v>
      </c>
      <c r="D720" s="13">
        <f t="shared" si="2"/>
        <v>0.08641975309</v>
      </c>
      <c r="E720" s="35">
        <v>44535.0</v>
      </c>
      <c r="F720" s="12">
        <v>14696.5</v>
      </c>
      <c r="G720" s="11">
        <v>-0.010386681</v>
      </c>
      <c r="H720" s="13">
        <v>-0.0104</v>
      </c>
      <c r="J720" s="15"/>
      <c r="K720" s="11"/>
      <c r="L720" s="11"/>
      <c r="M720" s="11"/>
      <c r="N720" s="11"/>
    </row>
    <row r="721" ht="15.75" customHeight="1">
      <c r="A721" s="35">
        <v>44505.0</v>
      </c>
      <c r="B721" s="38">
        <v>8.1</v>
      </c>
      <c r="C721" s="11">
        <f t="shared" si="1"/>
        <v>-0.01219512195</v>
      </c>
      <c r="D721" s="13">
        <f t="shared" si="2"/>
        <v>-0.01219512195</v>
      </c>
      <c r="E721" s="35">
        <v>44505.0</v>
      </c>
      <c r="F721" s="12">
        <v>14850.75</v>
      </c>
      <c r="G721" s="11">
        <v>-0.006130227</v>
      </c>
      <c r="H721" s="13">
        <v>-0.0061</v>
      </c>
      <c r="J721" s="15"/>
      <c r="K721" s="11"/>
      <c r="L721" s="11"/>
      <c r="M721" s="11"/>
      <c r="N721" s="11"/>
    </row>
    <row r="722" ht="15.75" customHeight="1">
      <c r="A722" s="35">
        <v>44474.0</v>
      </c>
      <c r="B722" s="38">
        <v>8.2</v>
      </c>
      <c r="C722" s="11">
        <f t="shared" si="1"/>
        <v>-0.01204819277</v>
      </c>
      <c r="D722" s="13">
        <f t="shared" si="2"/>
        <v>-0.01204819277</v>
      </c>
      <c r="E722" s="35">
        <v>44474.0</v>
      </c>
      <c r="F722" s="12">
        <v>14942.35</v>
      </c>
      <c r="G722" s="11">
        <v>0.008041476</v>
      </c>
      <c r="H722" s="13">
        <v>0.008</v>
      </c>
      <c r="J722" s="15"/>
      <c r="K722" s="11"/>
      <c r="L722" s="11"/>
      <c r="M722" s="11"/>
      <c r="N722" s="11"/>
    </row>
    <row r="723" ht="15.75" customHeight="1">
      <c r="A723" s="35">
        <v>44382.0</v>
      </c>
      <c r="B723" s="38">
        <v>8.3</v>
      </c>
      <c r="C723" s="11">
        <f t="shared" si="1"/>
        <v>0</v>
      </c>
      <c r="D723" s="13">
        <f t="shared" si="2"/>
        <v>0</v>
      </c>
      <c r="E723" s="35">
        <v>44382.0</v>
      </c>
      <c r="F723" s="12">
        <v>14823.15</v>
      </c>
      <c r="G723" s="11">
        <v>0.006679208</v>
      </c>
      <c r="H723" s="13">
        <v>0.0067</v>
      </c>
      <c r="J723" s="15"/>
      <c r="K723" s="11"/>
      <c r="L723" s="11"/>
      <c r="M723" s="11"/>
      <c r="N723" s="11"/>
    </row>
    <row r="724" ht="15.75" customHeight="1">
      <c r="A724" s="35">
        <v>44352.0</v>
      </c>
      <c r="B724" s="38">
        <v>8.3</v>
      </c>
      <c r="C724" s="11">
        <f t="shared" si="1"/>
        <v>-0.005988023952</v>
      </c>
      <c r="D724" s="13">
        <f t="shared" si="2"/>
        <v>-0.005988023952</v>
      </c>
      <c r="E724" s="35">
        <v>44352.0</v>
      </c>
      <c r="F724" s="12">
        <v>14724.8</v>
      </c>
      <c r="G724" s="11">
        <v>0.007316397</v>
      </c>
      <c r="H724" s="13">
        <v>0.0073</v>
      </c>
      <c r="J724" s="15"/>
      <c r="K724" s="11"/>
      <c r="L724" s="11"/>
      <c r="M724" s="11"/>
      <c r="N724" s="11"/>
    </row>
    <row r="725" ht="15.75" customHeight="1">
      <c r="A725" s="35">
        <v>44321.0</v>
      </c>
      <c r="B725" s="38">
        <v>8.35</v>
      </c>
      <c r="C725" s="11">
        <f t="shared" si="1"/>
        <v>0.01212121212</v>
      </c>
      <c r="D725" s="13">
        <f t="shared" si="2"/>
        <v>0.01212121212</v>
      </c>
      <c r="E725" s="35">
        <v>44321.0</v>
      </c>
      <c r="F725" s="12">
        <v>14617.85</v>
      </c>
      <c r="G725" s="11">
        <v>0.008370986</v>
      </c>
      <c r="H725" s="13">
        <v>0.0084</v>
      </c>
      <c r="J725" s="15"/>
      <c r="K725" s="11"/>
      <c r="L725" s="11"/>
      <c r="M725" s="11"/>
      <c r="N725" s="11"/>
    </row>
    <row r="726" ht="15.75" customHeight="1">
      <c r="A726" s="35">
        <v>44291.0</v>
      </c>
      <c r="B726" s="38">
        <v>8.25</v>
      </c>
      <c r="C726" s="11">
        <f t="shared" si="1"/>
        <v>-0.02366863905</v>
      </c>
      <c r="D726" s="13">
        <f t="shared" si="2"/>
        <v>-0.02366863905</v>
      </c>
      <c r="E726" s="35">
        <v>44291.0</v>
      </c>
      <c r="F726" s="12">
        <v>14496.5</v>
      </c>
      <c r="G726" s="11">
        <v>-0.009406081</v>
      </c>
      <c r="H726" s="13">
        <v>-0.0094</v>
      </c>
      <c r="J726" s="15"/>
      <c r="K726" s="11"/>
      <c r="L726" s="11"/>
      <c r="M726" s="11"/>
      <c r="N726" s="11"/>
    </row>
    <row r="727" ht="15.75" customHeight="1">
      <c r="A727" s="35">
        <v>44260.0</v>
      </c>
      <c r="B727" s="38">
        <v>8.45</v>
      </c>
      <c r="C727" s="11">
        <f t="shared" si="1"/>
        <v>0.0119760479</v>
      </c>
      <c r="D727" s="13">
        <f t="shared" si="2"/>
        <v>0.0119760479</v>
      </c>
      <c r="E727" s="35">
        <v>44260.0</v>
      </c>
      <c r="F727" s="12">
        <v>14634.15</v>
      </c>
      <c r="G727" s="11">
        <v>2.0846E-4</v>
      </c>
      <c r="H727" s="13">
        <v>2.0E-4</v>
      </c>
      <c r="J727" s="15"/>
      <c r="K727" s="11"/>
      <c r="L727" s="11"/>
      <c r="M727" s="11"/>
      <c r="N727" s="11"/>
    </row>
    <row r="728" ht="15.75" customHeight="1">
      <c r="A728" s="11" t="s">
        <v>545</v>
      </c>
      <c r="B728" s="38">
        <v>8.35</v>
      </c>
      <c r="C728" s="11">
        <f t="shared" si="1"/>
        <v>-0.005952380952</v>
      </c>
      <c r="D728" s="13">
        <f t="shared" si="2"/>
        <v>-0.005952380952</v>
      </c>
      <c r="E728" s="11" t="s">
        <v>545</v>
      </c>
      <c r="F728" s="12">
        <v>14631.1</v>
      </c>
      <c r="G728" s="11">
        <v>-0.01771076</v>
      </c>
      <c r="H728" s="13">
        <v>-0.0177</v>
      </c>
      <c r="J728" s="15"/>
      <c r="K728" s="11"/>
      <c r="L728" s="11"/>
      <c r="M728" s="11"/>
      <c r="N728" s="11"/>
    </row>
    <row r="729" ht="15.75" customHeight="1">
      <c r="A729" s="11" t="s">
        <v>546</v>
      </c>
      <c r="B729" s="38">
        <v>8.4</v>
      </c>
      <c r="C729" s="11">
        <f t="shared" si="1"/>
        <v>-0.0289017341</v>
      </c>
      <c r="D729" s="13">
        <f t="shared" si="2"/>
        <v>-0.0289017341</v>
      </c>
      <c r="E729" s="11" t="s">
        <v>546</v>
      </c>
      <c r="F729" s="12">
        <v>14894.9</v>
      </c>
      <c r="G729" s="11">
        <v>0.002041771</v>
      </c>
      <c r="H729" s="13">
        <v>0.002</v>
      </c>
      <c r="J729" s="15"/>
      <c r="K729" s="11"/>
      <c r="L729" s="11"/>
      <c r="M729" s="11"/>
      <c r="N729" s="11"/>
    </row>
    <row r="730" ht="15.75" customHeight="1">
      <c r="A730" s="11" t="s">
        <v>547</v>
      </c>
      <c r="B730" s="38">
        <v>8.65</v>
      </c>
      <c r="C730" s="11">
        <f t="shared" si="1"/>
        <v>-0.005747126437</v>
      </c>
      <c r="D730" s="13">
        <f t="shared" si="2"/>
        <v>-0.005747126437</v>
      </c>
      <c r="E730" s="11" t="s">
        <v>547</v>
      </c>
      <c r="F730" s="12">
        <v>14864.55</v>
      </c>
      <c r="G730" s="11">
        <v>0.014433855</v>
      </c>
      <c r="H730" s="13">
        <v>0.0144</v>
      </c>
      <c r="J730" s="15"/>
      <c r="K730" s="11"/>
      <c r="L730" s="11"/>
      <c r="M730" s="11"/>
      <c r="N730" s="11"/>
    </row>
    <row r="731" ht="15.75" customHeight="1">
      <c r="A731" s="11" t="s">
        <v>548</v>
      </c>
      <c r="B731" s="38">
        <v>8.7</v>
      </c>
      <c r="C731" s="11">
        <f t="shared" si="1"/>
        <v>0.02958579882</v>
      </c>
      <c r="D731" s="13">
        <f t="shared" si="2"/>
        <v>0.02958579882</v>
      </c>
      <c r="E731" s="11" t="s">
        <v>548</v>
      </c>
      <c r="F731" s="12">
        <v>14653.05</v>
      </c>
      <c r="G731" s="11">
        <v>0.011601657</v>
      </c>
      <c r="H731" s="13">
        <v>0.0116</v>
      </c>
      <c r="J731" s="15"/>
      <c r="K731" s="11"/>
      <c r="L731" s="11"/>
      <c r="M731" s="11"/>
      <c r="N731" s="11"/>
    </row>
    <row r="732" ht="15.75" customHeight="1">
      <c r="A732" s="11" t="s">
        <v>549</v>
      </c>
      <c r="B732" s="38">
        <v>8.45</v>
      </c>
      <c r="C732" s="11">
        <f t="shared" si="1"/>
        <v>0</v>
      </c>
      <c r="D732" s="13">
        <f t="shared" si="2"/>
        <v>0</v>
      </c>
      <c r="E732" s="11" t="s">
        <v>549</v>
      </c>
      <c r="F732" s="12">
        <v>14485.0</v>
      </c>
      <c r="G732" s="11">
        <v>0.010016491</v>
      </c>
      <c r="H732" s="13">
        <v>0.01</v>
      </c>
      <c r="J732" s="15"/>
      <c r="K732" s="11"/>
      <c r="L732" s="11"/>
      <c r="M732" s="11"/>
      <c r="N732" s="11"/>
    </row>
    <row r="733" ht="15.75" customHeight="1">
      <c r="A733" s="11" t="s">
        <v>550</v>
      </c>
      <c r="B733" s="38">
        <v>8.45</v>
      </c>
      <c r="C733" s="11">
        <f t="shared" si="1"/>
        <v>0</v>
      </c>
      <c r="D733" s="13">
        <f t="shared" si="2"/>
        <v>0</v>
      </c>
      <c r="E733" s="11" t="s">
        <v>550</v>
      </c>
      <c r="F733" s="12">
        <v>14341.35</v>
      </c>
      <c r="G733" s="11">
        <v>-0.004498079</v>
      </c>
      <c r="H733" s="13">
        <v>-0.0045</v>
      </c>
      <c r="J733" s="15"/>
      <c r="K733" s="11"/>
      <c r="L733" s="11"/>
      <c r="M733" s="11"/>
      <c r="N733" s="11"/>
    </row>
    <row r="734" ht="15.75" customHeight="1">
      <c r="A734" s="11" t="s">
        <v>551</v>
      </c>
      <c r="B734" s="38">
        <v>8.45</v>
      </c>
      <c r="C734" s="11">
        <f t="shared" si="1"/>
        <v>0</v>
      </c>
      <c r="D734" s="13">
        <f t="shared" si="2"/>
        <v>0</v>
      </c>
      <c r="E734" s="11" t="s">
        <v>551</v>
      </c>
      <c r="F734" s="12">
        <v>14406.15</v>
      </c>
      <c r="G734" s="11">
        <v>0.007676758</v>
      </c>
      <c r="H734" s="13">
        <v>0.0077</v>
      </c>
      <c r="J734" s="15"/>
      <c r="K734" s="11"/>
      <c r="L734" s="11"/>
      <c r="M734" s="11"/>
      <c r="N734" s="11"/>
    </row>
    <row r="735" ht="15.75" customHeight="1">
      <c r="A735" s="11" t="s">
        <v>552</v>
      </c>
      <c r="B735" s="38">
        <v>8.45</v>
      </c>
      <c r="C735" s="11">
        <f t="shared" si="1"/>
        <v>0</v>
      </c>
      <c r="D735" s="13">
        <f t="shared" si="2"/>
        <v>0</v>
      </c>
      <c r="E735" s="11" t="s">
        <v>552</v>
      </c>
      <c r="F735" s="12">
        <v>14296.4</v>
      </c>
      <c r="G735" s="11">
        <v>-0.004390837</v>
      </c>
      <c r="H735" s="13">
        <v>-0.0044</v>
      </c>
      <c r="J735" s="15"/>
      <c r="K735" s="11"/>
      <c r="L735" s="11"/>
      <c r="M735" s="11"/>
      <c r="N735" s="11"/>
    </row>
    <row r="736" ht="15.75" customHeight="1">
      <c r="A736" s="11" t="s">
        <v>553</v>
      </c>
      <c r="B736" s="38">
        <v>8.45</v>
      </c>
      <c r="C736" s="11">
        <f t="shared" si="1"/>
        <v>-0.04519774011</v>
      </c>
      <c r="D736" s="13">
        <f t="shared" si="2"/>
        <v>-0.04519774011</v>
      </c>
      <c r="E736" s="11" t="s">
        <v>553</v>
      </c>
      <c r="F736" s="12">
        <v>14359.45</v>
      </c>
      <c r="G736" s="11">
        <v>-0.017677018</v>
      </c>
      <c r="H736" s="13">
        <v>-0.0177</v>
      </c>
      <c r="J736" s="15"/>
      <c r="K736" s="11"/>
      <c r="L736" s="11"/>
      <c r="M736" s="11"/>
      <c r="N736" s="11"/>
    </row>
    <row r="737" ht="15.75" customHeight="1">
      <c r="A737" s="11" t="s">
        <v>554</v>
      </c>
      <c r="B737" s="38">
        <v>8.85</v>
      </c>
      <c r="C737" s="11">
        <f t="shared" si="1"/>
        <v>-0.01117318436</v>
      </c>
      <c r="D737" s="13">
        <f t="shared" si="2"/>
        <v>-0.01117318436</v>
      </c>
      <c r="E737" s="11" t="s">
        <v>554</v>
      </c>
      <c r="F737" s="12">
        <v>14617.85</v>
      </c>
      <c r="G737" s="11">
        <v>0.002496322</v>
      </c>
      <c r="H737" s="13">
        <v>0.0025</v>
      </c>
      <c r="J737" s="15"/>
      <c r="K737" s="11"/>
      <c r="L737" s="11"/>
      <c r="M737" s="11"/>
      <c r="N737" s="11"/>
    </row>
    <row r="738" ht="15.75" customHeight="1">
      <c r="A738" s="11" t="s">
        <v>555</v>
      </c>
      <c r="B738" s="38">
        <v>8.95</v>
      </c>
      <c r="C738" s="11">
        <f t="shared" si="1"/>
        <v>0</v>
      </c>
      <c r="D738" s="13">
        <f t="shared" si="2"/>
        <v>0</v>
      </c>
      <c r="E738" s="11" t="s">
        <v>555</v>
      </c>
      <c r="F738" s="12">
        <v>14581.45</v>
      </c>
      <c r="G738" s="11">
        <v>0.005284458</v>
      </c>
      <c r="H738" s="13">
        <v>0.0053</v>
      </c>
      <c r="J738" s="15"/>
      <c r="K738" s="11"/>
      <c r="L738" s="11"/>
      <c r="M738" s="11"/>
      <c r="N738" s="11"/>
    </row>
    <row r="739" ht="15.75" customHeight="1">
      <c r="A739" s="11" t="s">
        <v>556</v>
      </c>
      <c r="B739" s="38">
        <v>8.95</v>
      </c>
      <c r="C739" s="11">
        <f t="shared" si="1"/>
        <v>0.02285714286</v>
      </c>
      <c r="D739" s="13">
        <f t="shared" si="2"/>
        <v>0.02285714286</v>
      </c>
      <c r="E739" s="11" t="s">
        <v>556</v>
      </c>
      <c r="F739" s="12">
        <v>14504.8</v>
      </c>
      <c r="G739" s="11">
        <v>0.013556195</v>
      </c>
      <c r="H739" s="13">
        <v>0.0136</v>
      </c>
      <c r="J739" s="15"/>
      <c r="K739" s="11"/>
      <c r="L739" s="11"/>
      <c r="M739" s="11"/>
      <c r="N739" s="11"/>
    </row>
    <row r="740" ht="15.75" customHeight="1">
      <c r="A740" s="35">
        <v>44534.0</v>
      </c>
      <c r="B740" s="38">
        <v>8.75</v>
      </c>
      <c r="C740" s="11">
        <f t="shared" si="1"/>
        <v>-0.06914893617</v>
      </c>
      <c r="D740" s="13">
        <f t="shared" si="2"/>
        <v>-0.06914893617</v>
      </c>
      <c r="E740" s="35">
        <v>44534.0</v>
      </c>
      <c r="F740" s="12">
        <v>14310.8</v>
      </c>
      <c r="G740" s="11">
        <v>-0.035325602</v>
      </c>
      <c r="H740" s="13">
        <v>-0.0353</v>
      </c>
      <c r="J740" s="15"/>
      <c r="K740" s="11"/>
      <c r="L740" s="11"/>
      <c r="M740" s="11"/>
      <c r="N740" s="11"/>
    </row>
    <row r="741" ht="15.75" customHeight="1">
      <c r="A741" s="35">
        <v>44443.0</v>
      </c>
      <c r="B741" s="38">
        <v>9.4</v>
      </c>
      <c r="C741" s="11">
        <f t="shared" si="1"/>
        <v>0</v>
      </c>
      <c r="D741" s="13">
        <f t="shared" si="2"/>
        <v>0</v>
      </c>
      <c r="E741" s="35">
        <v>44443.0</v>
      </c>
      <c r="F741" s="12">
        <v>14834.85</v>
      </c>
      <c r="G741" s="11">
        <v>-0.002618699</v>
      </c>
      <c r="H741" s="13">
        <v>-0.0026</v>
      </c>
      <c r="J741" s="15"/>
      <c r="K741" s="11"/>
      <c r="L741" s="11"/>
      <c r="M741" s="11"/>
      <c r="N741" s="11"/>
    </row>
    <row r="742" ht="15.75" customHeight="1">
      <c r="A742" s="35">
        <v>44412.0</v>
      </c>
      <c r="B742" s="38">
        <v>9.4</v>
      </c>
      <c r="C742" s="11">
        <f t="shared" si="1"/>
        <v>-0.0358974359</v>
      </c>
      <c r="D742" s="13">
        <f t="shared" si="2"/>
        <v>-0.0358974359</v>
      </c>
      <c r="E742" s="35">
        <v>44412.0</v>
      </c>
      <c r="F742" s="12">
        <v>14873.8</v>
      </c>
      <c r="G742" s="11">
        <v>0.003694569</v>
      </c>
      <c r="H742" s="13">
        <v>0.0037</v>
      </c>
      <c r="J742" s="15"/>
      <c r="K742" s="11"/>
      <c r="L742" s="11"/>
      <c r="M742" s="11"/>
      <c r="N742" s="11"/>
    </row>
    <row r="743" ht="15.75" customHeight="1">
      <c r="A743" s="35">
        <v>44381.0</v>
      </c>
      <c r="B743" s="38">
        <v>9.75</v>
      </c>
      <c r="C743" s="11">
        <f t="shared" si="1"/>
        <v>0.005154639175</v>
      </c>
      <c r="D743" s="13">
        <f t="shared" si="2"/>
        <v>0.005154639175</v>
      </c>
      <c r="E743" s="35">
        <v>44381.0</v>
      </c>
      <c r="F743" s="12">
        <v>14819.05</v>
      </c>
      <c r="G743" s="11">
        <v>0.00923145</v>
      </c>
      <c r="H743" s="13">
        <v>0.0092</v>
      </c>
      <c r="J743" s="15"/>
      <c r="K743" s="11"/>
      <c r="L743" s="11"/>
      <c r="M743" s="11"/>
      <c r="N743" s="11"/>
    </row>
    <row r="744" ht="15.75" customHeight="1">
      <c r="A744" s="35">
        <v>44351.0</v>
      </c>
      <c r="B744" s="38">
        <v>9.7</v>
      </c>
      <c r="C744" s="11">
        <f t="shared" si="1"/>
        <v>0.01570680628</v>
      </c>
      <c r="D744" s="13">
        <f t="shared" si="2"/>
        <v>0.01570680628</v>
      </c>
      <c r="E744" s="35">
        <v>44351.0</v>
      </c>
      <c r="F744" s="12">
        <v>14683.5</v>
      </c>
      <c r="G744" s="11">
        <v>0.003122054</v>
      </c>
      <c r="H744" s="13">
        <v>0.0031</v>
      </c>
      <c r="J744" s="15"/>
      <c r="K744" s="11"/>
      <c r="L744" s="11"/>
      <c r="M744" s="11"/>
      <c r="N744" s="11"/>
    </row>
    <row r="745" ht="15.75" customHeight="1">
      <c r="A745" s="35">
        <v>44320.0</v>
      </c>
      <c r="B745" s="38">
        <v>9.55</v>
      </c>
      <c r="C745" s="11">
        <f t="shared" si="1"/>
        <v>-0.045</v>
      </c>
      <c r="D745" s="13">
        <f t="shared" si="2"/>
        <v>-0.045</v>
      </c>
      <c r="E745" s="35">
        <v>44320.0</v>
      </c>
      <c r="F745" s="12">
        <v>14637.8</v>
      </c>
      <c r="G745" s="11">
        <v>-0.015439873</v>
      </c>
      <c r="H745" s="13">
        <v>-0.0154</v>
      </c>
      <c r="J745" s="15"/>
      <c r="K745" s="11"/>
      <c r="L745" s="11"/>
      <c r="M745" s="11"/>
      <c r="N745" s="11"/>
    </row>
    <row r="746" ht="15.75" customHeight="1">
      <c r="A746" s="35">
        <v>44200.0</v>
      </c>
      <c r="B746" s="38">
        <v>10.0</v>
      </c>
      <c r="C746" s="11"/>
      <c r="D746" s="13"/>
      <c r="E746" s="35">
        <v>44200.0</v>
      </c>
      <c r="F746" s="12">
        <v>14867.35</v>
      </c>
      <c r="G746" s="11">
        <f>0.012</f>
        <v>0.012</v>
      </c>
      <c r="H746" s="13">
        <v>0.012</v>
      </c>
      <c r="J746" s="15"/>
      <c r="K746" s="11"/>
      <c r="L746" s="11"/>
      <c r="M746" s="11"/>
      <c r="N746" s="11"/>
    </row>
    <row r="747" ht="15.75" customHeight="1">
      <c r="A747" s="11"/>
      <c r="J747" s="15"/>
      <c r="K747" s="11"/>
      <c r="L747" s="11"/>
      <c r="M747" s="11"/>
      <c r="N747" s="11"/>
    </row>
    <row r="748" ht="15.75" customHeight="1">
      <c r="A748" s="11"/>
      <c r="J748" s="15"/>
      <c r="K748" s="11"/>
      <c r="L748" s="11"/>
      <c r="M748" s="11"/>
      <c r="N748" s="11"/>
    </row>
    <row r="749" ht="15.75" customHeight="1">
      <c r="A749" s="11"/>
      <c r="J749" s="15"/>
      <c r="K749" s="11"/>
      <c r="L749" s="11"/>
      <c r="M749" s="11"/>
      <c r="N749" s="11"/>
    </row>
    <row r="750" ht="15.75" customHeight="1">
      <c r="A750" s="11"/>
      <c r="J750" s="15"/>
      <c r="K750" s="11"/>
      <c r="L750" s="11"/>
      <c r="M750" s="11"/>
      <c r="N750" s="11"/>
    </row>
    <row r="751" ht="15.75" customHeight="1">
      <c r="A751" s="11"/>
      <c r="J751" s="15"/>
      <c r="K751" s="11"/>
      <c r="L751" s="11"/>
      <c r="M751" s="11"/>
      <c r="N751" s="11"/>
    </row>
    <row r="752" ht="15.75" customHeight="1">
      <c r="A752" s="11"/>
      <c r="J752" s="15"/>
      <c r="K752" s="11"/>
      <c r="L752" s="11"/>
      <c r="M752" s="11"/>
      <c r="N752" s="11"/>
    </row>
    <row r="753" ht="15.75" customHeight="1">
      <c r="A753" s="11"/>
      <c r="J753" s="15"/>
      <c r="K753" s="11"/>
      <c r="L753" s="11"/>
      <c r="M753" s="11"/>
      <c r="N753" s="11"/>
    </row>
    <row r="754" ht="15.75" customHeight="1">
      <c r="A754" s="11"/>
      <c r="J754" s="15"/>
      <c r="K754" s="11"/>
      <c r="L754" s="11"/>
      <c r="M754" s="11"/>
      <c r="N754" s="11"/>
    </row>
    <row r="755" ht="15.75" customHeight="1">
      <c r="A755" s="11"/>
      <c r="J755" s="15"/>
      <c r="K755" s="11"/>
      <c r="L755" s="11"/>
      <c r="M755" s="11"/>
      <c r="N755" s="11"/>
    </row>
    <row r="756" ht="15.75" customHeight="1">
      <c r="A756" s="11"/>
      <c r="J756" s="15"/>
      <c r="K756" s="11"/>
      <c r="L756" s="11"/>
      <c r="M756" s="11"/>
      <c r="N756" s="11"/>
    </row>
    <row r="757" ht="15.75" customHeight="1">
      <c r="A757" s="11"/>
      <c r="J757" s="15"/>
      <c r="K757" s="11"/>
      <c r="L757" s="11"/>
      <c r="M757" s="11"/>
      <c r="N757" s="11"/>
    </row>
    <row r="758" ht="15.75" customHeight="1">
      <c r="A758" s="11"/>
      <c r="J758" s="15"/>
      <c r="K758" s="11"/>
      <c r="L758" s="11"/>
      <c r="M758" s="11"/>
      <c r="N758" s="11"/>
    </row>
    <row r="759" ht="15.75" customHeight="1">
      <c r="A759" s="11"/>
      <c r="J759" s="15"/>
      <c r="K759" s="11"/>
      <c r="L759" s="11"/>
      <c r="M759" s="11"/>
      <c r="N759" s="11"/>
    </row>
    <row r="760" ht="15.75" customHeight="1">
      <c r="A760" s="11"/>
      <c r="J760" s="15"/>
      <c r="K760" s="11"/>
      <c r="L760" s="11"/>
      <c r="M760" s="11"/>
      <c r="N760" s="11"/>
    </row>
    <row r="761" ht="15.75" customHeight="1">
      <c r="A761" s="11"/>
      <c r="J761" s="15"/>
      <c r="K761" s="11"/>
      <c r="L761" s="11"/>
      <c r="M761" s="11"/>
      <c r="N761" s="11"/>
    </row>
    <row r="762" ht="15.75" customHeight="1">
      <c r="A762" s="11"/>
      <c r="J762" s="15"/>
      <c r="K762" s="11"/>
      <c r="L762" s="11"/>
      <c r="M762" s="11"/>
      <c r="N762" s="11"/>
    </row>
    <row r="763" ht="15.75" customHeight="1">
      <c r="A763" s="11"/>
      <c r="J763" s="15"/>
      <c r="K763" s="11"/>
      <c r="L763" s="11"/>
      <c r="M763" s="11"/>
      <c r="N763" s="11"/>
    </row>
    <row r="764" ht="15.75" customHeight="1">
      <c r="A764" s="11"/>
      <c r="J764" s="15"/>
      <c r="K764" s="11"/>
      <c r="L764" s="11"/>
      <c r="M764" s="11"/>
      <c r="N764" s="11"/>
    </row>
    <row r="765" ht="15.75" customHeight="1">
      <c r="A765" s="11"/>
      <c r="J765" s="15"/>
      <c r="K765" s="11"/>
      <c r="L765" s="11"/>
      <c r="M765" s="11"/>
      <c r="N765" s="11"/>
    </row>
    <row r="766" ht="15.75" customHeight="1">
      <c r="A766" s="11"/>
      <c r="J766" s="15"/>
      <c r="K766" s="11"/>
      <c r="L766" s="11"/>
      <c r="M766" s="11"/>
      <c r="N766" s="11"/>
    </row>
    <row r="767" ht="15.75" customHeight="1">
      <c r="A767" s="11"/>
      <c r="J767" s="15"/>
      <c r="K767" s="11"/>
      <c r="L767" s="11"/>
      <c r="M767" s="11"/>
      <c r="N767" s="11"/>
    </row>
    <row r="768" ht="15.75" customHeight="1">
      <c r="A768" s="11"/>
      <c r="J768" s="15"/>
      <c r="K768" s="11"/>
      <c r="L768" s="11"/>
      <c r="M768" s="11"/>
      <c r="N768" s="11"/>
    </row>
    <row r="769" ht="15.75" customHeight="1">
      <c r="A769" s="11"/>
      <c r="J769" s="15"/>
      <c r="K769" s="11"/>
      <c r="L769" s="11"/>
      <c r="M769" s="11"/>
      <c r="N769" s="11"/>
    </row>
    <row r="770" ht="15.75" customHeight="1">
      <c r="A770" s="11"/>
      <c r="J770" s="15"/>
      <c r="K770" s="11"/>
      <c r="L770" s="11"/>
      <c r="M770" s="11"/>
      <c r="N770" s="11"/>
    </row>
    <row r="771" ht="15.75" customHeight="1">
      <c r="A771" s="11"/>
      <c r="J771" s="15"/>
      <c r="K771" s="11"/>
      <c r="L771" s="11"/>
      <c r="M771" s="11"/>
      <c r="N771" s="11"/>
    </row>
    <row r="772" ht="15.75" customHeight="1">
      <c r="A772" s="11"/>
      <c r="J772" s="15"/>
      <c r="K772" s="11"/>
      <c r="L772" s="11"/>
      <c r="M772" s="11"/>
      <c r="N772" s="11"/>
    </row>
    <row r="773" ht="15.75" customHeight="1">
      <c r="A773" s="11"/>
      <c r="J773" s="15"/>
      <c r="K773" s="11"/>
      <c r="L773" s="11"/>
      <c r="M773" s="11"/>
      <c r="N773" s="11"/>
    </row>
    <row r="774" ht="15.75" customHeight="1">
      <c r="A774" s="11"/>
      <c r="J774" s="15"/>
      <c r="K774" s="11"/>
      <c r="L774" s="11"/>
      <c r="M774" s="11"/>
      <c r="N774" s="11"/>
    </row>
    <row r="775" ht="15.75" customHeight="1">
      <c r="A775" s="11"/>
      <c r="J775" s="15"/>
      <c r="K775" s="11"/>
      <c r="L775" s="11"/>
      <c r="M775" s="11"/>
      <c r="N775" s="11"/>
    </row>
    <row r="776" ht="15.75" customHeight="1">
      <c r="A776" s="11"/>
      <c r="J776" s="15"/>
      <c r="K776" s="11"/>
      <c r="L776" s="11"/>
      <c r="M776" s="11"/>
      <c r="N776" s="11"/>
    </row>
    <row r="777" ht="15.75" customHeight="1">
      <c r="A777" s="11"/>
      <c r="J777" s="15"/>
      <c r="K777" s="11"/>
      <c r="L777" s="11"/>
      <c r="M777" s="11"/>
      <c r="N777" s="11"/>
    </row>
    <row r="778" ht="15.75" customHeight="1">
      <c r="A778" s="11"/>
      <c r="J778" s="15"/>
      <c r="K778" s="11"/>
      <c r="L778" s="11"/>
      <c r="M778" s="11"/>
      <c r="N778" s="11"/>
    </row>
    <row r="779" ht="15.75" customHeight="1">
      <c r="A779" s="11"/>
      <c r="J779" s="15"/>
      <c r="K779" s="11"/>
      <c r="L779" s="11"/>
      <c r="M779" s="11"/>
      <c r="N779" s="11"/>
    </row>
    <row r="780" ht="15.75" customHeight="1">
      <c r="A780" s="11"/>
      <c r="J780" s="15"/>
      <c r="K780" s="11"/>
      <c r="L780" s="11"/>
      <c r="M780" s="11"/>
      <c r="N780" s="11"/>
    </row>
    <row r="781" ht="15.75" customHeight="1">
      <c r="A781" s="11"/>
      <c r="J781" s="15"/>
      <c r="K781" s="11"/>
      <c r="L781" s="11"/>
      <c r="M781" s="11"/>
      <c r="N781" s="11"/>
    </row>
    <row r="782" ht="15.75" customHeight="1">
      <c r="A782" s="11"/>
      <c r="J782" s="15"/>
      <c r="K782" s="11"/>
      <c r="L782" s="11"/>
      <c r="M782" s="11"/>
      <c r="N782" s="11"/>
    </row>
    <row r="783" ht="15.75" customHeight="1">
      <c r="A783" s="11"/>
      <c r="J783" s="15"/>
      <c r="K783" s="11"/>
      <c r="L783" s="11"/>
      <c r="M783" s="11"/>
      <c r="N783" s="11"/>
    </row>
    <row r="784" ht="15.75" customHeight="1">
      <c r="A784" s="11"/>
      <c r="J784" s="15"/>
      <c r="K784" s="11"/>
      <c r="L784" s="11"/>
      <c r="M784" s="11"/>
      <c r="N784" s="11"/>
    </row>
    <row r="785" ht="15.75" customHeight="1">
      <c r="A785" s="11"/>
      <c r="J785" s="15"/>
      <c r="K785" s="11"/>
      <c r="L785" s="11"/>
      <c r="M785" s="11"/>
      <c r="N785" s="11"/>
    </row>
    <row r="786" ht="15.75" customHeight="1">
      <c r="A786" s="11"/>
      <c r="J786" s="15"/>
      <c r="K786" s="11"/>
      <c r="L786" s="11"/>
      <c r="M786" s="11"/>
      <c r="N786" s="11"/>
    </row>
    <row r="787" ht="15.75" customHeight="1">
      <c r="A787" s="11"/>
      <c r="J787" s="15"/>
      <c r="K787" s="11"/>
      <c r="L787" s="11"/>
      <c r="M787" s="11"/>
      <c r="N787" s="11"/>
    </row>
    <row r="788" ht="15.75" customHeight="1">
      <c r="A788" s="11"/>
      <c r="J788" s="15"/>
      <c r="K788" s="11"/>
      <c r="L788" s="11"/>
      <c r="M788" s="11"/>
      <c r="N788" s="11"/>
    </row>
    <row r="789" ht="15.75" customHeight="1">
      <c r="A789" s="11"/>
      <c r="J789" s="15"/>
      <c r="K789" s="11"/>
      <c r="L789" s="11"/>
      <c r="M789" s="11"/>
      <c r="N789" s="11"/>
    </row>
    <row r="790" ht="15.75" customHeight="1">
      <c r="A790" s="11"/>
      <c r="J790" s="15"/>
      <c r="K790" s="11"/>
      <c r="L790" s="11"/>
      <c r="M790" s="11"/>
      <c r="N790" s="11"/>
    </row>
    <row r="791" ht="15.75" customHeight="1">
      <c r="A791" s="11"/>
      <c r="J791" s="15"/>
      <c r="K791" s="11"/>
      <c r="L791" s="11"/>
      <c r="M791" s="11"/>
      <c r="N791" s="11"/>
    </row>
    <row r="792" ht="15.75" customHeight="1">
      <c r="A792" s="11"/>
      <c r="J792" s="15"/>
      <c r="K792" s="11"/>
      <c r="L792" s="11"/>
      <c r="M792" s="11"/>
      <c r="N792" s="11"/>
    </row>
    <row r="793" ht="15.75" customHeight="1">
      <c r="A793" s="11"/>
      <c r="J793" s="15"/>
      <c r="K793" s="11"/>
      <c r="L793" s="11"/>
      <c r="M793" s="11"/>
      <c r="N793" s="11"/>
    </row>
    <row r="794" ht="15.75" customHeight="1">
      <c r="A794" s="11"/>
      <c r="J794" s="15"/>
      <c r="K794" s="11"/>
      <c r="L794" s="11"/>
      <c r="M794" s="11"/>
      <c r="N794" s="11"/>
    </row>
    <row r="795" ht="15.75" customHeight="1">
      <c r="A795" s="11"/>
      <c r="J795" s="15"/>
      <c r="K795" s="11"/>
      <c r="L795" s="11"/>
      <c r="M795" s="11"/>
      <c r="N795" s="11"/>
    </row>
    <row r="796" ht="15.75" customHeight="1">
      <c r="A796" s="11"/>
      <c r="J796" s="15"/>
      <c r="K796" s="11"/>
      <c r="L796" s="11"/>
      <c r="M796" s="11"/>
      <c r="N796" s="11"/>
    </row>
    <row r="797" ht="15.75" customHeight="1">
      <c r="A797" s="11"/>
      <c r="J797" s="15"/>
      <c r="K797" s="11"/>
      <c r="L797" s="11"/>
      <c r="M797" s="11"/>
      <c r="N797" s="11"/>
    </row>
    <row r="798" ht="15.75" customHeight="1">
      <c r="A798" s="11"/>
      <c r="J798" s="15"/>
      <c r="K798" s="11"/>
      <c r="L798" s="11"/>
      <c r="M798" s="11"/>
      <c r="N798" s="11"/>
    </row>
    <row r="799" ht="15.75" customHeight="1">
      <c r="A799" s="11"/>
      <c r="J799" s="15"/>
      <c r="K799" s="11"/>
      <c r="L799" s="11"/>
      <c r="M799" s="11"/>
      <c r="N799" s="11"/>
    </row>
    <row r="800" ht="15.75" customHeight="1">
      <c r="A800" s="11"/>
      <c r="J800" s="15"/>
      <c r="K800" s="11"/>
      <c r="L800" s="11"/>
      <c r="M800" s="11"/>
      <c r="N800" s="11"/>
    </row>
    <row r="801" ht="15.75" customHeight="1">
      <c r="A801" s="11"/>
      <c r="J801" s="15"/>
      <c r="K801" s="11"/>
      <c r="L801" s="11"/>
      <c r="M801" s="11"/>
      <c r="N801" s="11"/>
    </row>
    <row r="802" ht="15.75" customHeight="1">
      <c r="A802" s="11"/>
      <c r="J802" s="15"/>
      <c r="K802" s="11"/>
      <c r="L802" s="11"/>
      <c r="M802" s="11"/>
      <c r="N802" s="11"/>
    </row>
    <row r="803" ht="15.75" customHeight="1">
      <c r="A803" s="11"/>
      <c r="J803" s="15"/>
      <c r="K803" s="11"/>
      <c r="L803" s="11"/>
      <c r="M803" s="11"/>
      <c r="N803" s="11"/>
    </row>
    <row r="804" ht="15.75" customHeight="1">
      <c r="A804" s="11"/>
      <c r="J804" s="15"/>
      <c r="K804" s="11"/>
      <c r="L804" s="11"/>
      <c r="M804" s="11"/>
      <c r="N804" s="11"/>
    </row>
    <row r="805" ht="15.75" customHeight="1">
      <c r="A805" s="11"/>
      <c r="J805" s="15"/>
      <c r="K805" s="11"/>
      <c r="L805" s="11"/>
      <c r="M805" s="11"/>
      <c r="N805" s="11"/>
    </row>
    <row r="806" ht="15.75" customHeight="1">
      <c r="A806" s="11"/>
      <c r="J806" s="15"/>
      <c r="K806" s="11"/>
      <c r="L806" s="11"/>
      <c r="M806" s="11"/>
      <c r="N806" s="11"/>
    </row>
    <row r="807" ht="15.75" customHeight="1">
      <c r="A807" s="11"/>
      <c r="J807" s="15"/>
      <c r="K807" s="11"/>
      <c r="L807" s="11"/>
      <c r="M807" s="11"/>
      <c r="N807" s="11"/>
    </row>
    <row r="808" ht="15.75" customHeight="1">
      <c r="A808" s="11"/>
      <c r="J808" s="15"/>
      <c r="K808" s="11"/>
      <c r="L808" s="11"/>
      <c r="M808" s="11"/>
      <c r="N808" s="11"/>
    </row>
    <row r="809" ht="15.75" customHeight="1">
      <c r="A809" s="11"/>
      <c r="J809" s="15"/>
      <c r="K809" s="11"/>
      <c r="L809" s="11"/>
      <c r="M809" s="11"/>
      <c r="N809" s="11"/>
    </row>
    <row r="810" ht="15.75" customHeight="1">
      <c r="A810" s="11"/>
      <c r="J810" s="15"/>
      <c r="K810" s="11"/>
      <c r="L810" s="11"/>
      <c r="M810" s="11"/>
      <c r="N810" s="11"/>
    </row>
    <row r="811" ht="15.75" customHeight="1">
      <c r="A811" s="11"/>
      <c r="J811" s="15"/>
      <c r="K811" s="11"/>
      <c r="L811" s="11"/>
      <c r="M811" s="11"/>
      <c r="N811" s="11"/>
    </row>
    <row r="812" ht="15.75" customHeight="1">
      <c r="A812" s="11"/>
      <c r="J812" s="15"/>
      <c r="K812" s="11"/>
      <c r="L812" s="11"/>
      <c r="M812" s="11"/>
      <c r="N812" s="11"/>
    </row>
    <row r="813" ht="15.75" customHeight="1">
      <c r="A813" s="11"/>
      <c r="J813" s="15"/>
      <c r="K813" s="11"/>
      <c r="L813" s="11"/>
      <c r="M813" s="11"/>
      <c r="N813" s="11"/>
    </row>
    <row r="814" ht="15.75" customHeight="1">
      <c r="A814" s="11"/>
      <c r="J814" s="15"/>
      <c r="K814" s="11"/>
      <c r="L814" s="11"/>
      <c r="M814" s="11"/>
      <c r="N814" s="11"/>
    </row>
    <row r="815" ht="15.75" customHeight="1">
      <c r="A815" s="11"/>
      <c r="J815" s="15"/>
      <c r="K815" s="11"/>
      <c r="L815" s="11"/>
      <c r="M815" s="11"/>
      <c r="N815" s="11"/>
    </row>
    <row r="816" ht="15.75" customHeight="1">
      <c r="A816" s="11"/>
      <c r="J816" s="15"/>
      <c r="K816" s="11"/>
      <c r="L816" s="11"/>
      <c r="M816" s="11"/>
      <c r="N816" s="11"/>
    </row>
    <row r="817" ht="15.75" customHeight="1">
      <c r="A817" s="11"/>
      <c r="J817" s="15"/>
      <c r="K817" s="11"/>
      <c r="L817" s="11"/>
      <c r="M817" s="11"/>
      <c r="N817" s="11"/>
    </row>
    <row r="818" ht="15.75" customHeight="1">
      <c r="A818" s="11"/>
      <c r="J818" s="15"/>
      <c r="K818" s="11"/>
      <c r="L818" s="11"/>
      <c r="M818" s="11"/>
      <c r="N818" s="11"/>
    </row>
    <row r="819" ht="15.75" customHeight="1">
      <c r="A819" s="11"/>
      <c r="J819" s="15"/>
      <c r="K819" s="11"/>
      <c r="L819" s="11"/>
      <c r="M819" s="11"/>
      <c r="N819" s="11"/>
    </row>
    <row r="820" ht="15.75" customHeight="1">
      <c r="A820" s="11"/>
      <c r="J820" s="15"/>
      <c r="K820" s="11"/>
      <c r="L820" s="11"/>
      <c r="M820" s="11"/>
      <c r="N820" s="11"/>
    </row>
    <row r="821" ht="15.75" customHeight="1">
      <c r="A821" s="11"/>
      <c r="J821" s="15"/>
      <c r="K821" s="11"/>
      <c r="L821" s="11"/>
      <c r="M821" s="11"/>
      <c r="N821" s="11"/>
    </row>
    <row r="822" ht="15.75" customHeight="1">
      <c r="A822" s="11"/>
      <c r="J822" s="15"/>
      <c r="K822" s="11"/>
      <c r="L822" s="11"/>
      <c r="M822" s="11"/>
      <c r="N822" s="11"/>
    </row>
    <row r="823" ht="15.75" customHeight="1">
      <c r="A823" s="11"/>
      <c r="J823" s="15"/>
      <c r="K823" s="11"/>
      <c r="L823" s="11"/>
      <c r="M823" s="11"/>
      <c r="N823" s="11"/>
    </row>
    <row r="824" ht="15.75" customHeight="1">
      <c r="A824" s="11"/>
      <c r="J824" s="15"/>
      <c r="K824" s="11"/>
      <c r="L824" s="11"/>
      <c r="M824" s="11"/>
      <c r="N824" s="11"/>
    </row>
    <row r="825" ht="15.75" customHeight="1">
      <c r="A825" s="11"/>
      <c r="J825" s="15"/>
      <c r="K825" s="11"/>
      <c r="L825" s="11"/>
      <c r="M825" s="11"/>
      <c r="N825" s="11"/>
    </row>
    <row r="826" ht="15.75" customHeight="1">
      <c r="A826" s="11"/>
      <c r="J826" s="15"/>
      <c r="K826" s="11"/>
      <c r="L826" s="11"/>
      <c r="M826" s="11"/>
      <c r="N826" s="11"/>
    </row>
    <row r="827" ht="15.75" customHeight="1">
      <c r="A827" s="11"/>
      <c r="J827" s="15"/>
      <c r="K827" s="11"/>
      <c r="L827" s="11"/>
      <c r="M827" s="11"/>
      <c r="N827" s="11"/>
    </row>
    <row r="828" ht="15.75" customHeight="1">
      <c r="A828" s="11"/>
      <c r="J828" s="15"/>
      <c r="K828" s="11"/>
      <c r="L828" s="11"/>
      <c r="M828" s="11"/>
      <c r="N828" s="11"/>
    </row>
    <row r="829" ht="15.75" customHeight="1">
      <c r="A829" s="11"/>
      <c r="J829" s="15"/>
      <c r="K829" s="11"/>
      <c r="L829" s="11"/>
      <c r="M829" s="11"/>
      <c r="N829" s="11"/>
    </row>
    <row r="830" ht="15.75" customHeight="1">
      <c r="A830" s="11"/>
      <c r="J830" s="15"/>
      <c r="K830" s="11"/>
      <c r="L830" s="11"/>
      <c r="M830" s="11"/>
      <c r="N830" s="11"/>
    </row>
    <row r="831" ht="15.75" customHeight="1">
      <c r="A831" s="11"/>
      <c r="J831" s="15"/>
      <c r="K831" s="11"/>
      <c r="L831" s="11"/>
      <c r="M831" s="11"/>
      <c r="N831" s="11"/>
    </row>
    <row r="832" ht="15.75" customHeight="1">
      <c r="A832" s="11"/>
      <c r="J832" s="15"/>
      <c r="K832" s="11"/>
      <c r="L832" s="11"/>
      <c r="M832" s="11"/>
      <c r="N832" s="11"/>
    </row>
    <row r="833" ht="15.75" customHeight="1">
      <c r="A833" s="11"/>
      <c r="J833" s="15"/>
      <c r="K833" s="11"/>
      <c r="L833" s="11"/>
      <c r="M833" s="11"/>
      <c r="N833" s="11"/>
    </row>
    <row r="834" ht="15.75" customHeight="1">
      <c r="A834" s="11"/>
      <c r="J834" s="15"/>
      <c r="K834" s="11"/>
      <c r="L834" s="11"/>
      <c r="M834" s="11"/>
      <c r="N834" s="11"/>
    </row>
    <row r="835" ht="15.75" customHeight="1">
      <c r="A835" s="11"/>
      <c r="J835" s="15"/>
      <c r="K835" s="11"/>
      <c r="L835" s="11"/>
      <c r="M835" s="11"/>
      <c r="N835" s="11"/>
    </row>
    <row r="836" ht="15.75" customHeight="1">
      <c r="A836" s="11"/>
      <c r="J836" s="15"/>
      <c r="K836" s="11"/>
      <c r="L836" s="11"/>
      <c r="M836" s="11"/>
      <c r="N836" s="11"/>
    </row>
    <row r="837" ht="15.75" customHeight="1">
      <c r="A837" s="11"/>
      <c r="J837" s="15"/>
      <c r="K837" s="11"/>
      <c r="L837" s="11"/>
      <c r="M837" s="11"/>
      <c r="N837" s="11"/>
    </row>
    <row r="838" ht="15.75" customHeight="1">
      <c r="A838" s="11"/>
      <c r="J838" s="15"/>
      <c r="K838" s="11"/>
      <c r="L838" s="11"/>
      <c r="M838" s="11"/>
      <c r="N838" s="11"/>
    </row>
    <row r="839" ht="15.75" customHeight="1">
      <c r="A839" s="11"/>
      <c r="J839" s="15"/>
      <c r="K839" s="11"/>
      <c r="L839" s="11"/>
      <c r="M839" s="11"/>
      <c r="N839" s="11"/>
    </row>
    <row r="840" ht="15.75" customHeight="1">
      <c r="A840" s="11"/>
      <c r="J840" s="15"/>
      <c r="K840" s="11"/>
      <c r="L840" s="11"/>
      <c r="M840" s="11"/>
      <c r="N840" s="11"/>
    </row>
    <row r="841" ht="15.75" customHeight="1">
      <c r="A841" s="11"/>
      <c r="J841" s="15"/>
      <c r="K841" s="11"/>
      <c r="L841" s="11"/>
      <c r="M841" s="11"/>
      <c r="N841" s="11"/>
    </row>
    <row r="842" ht="15.75" customHeight="1">
      <c r="A842" s="11"/>
      <c r="J842" s="15"/>
      <c r="K842" s="11"/>
      <c r="L842" s="11"/>
      <c r="M842" s="11"/>
      <c r="N842" s="11"/>
    </row>
    <row r="843" ht="15.75" customHeight="1">
      <c r="A843" s="11"/>
      <c r="J843" s="15"/>
      <c r="K843" s="11"/>
      <c r="L843" s="11"/>
      <c r="M843" s="11"/>
      <c r="N843" s="11"/>
    </row>
    <row r="844" ht="15.75" customHeight="1">
      <c r="A844" s="11"/>
      <c r="J844" s="15"/>
      <c r="K844" s="11"/>
      <c r="L844" s="11"/>
      <c r="M844" s="11"/>
      <c r="N844" s="11"/>
    </row>
    <row r="845" ht="15.75" customHeight="1">
      <c r="A845" s="11"/>
      <c r="J845" s="15"/>
      <c r="K845" s="11"/>
      <c r="L845" s="11"/>
      <c r="M845" s="11"/>
      <c r="N845" s="11"/>
    </row>
    <row r="846" ht="15.75" customHeight="1">
      <c r="A846" s="11"/>
      <c r="J846" s="15"/>
      <c r="K846" s="11"/>
      <c r="L846" s="11"/>
      <c r="M846" s="11"/>
      <c r="N846" s="11"/>
    </row>
    <row r="847" ht="15.75" customHeight="1">
      <c r="A847" s="11"/>
      <c r="J847" s="15"/>
      <c r="K847" s="11"/>
      <c r="L847" s="11"/>
      <c r="M847" s="11"/>
      <c r="N847" s="11"/>
    </row>
    <row r="848" ht="15.75" customHeight="1">
      <c r="A848" s="11"/>
      <c r="J848" s="15"/>
      <c r="K848" s="11"/>
      <c r="L848" s="11"/>
      <c r="M848" s="11"/>
      <c r="N848" s="11"/>
    </row>
    <row r="849" ht="15.75" customHeight="1">
      <c r="A849" s="11"/>
      <c r="J849" s="15"/>
      <c r="K849" s="11"/>
      <c r="L849" s="11"/>
      <c r="M849" s="11"/>
      <c r="N849" s="11"/>
    </row>
    <row r="850" ht="15.75" customHeight="1">
      <c r="A850" s="11"/>
      <c r="J850" s="15"/>
      <c r="K850" s="11"/>
      <c r="L850" s="11"/>
      <c r="M850" s="11"/>
      <c r="N850" s="11"/>
    </row>
    <row r="851" ht="15.75" customHeight="1">
      <c r="A851" s="11"/>
      <c r="J851" s="15"/>
      <c r="K851" s="11"/>
      <c r="L851" s="11"/>
      <c r="M851" s="11"/>
      <c r="N851" s="11"/>
    </row>
    <row r="852" ht="15.75" customHeight="1">
      <c r="A852" s="11"/>
      <c r="J852" s="15"/>
      <c r="K852" s="11"/>
      <c r="L852" s="11"/>
      <c r="M852" s="11"/>
      <c r="N852" s="11"/>
    </row>
    <row r="853" ht="15.75" customHeight="1">
      <c r="A853" s="11"/>
      <c r="J853" s="15"/>
      <c r="K853" s="11"/>
      <c r="L853" s="11"/>
      <c r="M853" s="11"/>
      <c r="N853" s="11"/>
    </row>
    <row r="854" ht="15.75" customHeight="1">
      <c r="A854" s="11"/>
      <c r="J854" s="15"/>
      <c r="K854" s="11"/>
      <c r="L854" s="11"/>
      <c r="M854" s="11"/>
      <c r="N854" s="11"/>
    </row>
    <row r="855" ht="15.75" customHeight="1">
      <c r="A855" s="11"/>
      <c r="J855" s="15"/>
      <c r="K855" s="11"/>
      <c r="L855" s="11"/>
      <c r="M855" s="11"/>
      <c r="N855" s="11"/>
    </row>
    <row r="856" ht="15.75" customHeight="1">
      <c r="A856" s="11"/>
      <c r="J856" s="15"/>
      <c r="K856" s="11"/>
      <c r="L856" s="11"/>
      <c r="M856" s="11"/>
      <c r="N856" s="11"/>
    </row>
    <row r="857" ht="15.75" customHeight="1">
      <c r="A857" s="11"/>
      <c r="J857" s="15"/>
      <c r="K857" s="11"/>
      <c r="L857" s="11"/>
      <c r="M857" s="11"/>
      <c r="N857" s="11"/>
    </row>
    <row r="858" ht="15.75" customHeight="1">
      <c r="A858" s="11"/>
      <c r="J858" s="15"/>
      <c r="K858" s="11"/>
      <c r="L858" s="11"/>
      <c r="M858" s="11"/>
      <c r="N858" s="11"/>
    </row>
    <row r="859" ht="15.75" customHeight="1">
      <c r="A859" s="11"/>
      <c r="J859" s="15"/>
      <c r="K859" s="11"/>
      <c r="L859" s="11"/>
      <c r="M859" s="11"/>
      <c r="N859" s="11"/>
    </row>
    <row r="860" ht="15.75" customHeight="1">
      <c r="A860" s="11"/>
      <c r="J860" s="15"/>
      <c r="K860" s="11"/>
      <c r="L860" s="11"/>
      <c r="M860" s="11"/>
      <c r="N860" s="11"/>
    </row>
    <row r="861" ht="15.75" customHeight="1">
      <c r="A861" s="11"/>
      <c r="J861" s="15"/>
      <c r="K861" s="11"/>
      <c r="L861" s="11"/>
      <c r="M861" s="11"/>
      <c r="N861" s="11"/>
    </row>
    <row r="862" ht="15.75" customHeight="1">
      <c r="A862" s="11"/>
      <c r="J862" s="15"/>
      <c r="K862" s="11"/>
      <c r="L862" s="11"/>
      <c r="M862" s="11"/>
      <c r="N862" s="11"/>
    </row>
    <row r="863" ht="15.75" customHeight="1">
      <c r="A863" s="11"/>
      <c r="J863" s="15"/>
      <c r="K863" s="11"/>
      <c r="L863" s="11"/>
      <c r="M863" s="11"/>
      <c r="N863" s="11"/>
    </row>
    <row r="864" ht="15.75" customHeight="1">
      <c r="A864" s="11"/>
      <c r="J864" s="15"/>
      <c r="K864" s="11"/>
      <c r="L864" s="11"/>
      <c r="M864" s="11"/>
      <c r="N864" s="11"/>
    </row>
    <row r="865" ht="15.75" customHeight="1">
      <c r="A865" s="11"/>
      <c r="J865" s="15"/>
      <c r="K865" s="11"/>
      <c r="L865" s="11"/>
      <c r="M865" s="11"/>
      <c r="N865" s="11"/>
    </row>
    <row r="866" ht="15.75" customHeight="1">
      <c r="A866" s="11"/>
      <c r="J866" s="15"/>
      <c r="K866" s="11"/>
      <c r="L866" s="11"/>
      <c r="M866" s="11"/>
      <c r="N866" s="11"/>
    </row>
    <row r="867" ht="15.75" customHeight="1">
      <c r="A867" s="11"/>
      <c r="J867" s="15"/>
      <c r="K867" s="11"/>
      <c r="L867" s="11"/>
      <c r="M867" s="11"/>
      <c r="N867" s="11"/>
    </row>
    <row r="868" ht="15.75" customHeight="1">
      <c r="A868" s="11"/>
      <c r="J868" s="15"/>
      <c r="K868" s="11"/>
      <c r="L868" s="11"/>
      <c r="M868" s="11"/>
      <c r="N868" s="11"/>
    </row>
    <row r="869" ht="15.75" customHeight="1">
      <c r="A869" s="11"/>
      <c r="J869" s="15"/>
      <c r="K869" s="11"/>
      <c r="L869" s="11"/>
      <c r="M869" s="11"/>
      <c r="N869" s="11"/>
    </row>
    <row r="870" ht="15.75" customHeight="1">
      <c r="A870" s="11"/>
      <c r="J870" s="15"/>
      <c r="K870" s="11"/>
      <c r="L870" s="11"/>
      <c r="M870" s="11"/>
      <c r="N870" s="11"/>
    </row>
    <row r="871" ht="15.75" customHeight="1">
      <c r="A871" s="11"/>
      <c r="J871" s="15"/>
      <c r="K871" s="11"/>
      <c r="L871" s="11"/>
      <c r="M871" s="11"/>
      <c r="N871" s="11"/>
    </row>
    <row r="872" ht="15.75" customHeight="1">
      <c r="A872" s="11"/>
      <c r="J872" s="15"/>
      <c r="K872" s="11"/>
      <c r="L872" s="11"/>
      <c r="M872" s="11"/>
      <c r="N872" s="11"/>
    </row>
    <row r="873" ht="15.75" customHeight="1">
      <c r="A873" s="11"/>
      <c r="J873" s="15"/>
      <c r="K873" s="11"/>
      <c r="L873" s="11"/>
      <c r="M873" s="11"/>
      <c r="N873" s="11"/>
    </row>
    <row r="874" ht="15.75" customHeight="1">
      <c r="A874" s="11"/>
      <c r="J874" s="15"/>
      <c r="K874" s="11"/>
      <c r="L874" s="11"/>
      <c r="M874" s="11"/>
      <c r="N874" s="11"/>
    </row>
    <row r="875" ht="15.75" customHeight="1">
      <c r="A875" s="11"/>
      <c r="J875" s="15"/>
      <c r="K875" s="11"/>
      <c r="L875" s="11"/>
      <c r="M875" s="11"/>
      <c r="N875" s="11"/>
    </row>
    <row r="876" ht="15.75" customHeight="1">
      <c r="A876" s="11"/>
      <c r="J876" s="15"/>
      <c r="K876" s="11"/>
      <c r="L876" s="11"/>
      <c r="M876" s="11"/>
      <c r="N876" s="11"/>
    </row>
    <row r="877" ht="15.75" customHeight="1">
      <c r="A877" s="11"/>
      <c r="J877" s="15"/>
      <c r="K877" s="11"/>
      <c r="L877" s="11"/>
      <c r="M877" s="11"/>
      <c r="N877" s="11"/>
    </row>
    <row r="878" ht="15.75" customHeight="1">
      <c r="A878" s="11"/>
      <c r="J878" s="15"/>
      <c r="K878" s="11"/>
      <c r="L878" s="11"/>
      <c r="M878" s="11"/>
      <c r="N878" s="11"/>
    </row>
    <row r="879" ht="15.75" customHeight="1">
      <c r="A879" s="11"/>
      <c r="J879" s="15"/>
      <c r="K879" s="11"/>
      <c r="L879" s="11"/>
      <c r="M879" s="11"/>
      <c r="N879" s="11"/>
    </row>
    <row r="880" ht="15.75" customHeight="1">
      <c r="A880" s="11"/>
      <c r="J880" s="15"/>
      <c r="K880" s="11"/>
      <c r="L880" s="11"/>
      <c r="M880" s="11"/>
      <c r="N880" s="11"/>
    </row>
    <row r="881" ht="15.75" customHeight="1">
      <c r="A881" s="11"/>
      <c r="J881" s="15"/>
      <c r="K881" s="11"/>
      <c r="L881" s="11"/>
      <c r="M881" s="11"/>
      <c r="N881" s="11"/>
    </row>
    <row r="882" ht="15.75" customHeight="1">
      <c r="A882" s="11"/>
      <c r="J882" s="15"/>
      <c r="K882" s="11"/>
      <c r="L882" s="11"/>
      <c r="M882" s="11"/>
      <c r="N882" s="11"/>
    </row>
    <row r="883" ht="15.75" customHeight="1">
      <c r="A883" s="11"/>
      <c r="J883" s="15"/>
      <c r="K883" s="11"/>
      <c r="L883" s="11"/>
      <c r="M883" s="11"/>
      <c r="N883" s="11"/>
    </row>
    <row r="884" ht="15.75" customHeight="1">
      <c r="A884" s="11"/>
      <c r="J884" s="15"/>
      <c r="K884" s="11"/>
      <c r="L884" s="11"/>
      <c r="M884" s="11"/>
      <c r="N884" s="11"/>
    </row>
    <row r="885" ht="15.75" customHeight="1">
      <c r="A885" s="11"/>
      <c r="J885" s="15"/>
      <c r="K885" s="11"/>
      <c r="L885" s="11"/>
      <c r="M885" s="11"/>
      <c r="N885" s="11"/>
    </row>
    <row r="886" ht="15.75" customHeight="1">
      <c r="A886" s="11"/>
      <c r="J886" s="15"/>
      <c r="K886" s="11"/>
      <c r="L886" s="11"/>
      <c r="M886" s="11"/>
      <c r="N886" s="11"/>
    </row>
    <row r="887" ht="15.75" customHeight="1">
      <c r="A887" s="11"/>
      <c r="J887" s="15"/>
      <c r="K887" s="11"/>
      <c r="L887" s="11"/>
      <c r="M887" s="11"/>
      <c r="N887" s="11"/>
    </row>
    <row r="888" ht="15.75" customHeight="1">
      <c r="A888" s="11"/>
      <c r="J888" s="15"/>
      <c r="K888" s="11"/>
      <c r="L888" s="11"/>
      <c r="M888" s="11"/>
      <c r="N888" s="11"/>
    </row>
    <row r="889" ht="15.75" customHeight="1">
      <c r="A889" s="11"/>
      <c r="J889" s="15"/>
      <c r="K889" s="11"/>
      <c r="L889" s="11"/>
      <c r="M889" s="11"/>
      <c r="N889" s="11"/>
    </row>
    <row r="890" ht="15.75" customHeight="1">
      <c r="A890" s="11"/>
      <c r="J890" s="15"/>
      <c r="K890" s="11"/>
      <c r="L890" s="11"/>
      <c r="M890" s="11"/>
      <c r="N890" s="11"/>
    </row>
    <row r="891" ht="15.75" customHeight="1">
      <c r="A891" s="11"/>
      <c r="J891" s="15"/>
      <c r="K891" s="11"/>
      <c r="L891" s="11"/>
      <c r="M891" s="11"/>
      <c r="N891" s="11"/>
    </row>
    <row r="892" ht="15.75" customHeight="1">
      <c r="A892" s="11"/>
      <c r="J892" s="15"/>
      <c r="K892" s="11"/>
      <c r="L892" s="11"/>
      <c r="M892" s="11"/>
      <c r="N892" s="11"/>
    </row>
    <row r="893" ht="15.75" customHeight="1">
      <c r="A893" s="11"/>
      <c r="J893" s="15"/>
      <c r="K893" s="11"/>
      <c r="L893" s="11"/>
      <c r="M893" s="11"/>
      <c r="N893" s="11"/>
    </row>
    <row r="894" ht="15.75" customHeight="1">
      <c r="A894" s="11"/>
      <c r="J894" s="15"/>
      <c r="K894" s="11"/>
      <c r="L894" s="11"/>
      <c r="M894" s="11"/>
      <c r="N894" s="11"/>
    </row>
    <row r="895" ht="15.75" customHeight="1">
      <c r="A895" s="11"/>
      <c r="J895" s="15"/>
      <c r="K895" s="11"/>
      <c r="L895" s="11"/>
      <c r="M895" s="11"/>
      <c r="N895" s="11"/>
    </row>
    <row r="896" ht="15.75" customHeight="1">
      <c r="A896" s="11"/>
      <c r="J896" s="15"/>
      <c r="K896" s="11"/>
      <c r="L896" s="11"/>
      <c r="M896" s="11"/>
      <c r="N896" s="11"/>
    </row>
    <row r="897" ht="15.75" customHeight="1">
      <c r="A897" s="11"/>
      <c r="J897" s="15"/>
      <c r="K897" s="11"/>
      <c r="L897" s="11"/>
      <c r="M897" s="11"/>
      <c r="N897" s="11"/>
    </row>
    <row r="898" ht="15.75" customHeight="1">
      <c r="A898" s="11"/>
      <c r="J898" s="15"/>
      <c r="K898" s="11"/>
      <c r="L898" s="11"/>
      <c r="M898" s="11"/>
      <c r="N898" s="11"/>
    </row>
    <row r="899" ht="15.75" customHeight="1">
      <c r="A899" s="11"/>
      <c r="J899" s="15"/>
      <c r="K899" s="11"/>
      <c r="L899" s="11"/>
      <c r="M899" s="11"/>
      <c r="N899" s="11"/>
    </row>
    <row r="900" ht="15.75" customHeight="1">
      <c r="A900" s="11"/>
      <c r="J900" s="15"/>
      <c r="K900" s="11"/>
      <c r="L900" s="11"/>
      <c r="M900" s="11"/>
      <c r="N900" s="11"/>
    </row>
    <row r="901" ht="15.75" customHeight="1">
      <c r="A901" s="11"/>
      <c r="J901" s="15"/>
      <c r="K901" s="11"/>
      <c r="L901" s="11"/>
      <c r="M901" s="11"/>
      <c r="N901" s="11"/>
    </row>
    <row r="902" ht="15.75" customHeight="1">
      <c r="A902" s="11"/>
      <c r="J902" s="15"/>
      <c r="K902" s="11"/>
      <c r="L902" s="11"/>
      <c r="M902" s="11"/>
      <c r="N902" s="11"/>
    </row>
    <row r="903" ht="15.75" customHeight="1">
      <c r="A903" s="11"/>
      <c r="J903" s="15"/>
      <c r="K903" s="11"/>
      <c r="L903" s="11"/>
      <c r="M903" s="11"/>
      <c r="N903" s="11"/>
    </row>
    <row r="904" ht="15.75" customHeight="1">
      <c r="A904" s="11"/>
      <c r="J904" s="15"/>
      <c r="K904" s="11"/>
      <c r="L904" s="11"/>
      <c r="M904" s="11"/>
      <c r="N904" s="11"/>
    </row>
    <row r="905" ht="15.75" customHeight="1">
      <c r="A905" s="11"/>
      <c r="J905" s="15"/>
      <c r="K905" s="11"/>
      <c r="L905" s="11"/>
      <c r="M905" s="11"/>
      <c r="N905" s="11"/>
    </row>
    <row r="906" ht="15.75" customHeight="1">
      <c r="A906" s="11"/>
      <c r="J906" s="15"/>
      <c r="K906" s="11"/>
      <c r="L906" s="11"/>
      <c r="M906" s="11"/>
      <c r="N906" s="11"/>
    </row>
    <row r="907" ht="15.75" customHeight="1">
      <c r="A907" s="11"/>
      <c r="J907" s="15"/>
      <c r="K907" s="11"/>
      <c r="L907" s="11"/>
      <c r="M907" s="11"/>
      <c r="N907" s="11"/>
    </row>
    <row r="908" ht="15.75" customHeight="1">
      <c r="A908" s="11"/>
      <c r="J908" s="15"/>
      <c r="K908" s="11"/>
      <c r="L908" s="11"/>
      <c r="M908" s="11"/>
      <c r="N908" s="11"/>
    </row>
    <row r="909" ht="15.75" customHeight="1">
      <c r="A909" s="11"/>
      <c r="J909" s="15"/>
      <c r="K909" s="11"/>
      <c r="L909" s="11"/>
      <c r="M909" s="11"/>
      <c r="N909" s="11"/>
    </row>
    <row r="910" ht="15.75" customHeight="1">
      <c r="A910" s="11"/>
      <c r="J910" s="15"/>
      <c r="K910" s="11"/>
      <c r="L910" s="11"/>
      <c r="M910" s="11"/>
      <c r="N910" s="11"/>
    </row>
    <row r="911" ht="15.75" customHeight="1">
      <c r="A911" s="11"/>
      <c r="J911" s="15"/>
      <c r="K911" s="11"/>
      <c r="L911" s="11"/>
      <c r="M911" s="11"/>
      <c r="N911" s="11"/>
    </row>
    <row r="912" ht="15.75" customHeight="1">
      <c r="A912" s="11"/>
      <c r="J912" s="15"/>
      <c r="K912" s="11"/>
      <c r="L912" s="11"/>
      <c r="M912" s="11"/>
      <c r="N912" s="11"/>
    </row>
    <row r="913" ht="15.75" customHeight="1">
      <c r="A913" s="11"/>
      <c r="J913" s="15"/>
      <c r="K913" s="11"/>
      <c r="L913" s="11"/>
      <c r="M913" s="11"/>
      <c r="N913" s="11"/>
    </row>
    <row r="914" ht="15.75" customHeight="1">
      <c r="A914" s="11"/>
      <c r="J914" s="15"/>
      <c r="K914" s="11"/>
      <c r="L914" s="11"/>
      <c r="M914" s="11"/>
      <c r="N914" s="11"/>
    </row>
    <row r="915" ht="15.75" customHeight="1">
      <c r="A915" s="11"/>
      <c r="J915" s="15"/>
      <c r="K915" s="11"/>
      <c r="L915" s="11"/>
      <c r="M915" s="11"/>
      <c r="N915" s="11"/>
    </row>
    <row r="916" ht="15.75" customHeight="1">
      <c r="A916" s="11"/>
      <c r="J916" s="15"/>
      <c r="K916" s="11"/>
      <c r="L916" s="11"/>
      <c r="M916" s="11"/>
      <c r="N916" s="11"/>
    </row>
    <row r="917" ht="15.75" customHeight="1">
      <c r="A917" s="11"/>
      <c r="J917" s="15"/>
      <c r="K917" s="11"/>
      <c r="L917" s="11"/>
      <c r="M917" s="11"/>
      <c r="N917" s="11"/>
    </row>
    <row r="918" ht="15.75" customHeight="1">
      <c r="A918" s="11"/>
      <c r="J918" s="15"/>
      <c r="K918" s="11"/>
      <c r="L918" s="11"/>
      <c r="M918" s="11"/>
      <c r="N918" s="11"/>
    </row>
    <row r="919" ht="15.75" customHeight="1">
      <c r="A919" s="11"/>
      <c r="J919" s="15"/>
      <c r="K919" s="11"/>
      <c r="L919" s="11"/>
      <c r="M919" s="11"/>
      <c r="N919" s="11"/>
    </row>
    <row r="920" ht="15.75" customHeight="1">
      <c r="A920" s="11"/>
      <c r="J920" s="15"/>
      <c r="K920" s="11"/>
      <c r="L920" s="11"/>
      <c r="M920" s="11"/>
      <c r="N920" s="11"/>
    </row>
    <row r="921" ht="15.75" customHeight="1">
      <c r="A921" s="11"/>
      <c r="J921" s="15"/>
      <c r="K921" s="11"/>
      <c r="L921" s="11"/>
      <c r="M921" s="11"/>
      <c r="N921" s="11"/>
    </row>
    <row r="922" ht="15.75" customHeight="1">
      <c r="A922" s="11"/>
      <c r="J922" s="15"/>
      <c r="K922" s="11"/>
      <c r="L922" s="11"/>
      <c r="M922" s="11"/>
      <c r="N922" s="11"/>
    </row>
    <row r="923" ht="15.75" customHeight="1">
      <c r="A923" s="11"/>
      <c r="J923" s="15"/>
      <c r="K923" s="11"/>
      <c r="L923" s="11"/>
      <c r="M923" s="11"/>
      <c r="N923" s="11"/>
    </row>
    <row r="924" ht="15.75" customHeight="1">
      <c r="A924" s="11"/>
      <c r="J924" s="15"/>
      <c r="K924" s="11"/>
      <c r="L924" s="11"/>
      <c r="M924" s="11"/>
      <c r="N924" s="11"/>
    </row>
    <row r="925" ht="15.75" customHeight="1">
      <c r="A925" s="11"/>
      <c r="J925" s="15"/>
      <c r="K925" s="11"/>
      <c r="L925" s="11"/>
      <c r="M925" s="11"/>
      <c r="N925" s="11"/>
    </row>
    <row r="926" ht="15.75" customHeight="1">
      <c r="A926" s="11"/>
      <c r="J926" s="15"/>
      <c r="K926" s="11"/>
      <c r="L926" s="11"/>
      <c r="M926" s="11"/>
      <c r="N926" s="11"/>
    </row>
    <row r="927" ht="15.75" customHeight="1">
      <c r="A927" s="11"/>
      <c r="J927" s="15"/>
      <c r="K927" s="11"/>
      <c r="L927" s="11"/>
      <c r="M927" s="11"/>
      <c r="N927" s="11"/>
    </row>
    <row r="928" ht="15.75" customHeight="1">
      <c r="A928" s="11"/>
      <c r="J928" s="15"/>
      <c r="K928" s="11"/>
      <c r="L928" s="11"/>
      <c r="M928" s="11"/>
      <c r="N928" s="11"/>
    </row>
    <row r="929" ht="15.75" customHeight="1">
      <c r="A929" s="11"/>
      <c r="J929" s="15"/>
      <c r="K929" s="11"/>
      <c r="L929" s="11"/>
      <c r="M929" s="11"/>
      <c r="N929" s="11"/>
    </row>
    <row r="930" ht="15.75" customHeight="1">
      <c r="A930" s="11"/>
      <c r="J930" s="15"/>
      <c r="K930" s="11"/>
      <c r="L930" s="11"/>
      <c r="M930" s="11"/>
      <c r="N930" s="11"/>
    </row>
    <row r="931" ht="15.75" customHeight="1">
      <c r="A931" s="11"/>
      <c r="J931" s="15"/>
      <c r="K931" s="11"/>
      <c r="L931" s="11"/>
      <c r="M931" s="11"/>
      <c r="N931" s="11"/>
    </row>
    <row r="932" ht="15.75" customHeight="1">
      <c r="A932" s="11"/>
      <c r="J932" s="15"/>
      <c r="K932" s="11"/>
      <c r="L932" s="11"/>
      <c r="M932" s="11"/>
      <c r="N932" s="11"/>
    </row>
    <row r="933" ht="15.75" customHeight="1">
      <c r="A933" s="11"/>
      <c r="J933" s="15"/>
      <c r="K933" s="11"/>
      <c r="L933" s="11"/>
      <c r="M933" s="11"/>
      <c r="N933" s="11"/>
    </row>
    <row r="934" ht="15.75" customHeight="1">
      <c r="A934" s="11"/>
      <c r="J934" s="15"/>
      <c r="K934" s="11"/>
      <c r="L934" s="11"/>
      <c r="M934" s="11"/>
      <c r="N934" s="11"/>
    </row>
    <row r="935" ht="15.75" customHeight="1">
      <c r="A935" s="11"/>
      <c r="J935" s="15"/>
      <c r="K935" s="11"/>
      <c r="L935" s="11"/>
      <c r="M935" s="11"/>
      <c r="N935" s="11"/>
    </row>
    <row r="936" ht="15.75" customHeight="1">
      <c r="A936" s="11"/>
      <c r="J936" s="15"/>
      <c r="K936" s="11"/>
      <c r="L936" s="11"/>
      <c r="M936" s="11"/>
      <c r="N936" s="11"/>
    </row>
    <row r="937" ht="15.75" customHeight="1">
      <c r="A937" s="11"/>
      <c r="J937" s="15"/>
      <c r="K937" s="11"/>
      <c r="L937" s="11"/>
      <c r="M937" s="11"/>
      <c r="N937" s="11"/>
    </row>
    <row r="938" ht="15.75" customHeight="1">
      <c r="A938" s="11"/>
      <c r="J938" s="15"/>
      <c r="K938" s="11"/>
      <c r="L938" s="11"/>
      <c r="M938" s="11"/>
      <c r="N938" s="11"/>
    </row>
    <row r="939" ht="15.75" customHeight="1">
      <c r="A939" s="11"/>
      <c r="J939" s="15"/>
      <c r="K939" s="11"/>
      <c r="L939" s="11"/>
      <c r="M939" s="11"/>
      <c r="N939" s="11"/>
    </row>
    <row r="940" ht="15.75" customHeight="1">
      <c r="A940" s="11"/>
      <c r="J940" s="15"/>
      <c r="K940" s="11"/>
      <c r="L940" s="11"/>
      <c r="M940" s="11"/>
      <c r="N940" s="11"/>
    </row>
    <row r="941" ht="15.75" customHeight="1">
      <c r="A941" s="11"/>
      <c r="J941" s="15"/>
      <c r="K941" s="11"/>
      <c r="L941" s="11"/>
      <c r="M941" s="11"/>
      <c r="N941" s="11"/>
    </row>
    <row r="942" ht="15.75" customHeight="1">
      <c r="A942" s="11"/>
      <c r="J942" s="15"/>
      <c r="K942" s="11"/>
      <c r="L942" s="11"/>
      <c r="M942" s="11"/>
      <c r="N942" s="11"/>
    </row>
    <row r="943" ht="15.75" customHeight="1">
      <c r="A943" s="11"/>
      <c r="J943" s="15"/>
      <c r="K943" s="11"/>
      <c r="L943" s="11"/>
      <c r="M943" s="11"/>
      <c r="N943" s="11"/>
    </row>
    <row r="944" ht="15.75" customHeight="1">
      <c r="A944" s="11"/>
      <c r="J944" s="15"/>
      <c r="K944" s="11"/>
      <c r="L944" s="11"/>
      <c r="M944" s="11"/>
      <c r="N944" s="11"/>
    </row>
    <row r="945" ht="15.75" customHeight="1">
      <c r="A945" s="11"/>
      <c r="J945" s="15"/>
      <c r="K945" s="11"/>
      <c r="L945" s="11"/>
      <c r="M945" s="11"/>
      <c r="N945" s="11"/>
    </row>
    <row r="946" ht="15.75" customHeight="1">
      <c r="A946" s="11"/>
      <c r="J946" s="15"/>
      <c r="K946" s="11"/>
      <c r="L946" s="11"/>
      <c r="M946" s="11"/>
      <c r="N946" s="11"/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2.63"/>
    <col customWidth="1" min="3" max="3" width="17.5"/>
    <col customWidth="1" min="4" max="4" width="12.5"/>
    <col customWidth="1" min="5" max="5" width="12.63"/>
    <col customWidth="1" min="6" max="6" width="16.0"/>
    <col customWidth="1" min="10" max="10" width="21.25"/>
    <col customWidth="1" min="11" max="11" width="22.38"/>
    <col customWidth="1" min="12" max="12" width="12.13"/>
    <col customWidth="1" min="13" max="13" width="15.13"/>
    <col customWidth="1" min="14" max="14" width="23.13"/>
  </cols>
  <sheetData>
    <row r="1" ht="26.25" customHeight="1">
      <c r="A1" s="89"/>
      <c r="B1" s="89"/>
      <c r="C1" s="89"/>
      <c r="D1" s="90" t="s">
        <v>577</v>
      </c>
      <c r="E1" s="89"/>
      <c r="F1" s="91"/>
      <c r="G1" s="89"/>
      <c r="H1" s="89"/>
      <c r="I1" s="89"/>
      <c r="J1" s="6" t="s">
        <v>576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92"/>
      <c r="B2" s="92"/>
      <c r="C2" s="92"/>
      <c r="D2" s="92"/>
      <c r="E2" s="92"/>
      <c r="F2" s="92"/>
      <c r="G2" s="92"/>
      <c r="H2" s="92"/>
      <c r="I2" s="93"/>
      <c r="J2" s="9"/>
      <c r="K2" s="6"/>
      <c r="L2" s="6"/>
      <c r="M2" s="6"/>
      <c r="N2" s="6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92" t="s">
        <v>16</v>
      </c>
      <c r="B3" s="92" t="s">
        <v>17</v>
      </c>
      <c r="C3" s="92" t="s">
        <v>18</v>
      </c>
      <c r="D3" s="92" t="s">
        <v>19</v>
      </c>
      <c r="E3" s="92" t="s">
        <v>16</v>
      </c>
      <c r="F3" s="92" t="s">
        <v>17</v>
      </c>
      <c r="G3" s="92" t="s">
        <v>18</v>
      </c>
      <c r="H3" s="92" t="s">
        <v>19</v>
      </c>
      <c r="I3" s="93"/>
      <c r="J3" s="9"/>
      <c r="K3" s="6"/>
      <c r="L3" s="6"/>
      <c r="M3" s="6"/>
      <c r="N3" s="6"/>
      <c r="O3" s="10"/>
      <c r="P3" s="10"/>
      <c r="Q3" s="10"/>
      <c r="R3" s="10"/>
      <c r="S3" s="10"/>
      <c r="T3" s="10"/>
      <c r="U3" s="10"/>
      <c r="V3" s="10"/>
      <c r="W3" s="10"/>
    </row>
    <row r="4" ht="15.75" customHeight="1">
      <c r="A4" s="11" t="s">
        <v>21</v>
      </c>
      <c r="B4" s="38">
        <v>656.4</v>
      </c>
      <c r="C4" s="11">
        <f t="shared" ref="C4:C745" si="1">B4/B5-1</f>
        <v>-0.007034263671</v>
      </c>
      <c r="D4" s="13">
        <f t="shared" ref="D4:D746" si="2">C4</f>
        <v>-0.007034263671</v>
      </c>
      <c r="E4" s="11" t="s">
        <v>21</v>
      </c>
      <c r="F4" s="12">
        <v>22326.9</v>
      </c>
      <c r="G4" s="11">
        <v>0.009187001</v>
      </c>
      <c r="H4" s="13">
        <v>0.0092</v>
      </c>
      <c r="I4" s="14"/>
    </row>
    <row r="5" ht="15.75" customHeight="1">
      <c r="A5" s="11" t="s">
        <v>23</v>
      </c>
      <c r="B5" s="38">
        <v>661.05</v>
      </c>
      <c r="C5" s="11">
        <f t="shared" si="1"/>
        <v>-0.01775631501</v>
      </c>
      <c r="D5" s="13">
        <f t="shared" si="2"/>
        <v>-0.01775631501</v>
      </c>
      <c r="E5" s="11" t="s">
        <v>23</v>
      </c>
      <c r="F5" s="12">
        <v>22123.65</v>
      </c>
      <c r="G5" s="11">
        <v>0.005405663</v>
      </c>
      <c r="H5" s="13">
        <v>0.0054</v>
      </c>
      <c r="I5" s="11"/>
      <c r="J5" s="15"/>
      <c r="K5" s="16">
        <f>(B4/B746)^(1/3)</f>
        <v>1.578631582</v>
      </c>
      <c r="L5" s="11"/>
      <c r="M5" s="11"/>
      <c r="N5" s="11"/>
    </row>
    <row r="6" ht="15.75" customHeight="1">
      <c r="A6" s="11" t="s">
        <v>24</v>
      </c>
      <c r="B6" s="38">
        <v>673.0</v>
      </c>
      <c r="C6" s="11">
        <f t="shared" si="1"/>
        <v>-0.02037845706</v>
      </c>
      <c r="D6" s="13">
        <f t="shared" si="2"/>
        <v>-0.02037845706</v>
      </c>
      <c r="E6" s="11" t="s">
        <v>24</v>
      </c>
      <c r="F6" s="12">
        <v>22004.7</v>
      </c>
      <c r="G6" s="11">
        <v>-0.004165771</v>
      </c>
      <c r="H6" s="13">
        <v>-0.0042</v>
      </c>
      <c r="J6" s="17" t="s">
        <v>25</v>
      </c>
      <c r="K6" s="16">
        <f>K5-1</f>
        <v>0.5786315824</v>
      </c>
      <c r="L6" s="11"/>
      <c r="M6" s="11"/>
      <c r="N6" s="18">
        <f>(7.08+7.29+4.64)/3</f>
        <v>6.336666667</v>
      </c>
    </row>
    <row r="7" ht="15.75" customHeight="1">
      <c r="A7" s="11" t="s">
        <v>27</v>
      </c>
      <c r="B7" s="38">
        <v>687.0</v>
      </c>
      <c r="C7" s="11">
        <f t="shared" si="1"/>
        <v>-0.008300252616</v>
      </c>
      <c r="D7" s="13">
        <f t="shared" si="2"/>
        <v>-0.008300252616</v>
      </c>
      <c r="E7" s="11" t="s">
        <v>27</v>
      </c>
      <c r="F7" s="12">
        <v>22096.75</v>
      </c>
      <c r="G7" s="11">
        <v>0.003852453</v>
      </c>
      <c r="H7" s="13">
        <v>0.0039</v>
      </c>
      <c r="J7" s="15"/>
      <c r="K7" s="80">
        <f>K6</f>
        <v>0.5786315824</v>
      </c>
      <c r="L7" s="15"/>
      <c r="M7" s="20" t="s">
        <v>28</v>
      </c>
      <c r="N7" s="21">
        <v>0.0633</v>
      </c>
      <c r="O7" s="18" t="s">
        <v>29</v>
      </c>
      <c r="P7" s="18"/>
      <c r="Q7" s="18"/>
    </row>
    <row r="8" ht="15.75" customHeight="1">
      <c r="A8" s="11" t="s">
        <v>30</v>
      </c>
      <c r="B8" s="38">
        <v>692.75</v>
      </c>
      <c r="C8" s="11">
        <f t="shared" si="1"/>
        <v>0.01183086248</v>
      </c>
      <c r="D8" s="13">
        <f t="shared" si="2"/>
        <v>0.01183086248</v>
      </c>
      <c r="E8" s="11" t="s">
        <v>30</v>
      </c>
      <c r="F8" s="12">
        <v>22011.95</v>
      </c>
      <c r="G8" s="11">
        <v>0.007914703</v>
      </c>
      <c r="H8" s="13">
        <v>0.0079</v>
      </c>
      <c r="J8" s="15"/>
      <c r="K8" s="11"/>
      <c r="L8" s="11"/>
      <c r="M8" s="11"/>
      <c r="N8" s="20">
        <v>0.0633</v>
      </c>
    </row>
    <row r="9" ht="15.75" customHeight="1">
      <c r="A9" s="11" t="s">
        <v>31</v>
      </c>
      <c r="B9" s="38">
        <v>684.65</v>
      </c>
      <c r="C9" s="11">
        <f t="shared" si="1"/>
        <v>-0.01162119244</v>
      </c>
      <c r="D9" s="13">
        <f t="shared" si="2"/>
        <v>-0.01162119244</v>
      </c>
      <c r="E9" s="11" t="s">
        <v>31</v>
      </c>
      <c r="F9" s="12">
        <v>21839.1</v>
      </c>
      <c r="G9" s="11">
        <v>9.92325E-4</v>
      </c>
      <c r="H9" s="13">
        <v>0.001</v>
      </c>
      <c r="J9" s="22" t="s">
        <v>32</v>
      </c>
      <c r="K9" s="20">
        <f>_xlfn.COVARIANCE.P(C4:C745,G4:G745)/_xlfn.VAR.P(G4:G745)</f>
        <v>1.197865244</v>
      </c>
      <c r="L9" s="11"/>
      <c r="M9" s="11"/>
      <c r="N9" s="11"/>
    </row>
    <row r="10" ht="15.75" customHeight="1">
      <c r="A10" s="11" t="s">
        <v>33</v>
      </c>
      <c r="B10" s="38">
        <v>692.7</v>
      </c>
      <c r="C10" s="11">
        <f t="shared" si="1"/>
        <v>-0.01987973116</v>
      </c>
      <c r="D10" s="13">
        <f t="shared" si="2"/>
        <v>-0.01987973116</v>
      </c>
      <c r="E10" s="11" t="s">
        <v>33</v>
      </c>
      <c r="F10" s="12">
        <v>21817.45</v>
      </c>
      <c r="G10" s="11">
        <v>-0.010802196</v>
      </c>
      <c r="H10" s="13">
        <v>-0.0108</v>
      </c>
      <c r="J10" s="22" t="s">
        <v>34</v>
      </c>
      <c r="K10" s="20">
        <f>SLOPE(C4:C745,G4:G745)</f>
        <v>1.197865244</v>
      </c>
      <c r="L10" s="11"/>
      <c r="M10" s="11"/>
      <c r="N10" s="23" t="s">
        <v>35</v>
      </c>
      <c r="O10" s="24" t="s">
        <v>36</v>
      </c>
      <c r="P10" s="24" t="s">
        <v>37</v>
      </c>
      <c r="Q10" s="24" t="s">
        <v>38</v>
      </c>
    </row>
    <row r="11" ht="15.75" customHeight="1">
      <c r="A11" s="11" t="s">
        <v>44</v>
      </c>
      <c r="B11" s="38">
        <v>706.75</v>
      </c>
      <c r="C11" s="11">
        <f t="shared" si="1"/>
        <v>-0.01084674598</v>
      </c>
      <c r="D11" s="13">
        <f t="shared" si="2"/>
        <v>-0.01084674598</v>
      </c>
      <c r="E11" s="11" t="s">
        <v>44</v>
      </c>
      <c r="F11" s="12">
        <v>22055.7</v>
      </c>
      <c r="G11" s="11">
        <v>0.001468896</v>
      </c>
      <c r="H11" s="13">
        <v>0.0015</v>
      </c>
      <c r="J11" s="22" t="s">
        <v>45</v>
      </c>
      <c r="K11" s="20">
        <f>K10</f>
        <v>1.197865244</v>
      </c>
      <c r="L11" s="11"/>
      <c r="M11" s="11"/>
      <c r="N11" s="23" t="s">
        <v>46</v>
      </c>
      <c r="O11" s="24">
        <f t="shared" ref="O11:O12" si="3">AVERAGE(C499:C746)</f>
        <v>0.004587506385</v>
      </c>
      <c r="P11" s="24">
        <f>AVERAGE(C250:C498)</f>
        <v>0.001684564828</v>
      </c>
      <c r="Q11" s="24">
        <f>AVERAGE(C4:C249)</f>
        <v>0.0007435002805</v>
      </c>
    </row>
    <row r="12" ht="15.75" customHeight="1">
      <c r="A12" s="11" t="s">
        <v>48</v>
      </c>
      <c r="B12" s="38">
        <v>714.5</v>
      </c>
      <c r="C12" s="11">
        <f t="shared" si="1"/>
        <v>0.01239815799</v>
      </c>
      <c r="D12" s="13">
        <f t="shared" si="2"/>
        <v>0.01239815799</v>
      </c>
      <c r="E12" s="11" t="s">
        <v>48</v>
      </c>
      <c r="F12" s="12">
        <v>22023.35</v>
      </c>
      <c r="G12" s="11">
        <v>-0.005567433</v>
      </c>
      <c r="H12" s="13">
        <v>-0.0056</v>
      </c>
      <c r="J12" s="15" t="s">
        <v>49</v>
      </c>
      <c r="K12" s="11">
        <f>K6-N8</f>
        <v>0.5153315824</v>
      </c>
      <c r="N12" s="23" t="s">
        <v>46</v>
      </c>
      <c r="O12" s="29">
        <f t="shared" si="3"/>
        <v>0.004403874255</v>
      </c>
      <c r="P12" s="29">
        <f t="shared" ref="P12:Q12" si="4">P11</f>
        <v>0.001684564828</v>
      </c>
      <c r="Q12" s="30">
        <f t="shared" si="4"/>
        <v>0.0007435002805</v>
      </c>
    </row>
    <row r="13" ht="15.75" customHeight="1">
      <c r="A13" s="11" t="s">
        <v>51</v>
      </c>
      <c r="B13" s="38">
        <v>705.75</v>
      </c>
      <c r="C13" s="11">
        <f t="shared" si="1"/>
        <v>0.04881854659</v>
      </c>
      <c r="D13" s="13">
        <f t="shared" si="2"/>
        <v>0.04881854659</v>
      </c>
      <c r="E13" s="11" t="s">
        <v>51</v>
      </c>
      <c r="F13" s="12">
        <v>22146.65</v>
      </c>
      <c r="G13" s="11">
        <v>0.006771162</v>
      </c>
      <c r="H13" s="13">
        <v>0.0068</v>
      </c>
      <c r="J13" s="15" t="s">
        <v>52</v>
      </c>
      <c r="K13" s="11">
        <f>K12*K9</f>
        <v>0.6172977918</v>
      </c>
      <c r="N13" s="23" t="s">
        <v>53</v>
      </c>
      <c r="O13" s="29">
        <f>AVERAGE(O12:Q12)</f>
        <v>0.002277313121</v>
      </c>
      <c r="P13" s="31"/>
      <c r="Q13" s="31"/>
    </row>
    <row r="14" ht="15.75" customHeight="1">
      <c r="A14" s="11" t="s">
        <v>55</v>
      </c>
      <c r="B14" s="38">
        <v>672.9</v>
      </c>
      <c r="C14" s="11">
        <f t="shared" si="1"/>
        <v>-0.05345336897</v>
      </c>
      <c r="D14" s="13">
        <f t="shared" si="2"/>
        <v>-0.05345336897</v>
      </c>
      <c r="E14" s="11" t="s">
        <v>55</v>
      </c>
      <c r="F14" s="12">
        <v>21997.7</v>
      </c>
      <c r="G14" s="11">
        <v>-0.015132725</v>
      </c>
      <c r="H14" s="13">
        <v>-0.0151</v>
      </c>
      <c r="J14" s="32" t="s">
        <v>56</v>
      </c>
      <c r="K14" s="11">
        <f>K13+N8</f>
        <v>0.6805977918</v>
      </c>
      <c r="N14" s="23" t="s">
        <v>57</v>
      </c>
      <c r="O14" s="31">
        <f>B499/B746-1</f>
        <v>1.557686545</v>
      </c>
      <c r="P14" s="31">
        <f>B249/B498-1</f>
        <v>0.3568798125</v>
      </c>
      <c r="Q14" s="31">
        <f>B4/B249-1</f>
        <v>0.07969405379</v>
      </c>
    </row>
    <row r="15" ht="15.75" customHeight="1">
      <c r="A15" s="35">
        <v>45629.0</v>
      </c>
      <c r="B15" s="38">
        <v>710.9</v>
      </c>
      <c r="C15" s="11">
        <f t="shared" si="1"/>
        <v>-0.02749658003</v>
      </c>
      <c r="D15" s="13">
        <f t="shared" si="2"/>
        <v>-0.02749658003</v>
      </c>
      <c r="E15" s="35">
        <v>45629.0</v>
      </c>
      <c r="F15" s="12">
        <v>22335.7</v>
      </c>
      <c r="G15" s="11">
        <v>1.36571E-4</v>
      </c>
      <c r="H15" s="13">
        <v>1.0E-4</v>
      </c>
      <c r="J15" s="32" t="s">
        <v>59</v>
      </c>
      <c r="K15" s="36">
        <f>K14</f>
        <v>0.6805977918</v>
      </c>
      <c r="N15" s="23" t="s">
        <v>60</v>
      </c>
      <c r="O15" s="29">
        <f t="shared" ref="O15:Q15" si="5">O14</f>
        <v>1.557686545</v>
      </c>
      <c r="P15" s="29">
        <f t="shared" si="5"/>
        <v>0.3568798125</v>
      </c>
      <c r="Q15" s="29">
        <f t="shared" si="5"/>
        <v>0.07969405379</v>
      </c>
    </row>
    <row r="16" ht="15.75" customHeight="1">
      <c r="A16" s="35">
        <v>45599.0</v>
      </c>
      <c r="B16" s="38">
        <v>731.0</v>
      </c>
      <c r="C16" s="11">
        <f t="shared" si="1"/>
        <v>-0.04594100757</v>
      </c>
      <c r="D16" s="13">
        <f t="shared" si="2"/>
        <v>-0.04594100757</v>
      </c>
      <c r="E16" s="35">
        <v>45599.0</v>
      </c>
      <c r="F16" s="12">
        <v>22332.65</v>
      </c>
      <c r="G16" s="11">
        <v>-0.007153162</v>
      </c>
      <c r="H16" s="13">
        <v>-0.0072</v>
      </c>
      <c r="J16" s="15"/>
      <c r="K16" s="11"/>
      <c r="L16" s="11"/>
      <c r="M16" s="11"/>
      <c r="N16" s="23" t="s">
        <v>61</v>
      </c>
      <c r="O16" s="29">
        <f>AVERAGE(O15:Q15)</f>
        <v>0.6647534704</v>
      </c>
      <c r="P16" s="31"/>
      <c r="Q16" s="31"/>
    </row>
    <row r="17">
      <c r="A17" s="35">
        <v>45476.0</v>
      </c>
      <c r="B17" s="38">
        <v>766.2</v>
      </c>
      <c r="C17" s="11">
        <f t="shared" si="1"/>
        <v>0.05131723381</v>
      </c>
      <c r="D17" s="13">
        <f t="shared" si="2"/>
        <v>0.05131723381</v>
      </c>
      <c r="E17" s="35">
        <v>45476.0</v>
      </c>
      <c r="F17" s="12">
        <v>22493.55</v>
      </c>
      <c r="G17" s="11">
        <v>8.67667E-4</v>
      </c>
      <c r="H17" s="13">
        <v>9.0E-4</v>
      </c>
      <c r="J17" s="15"/>
      <c r="K17" s="11"/>
      <c r="L17" s="11"/>
      <c r="M17" s="11"/>
      <c r="N17" s="11"/>
      <c r="O17" s="37"/>
      <c r="P17" s="37"/>
      <c r="Q17" s="37"/>
    </row>
    <row r="18">
      <c r="A18" s="35">
        <v>45446.0</v>
      </c>
      <c r="B18" s="38">
        <v>728.8</v>
      </c>
      <c r="C18" s="11">
        <f t="shared" si="1"/>
        <v>-0.02115371701</v>
      </c>
      <c r="D18" s="13">
        <f t="shared" si="2"/>
        <v>-0.02115371701</v>
      </c>
      <c r="E18" s="35">
        <v>45446.0</v>
      </c>
      <c r="F18" s="12">
        <v>22474.05</v>
      </c>
      <c r="G18" s="11">
        <v>0.005266972</v>
      </c>
      <c r="H18" s="13">
        <v>0.0053</v>
      </c>
      <c r="J18" s="15"/>
      <c r="K18" s="11"/>
      <c r="L18" s="11"/>
      <c r="M18" s="11"/>
      <c r="N18" s="11"/>
    </row>
    <row r="19">
      <c r="A19" s="35">
        <v>45415.0</v>
      </c>
      <c r="B19" s="38">
        <v>744.55</v>
      </c>
      <c r="C19" s="11">
        <f t="shared" si="1"/>
        <v>-0.01735515375</v>
      </c>
      <c r="D19" s="13">
        <f t="shared" si="2"/>
        <v>-0.01735515375</v>
      </c>
      <c r="E19" s="35">
        <v>45415.0</v>
      </c>
      <c r="F19" s="12">
        <v>22356.3</v>
      </c>
      <c r="G19" s="11">
        <v>-0.002200343</v>
      </c>
      <c r="H19" s="13">
        <v>-0.0022</v>
      </c>
      <c r="J19" s="15"/>
      <c r="K19" s="11"/>
      <c r="L19" s="11"/>
      <c r="M19" s="11"/>
      <c r="N19" s="11"/>
    </row>
    <row r="20">
      <c r="A20" s="35">
        <v>45385.0</v>
      </c>
      <c r="B20" s="38">
        <v>757.7</v>
      </c>
      <c r="C20" s="11">
        <f t="shared" si="1"/>
        <v>0.006041293235</v>
      </c>
      <c r="D20" s="13">
        <f t="shared" si="2"/>
        <v>0.006041293235</v>
      </c>
      <c r="E20" s="35">
        <v>45385.0</v>
      </c>
      <c r="F20" s="12">
        <v>22405.6</v>
      </c>
      <c r="G20" s="11">
        <v>0.001215458</v>
      </c>
      <c r="H20" s="13">
        <v>0.0012</v>
      </c>
      <c r="J20" s="15"/>
      <c r="K20" s="11"/>
      <c r="L20" s="11"/>
      <c r="M20" s="11"/>
      <c r="N20" s="11"/>
    </row>
    <row r="21" ht="15.75" customHeight="1">
      <c r="A21" s="35">
        <v>45325.0</v>
      </c>
      <c r="B21" s="38">
        <v>753.15</v>
      </c>
      <c r="C21" s="11">
        <f t="shared" si="1"/>
        <v>0.006010819475</v>
      </c>
      <c r="D21" s="13">
        <f t="shared" si="2"/>
        <v>0.006010819475</v>
      </c>
      <c r="E21" s="35">
        <v>45325.0</v>
      </c>
      <c r="F21" s="12">
        <v>22378.4</v>
      </c>
      <c r="G21" s="11">
        <v>0.001774943</v>
      </c>
      <c r="H21" s="13">
        <v>0.0018</v>
      </c>
      <c r="J21" s="15"/>
      <c r="K21" s="11"/>
      <c r="L21" s="11"/>
      <c r="M21" s="11"/>
      <c r="N21" s="11"/>
    </row>
    <row r="22" ht="15.75" customHeight="1">
      <c r="A22" s="35">
        <v>45294.0</v>
      </c>
      <c r="B22" s="38">
        <v>748.65</v>
      </c>
      <c r="C22" s="11">
        <f t="shared" si="1"/>
        <v>0.002611490558</v>
      </c>
      <c r="D22" s="13">
        <f t="shared" si="2"/>
        <v>0.002611490558</v>
      </c>
      <c r="E22" s="35">
        <v>45294.0</v>
      </c>
      <c r="F22" s="12">
        <v>22338.75</v>
      </c>
      <c r="G22" s="11">
        <v>0.016192205</v>
      </c>
      <c r="H22" s="13">
        <v>0.0162</v>
      </c>
      <c r="J22" s="15"/>
      <c r="K22" s="11"/>
      <c r="L22" s="11"/>
      <c r="M22" s="11"/>
      <c r="N22" s="11"/>
    </row>
    <row r="23" ht="15.75" customHeight="1">
      <c r="A23" s="11" t="s">
        <v>62</v>
      </c>
      <c r="B23" s="38">
        <v>746.7</v>
      </c>
      <c r="C23" s="11">
        <f t="shared" si="1"/>
        <v>-0.004864396615</v>
      </c>
      <c r="D23" s="13">
        <f t="shared" si="2"/>
        <v>-0.004864396615</v>
      </c>
      <c r="E23" s="11" t="s">
        <v>62</v>
      </c>
      <c r="F23" s="12">
        <v>21982.8</v>
      </c>
      <c r="G23" s="11">
        <v>0.001441838</v>
      </c>
      <c r="H23" s="13">
        <v>0.0014</v>
      </c>
      <c r="J23" s="15"/>
      <c r="K23" s="11"/>
      <c r="L23" s="11"/>
      <c r="M23" s="11"/>
      <c r="N23" s="11"/>
    </row>
    <row r="24" ht="15.75" customHeight="1">
      <c r="A24" s="11" t="s">
        <v>63</v>
      </c>
      <c r="B24" s="38">
        <v>750.35</v>
      </c>
      <c r="C24" s="11">
        <f t="shared" si="1"/>
        <v>0.02346041056</v>
      </c>
      <c r="D24" s="13">
        <f t="shared" si="2"/>
        <v>0.02346041056</v>
      </c>
      <c r="E24" s="11" t="s">
        <v>63</v>
      </c>
      <c r="F24" s="12">
        <v>21951.15</v>
      </c>
      <c r="G24" s="11">
        <v>-0.011135963</v>
      </c>
      <c r="H24" s="13">
        <v>-0.0111</v>
      </c>
      <c r="J24" s="9"/>
      <c r="K24" s="83"/>
      <c r="L24" s="83"/>
      <c r="M24" s="83"/>
      <c r="N24" s="11"/>
    </row>
    <row r="25" ht="15.75" customHeight="1">
      <c r="A25" s="11" t="s">
        <v>66</v>
      </c>
      <c r="B25" s="38">
        <v>733.15</v>
      </c>
      <c r="C25" s="11">
        <f t="shared" si="1"/>
        <v>-0.01610414011</v>
      </c>
      <c r="D25" s="13">
        <f t="shared" si="2"/>
        <v>-0.01610414011</v>
      </c>
      <c r="E25" s="11" t="s">
        <v>66</v>
      </c>
      <c r="F25" s="12">
        <v>22198.35</v>
      </c>
      <c r="G25" s="11">
        <v>0.003449047</v>
      </c>
      <c r="H25" s="13">
        <v>0.0034</v>
      </c>
      <c r="J25" s="94"/>
      <c r="K25" s="83"/>
      <c r="L25" s="83"/>
      <c r="M25" s="83"/>
      <c r="N25" s="11"/>
    </row>
    <row r="26" ht="15.75" customHeight="1">
      <c r="A26" s="11" t="s">
        <v>69</v>
      </c>
      <c r="B26" s="38">
        <v>745.15</v>
      </c>
      <c r="C26" s="11">
        <f t="shared" si="1"/>
        <v>-0.00917492188</v>
      </c>
      <c r="D26" s="13">
        <f t="shared" si="2"/>
        <v>-0.00917492188</v>
      </c>
      <c r="E26" s="11" t="s">
        <v>69</v>
      </c>
      <c r="F26" s="12">
        <v>22122.05</v>
      </c>
      <c r="G26" s="11">
        <v>-0.004080999</v>
      </c>
      <c r="H26" s="13">
        <v>-0.0041</v>
      </c>
      <c r="J26" s="94"/>
      <c r="K26" s="83"/>
      <c r="L26" s="83"/>
      <c r="M26" s="83"/>
      <c r="N26" s="11"/>
    </row>
    <row r="27" ht="15.75" customHeight="1">
      <c r="A27" s="11" t="s">
        <v>71</v>
      </c>
      <c r="B27" s="38">
        <v>752.05</v>
      </c>
      <c r="C27" s="11">
        <f t="shared" si="1"/>
        <v>0.001531495539</v>
      </c>
      <c r="D27" s="13">
        <f t="shared" si="2"/>
        <v>0.001531495539</v>
      </c>
      <c r="E27" s="11" t="s">
        <v>71</v>
      </c>
      <c r="F27" s="12">
        <v>22212.7</v>
      </c>
      <c r="G27" s="11">
        <v>-2.13796E-4</v>
      </c>
      <c r="H27" s="13">
        <v>-2.0E-4</v>
      </c>
      <c r="J27" s="94"/>
      <c r="K27" s="83"/>
      <c r="L27" s="83"/>
      <c r="M27" s="83"/>
      <c r="N27" s="11"/>
    </row>
    <row r="28" ht="15.75" customHeight="1">
      <c r="A28" s="11" t="s">
        <v>77</v>
      </c>
      <c r="B28" s="38">
        <v>750.9</v>
      </c>
      <c r="C28" s="11">
        <f t="shared" si="1"/>
        <v>0.0005329780147</v>
      </c>
      <c r="D28" s="13">
        <f t="shared" si="2"/>
        <v>0.0005329780147</v>
      </c>
      <c r="E28" s="11" t="s">
        <v>77</v>
      </c>
      <c r="F28" s="12">
        <v>22217.45</v>
      </c>
      <c r="G28" s="11">
        <v>0.007363393</v>
      </c>
      <c r="H28" s="13">
        <v>0.0074</v>
      </c>
      <c r="J28" s="94"/>
      <c r="K28" s="95"/>
      <c r="L28" s="95"/>
      <c r="M28" s="95"/>
      <c r="N28" s="13"/>
    </row>
    <row r="29" ht="15.75" customHeight="1">
      <c r="A29" s="11" t="s">
        <v>79</v>
      </c>
      <c r="B29" s="38">
        <v>750.5</v>
      </c>
      <c r="C29" s="11">
        <f t="shared" si="1"/>
        <v>0.01728227719</v>
      </c>
      <c r="D29" s="13">
        <f t="shared" si="2"/>
        <v>0.01728227719</v>
      </c>
      <c r="E29" s="11" t="s">
        <v>79</v>
      </c>
      <c r="F29" s="12">
        <v>22055.05</v>
      </c>
      <c r="G29" s="11">
        <v>-0.00639277</v>
      </c>
      <c r="H29" s="13">
        <v>-0.0064</v>
      </c>
      <c r="J29" s="94"/>
      <c r="K29" s="6"/>
      <c r="L29" s="6"/>
      <c r="M29" s="6"/>
      <c r="N29" s="11"/>
      <c r="P29" s="18" t="s">
        <v>81</v>
      </c>
      <c r="Q29" s="18"/>
      <c r="R29" s="18"/>
      <c r="S29" s="18"/>
    </row>
    <row r="30" ht="15.75" customHeight="1">
      <c r="A30" s="11" t="s">
        <v>82</v>
      </c>
      <c r="B30" s="38">
        <v>737.75</v>
      </c>
      <c r="C30" s="11">
        <f t="shared" si="1"/>
        <v>-0.003646431224</v>
      </c>
      <c r="D30" s="13">
        <f t="shared" si="2"/>
        <v>-0.003646431224</v>
      </c>
      <c r="E30" s="11" t="s">
        <v>82</v>
      </c>
      <c r="F30" s="12">
        <v>22196.95</v>
      </c>
      <c r="G30" s="11">
        <v>0.003376691</v>
      </c>
      <c r="H30" s="13">
        <v>0.0034</v>
      </c>
      <c r="J30" s="15"/>
      <c r="K30" s="11"/>
      <c r="L30" s="11"/>
      <c r="M30" s="11"/>
      <c r="N30" s="11"/>
      <c r="P30" s="18"/>
      <c r="Q30" s="18"/>
      <c r="R30" s="18"/>
      <c r="S30" s="18"/>
    </row>
    <row r="31" ht="15.75" customHeight="1">
      <c r="A31" s="11" t="s">
        <v>84</v>
      </c>
      <c r="B31" s="38">
        <v>740.45</v>
      </c>
      <c r="C31" s="11">
        <f t="shared" si="1"/>
        <v>-0.01088698905</v>
      </c>
      <c r="D31" s="13">
        <f t="shared" si="2"/>
        <v>-0.01088698905</v>
      </c>
      <c r="E31" s="11" t="s">
        <v>84</v>
      </c>
      <c r="F31" s="12">
        <v>22122.25</v>
      </c>
      <c r="G31" s="11">
        <v>0.003699973</v>
      </c>
      <c r="H31" s="13">
        <v>0.0037</v>
      </c>
      <c r="J31" s="15"/>
      <c r="K31" s="85"/>
      <c r="L31" s="85"/>
      <c r="M31" s="85"/>
      <c r="N31" s="85"/>
    </row>
    <row r="32" ht="15.75" customHeight="1">
      <c r="A32" s="11" t="s">
        <v>86</v>
      </c>
      <c r="B32" s="38">
        <v>748.6</v>
      </c>
      <c r="C32" s="11">
        <f t="shared" si="1"/>
        <v>0.01367637102</v>
      </c>
      <c r="D32" s="13">
        <f t="shared" si="2"/>
        <v>0.01367637102</v>
      </c>
      <c r="E32" s="11" t="s">
        <v>86</v>
      </c>
      <c r="F32" s="12">
        <v>22040.7</v>
      </c>
      <c r="G32" s="11">
        <v>0.005930879</v>
      </c>
      <c r="H32" s="13">
        <v>0.0059</v>
      </c>
      <c r="J32" s="15"/>
      <c r="K32" s="13"/>
      <c r="L32" s="13"/>
      <c r="M32" s="13"/>
      <c r="N32" s="13"/>
    </row>
    <row r="33" ht="15.75" customHeight="1">
      <c r="A33" s="11" t="s">
        <v>88</v>
      </c>
      <c r="B33" s="38">
        <v>738.5</v>
      </c>
      <c r="C33" s="11">
        <f t="shared" si="1"/>
        <v>0.04080050736</v>
      </c>
      <c r="D33" s="13">
        <f t="shared" si="2"/>
        <v>0.04080050736</v>
      </c>
      <c r="E33" s="11" t="s">
        <v>88</v>
      </c>
      <c r="F33" s="12">
        <v>21910.75</v>
      </c>
      <c r="G33" s="11">
        <v>0.003237172</v>
      </c>
      <c r="H33" s="13">
        <v>0.0032</v>
      </c>
      <c r="J33" s="15"/>
      <c r="K33" s="11"/>
      <c r="L33" s="11"/>
      <c r="M33" s="11"/>
      <c r="N33" s="11"/>
    </row>
    <row r="34" ht="15.75" customHeight="1">
      <c r="A34" s="11" t="s">
        <v>91</v>
      </c>
      <c r="B34" s="38">
        <v>709.55</v>
      </c>
      <c r="C34" s="11">
        <f t="shared" si="1"/>
        <v>0.03917691857</v>
      </c>
      <c r="D34" s="13">
        <f t="shared" si="2"/>
        <v>0.03917691857</v>
      </c>
      <c r="E34" s="11" t="s">
        <v>91</v>
      </c>
      <c r="F34" s="12">
        <v>21840.05</v>
      </c>
      <c r="G34" s="11">
        <v>0.004451956</v>
      </c>
      <c r="H34" s="13">
        <v>0.0045</v>
      </c>
      <c r="J34" s="15"/>
      <c r="K34" s="11"/>
      <c r="L34" s="11"/>
      <c r="M34" s="11"/>
      <c r="N34" s="11"/>
    </row>
    <row r="35" ht="15.75" customHeight="1">
      <c r="A35" s="11" t="s">
        <v>94</v>
      </c>
      <c r="B35" s="38">
        <v>682.8</v>
      </c>
      <c r="C35" s="11">
        <f t="shared" si="1"/>
        <v>-0.009286128845</v>
      </c>
      <c r="D35" s="13">
        <f t="shared" si="2"/>
        <v>-0.009286128845</v>
      </c>
      <c r="E35" s="11" t="s">
        <v>94</v>
      </c>
      <c r="F35" s="12">
        <v>21743.25</v>
      </c>
      <c r="G35" s="11">
        <v>0.005884516</v>
      </c>
      <c r="H35" s="13">
        <v>0.0059</v>
      </c>
      <c r="J35" s="15"/>
      <c r="K35" s="11"/>
      <c r="L35" s="11"/>
      <c r="M35" s="11"/>
      <c r="N35" s="11"/>
    </row>
    <row r="36" ht="15.75" customHeight="1">
      <c r="A36" s="35">
        <v>45628.0</v>
      </c>
      <c r="B36" s="38">
        <v>689.2</v>
      </c>
      <c r="C36" s="11">
        <f t="shared" si="1"/>
        <v>-0.05245067712</v>
      </c>
      <c r="D36" s="13">
        <f t="shared" si="2"/>
        <v>-0.05245067712</v>
      </c>
      <c r="E36" s="35">
        <v>45628.0</v>
      </c>
      <c r="F36" s="12">
        <v>21616.05</v>
      </c>
      <c r="G36" s="11">
        <v>-0.007641455</v>
      </c>
      <c r="H36" s="13">
        <v>-0.0076</v>
      </c>
      <c r="J36" s="15"/>
      <c r="K36" s="11"/>
      <c r="L36" s="11"/>
      <c r="M36" s="11"/>
      <c r="N36" s="11"/>
    </row>
    <row r="37" ht="15.75" customHeight="1">
      <c r="A37" s="35">
        <v>45537.0</v>
      </c>
      <c r="B37" s="38">
        <v>727.35</v>
      </c>
      <c r="C37" s="11">
        <f t="shared" si="1"/>
        <v>-0.02760695187</v>
      </c>
      <c r="D37" s="13">
        <f t="shared" si="2"/>
        <v>-0.02760695187</v>
      </c>
      <c r="E37" s="35">
        <v>45537.0</v>
      </c>
      <c r="F37" s="12">
        <v>21782.5</v>
      </c>
      <c r="G37" s="11">
        <v>0.002972196</v>
      </c>
      <c r="H37" s="13">
        <v>0.003</v>
      </c>
      <c r="J37" s="15"/>
      <c r="K37" s="11"/>
      <c r="L37" s="11"/>
      <c r="M37" s="11"/>
      <c r="N37" s="11"/>
    </row>
    <row r="38" ht="15.75" customHeight="1">
      <c r="A38" s="35">
        <v>45506.0</v>
      </c>
      <c r="B38" s="38">
        <v>748.0</v>
      </c>
      <c r="C38" s="11">
        <f t="shared" si="1"/>
        <v>-0.01882337509</v>
      </c>
      <c r="D38" s="13">
        <f t="shared" si="2"/>
        <v>-0.01882337509</v>
      </c>
      <c r="E38" s="35">
        <v>45506.0</v>
      </c>
      <c r="F38" s="12">
        <v>21717.95</v>
      </c>
      <c r="G38" s="11">
        <v>-0.009691981</v>
      </c>
      <c r="H38" s="13">
        <v>-0.0097</v>
      </c>
      <c r="J38" s="15"/>
      <c r="K38" s="11"/>
      <c r="L38" s="11"/>
      <c r="M38" s="11"/>
      <c r="N38" s="11"/>
    </row>
    <row r="39" ht="15.75" customHeight="1">
      <c r="A39" s="35">
        <v>45475.0</v>
      </c>
      <c r="B39" s="38">
        <v>762.35</v>
      </c>
      <c r="C39" s="11">
        <f t="shared" si="1"/>
        <v>0.004016857632</v>
      </c>
      <c r="D39" s="13">
        <f t="shared" si="2"/>
        <v>0.004016857632</v>
      </c>
      <c r="E39" s="35">
        <v>45475.0</v>
      </c>
      <c r="F39" s="12">
        <v>21930.5</v>
      </c>
      <c r="G39" s="45">
        <v>5.0161E-5</v>
      </c>
      <c r="H39" s="13">
        <v>1.0E-4</v>
      </c>
      <c r="J39" s="15"/>
      <c r="K39" s="13"/>
      <c r="L39" s="13"/>
      <c r="M39" s="13"/>
      <c r="N39" s="13"/>
    </row>
    <row r="40" ht="15.75" customHeight="1">
      <c r="A40" s="35">
        <v>45445.0</v>
      </c>
      <c r="B40" s="38">
        <v>759.3</v>
      </c>
      <c r="C40" s="11">
        <f t="shared" si="1"/>
        <v>0.007764284292</v>
      </c>
      <c r="D40" s="13">
        <f t="shared" si="2"/>
        <v>0.007764284292</v>
      </c>
      <c r="E40" s="35">
        <v>45445.0</v>
      </c>
      <c r="F40" s="12">
        <v>21929.4</v>
      </c>
      <c r="G40" s="11">
        <v>0.007243348</v>
      </c>
      <c r="H40" s="13">
        <v>0.0072</v>
      </c>
      <c r="I40" s="11"/>
      <c r="J40" s="15"/>
      <c r="K40" s="11"/>
      <c r="L40" s="11"/>
      <c r="M40" s="11"/>
      <c r="N40" s="11"/>
    </row>
    <row r="41" ht="15.75" customHeight="1">
      <c r="A41" s="35">
        <v>45414.0</v>
      </c>
      <c r="B41" s="38">
        <v>753.45</v>
      </c>
      <c r="C41" s="11">
        <f t="shared" si="1"/>
        <v>-0.0198386887</v>
      </c>
      <c r="D41" s="13">
        <f t="shared" si="2"/>
        <v>-0.0198386887</v>
      </c>
      <c r="E41" s="35">
        <v>45414.0</v>
      </c>
      <c r="F41" s="12">
        <v>21771.7</v>
      </c>
      <c r="G41" s="11">
        <v>-0.003756784</v>
      </c>
      <c r="H41" s="13">
        <v>-0.0038</v>
      </c>
      <c r="J41" s="96"/>
      <c r="K41" s="97"/>
      <c r="L41" s="11"/>
      <c r="M41" s="11"/>
      <c r="N41" s="11"/>
    </row>
    <row r="42" ht="15.75" customHeight="1">
      <c r="A42" s="35">
        <v>45324.0</v>
      </c>
      <c r="B42" s="38">
        <v>768.7</v>
      </c>
      <c r="C42" s="11">
        <f t="shared" si="1"/>
        <v>-0.002400882487</v>
      </c>
      <c r="D42" s="13">
        <f t="shared" si="2"/>
        <v>-0.002400882487</v>
      </c>
      <c r="E42" s="35">
        <v>45324.0</v>
      </c>
      <c r="F42" s="12">
        <v>21853.8</v>
      </c>
      <c r="G42" s="11">
        <v>0.007205916</v>
      </c>
      <c r="H42" s="13">
        <v>0.0072</v>
      </c>
    </row>
    <row r="43" ht="15.75" customHeight="1">
      <c r="A43" s="35">
        <v>45293.0</v>
      </c>
      <c r="B43" s="38">
        <v>770.55</v>
      </c>
      <c r="C43" s="11">
        <f t="shared" si="1"/>
        <v>-0.01897001719</v>
      </c>
      <c r="D43" s="13">
        <f t="shared" si="2"/>
        <v>-0.01897001719</v>
      </c>
      <c r="E43" s="35">
        <v>45293.0</v>
      </c>
      <c r="F43" s="12">
        <v>21697.45</v>
      </c>
      <c r="G43" s="11">
        <v>-0.001300303</v>
      </c>
      <c r="H43" s="13">
        <v>-0.0013</v>
      </c>
    </row>
    <row r="44" ht="15.75" customHeight="1">
      <c r="A44" s="11" t="s">
        <v>101</v>
      </c>
      <c r="B44" s="38">
        <v>785.45</v>
      </c>
      <c r="C44" s="11">
        <f t="shared" si="1"/>
        <v>0.04985631224</v>
      </c>
      <c r="D44" s="13">
        <f t="shared" si="2"/>
        <v>0.04985631224</v>
      </c>
      <c r="E44" s="11" t="s">
        <v>101</v>
      </c>
      <c r="F44" s="12">
        <v>21725.7</v>
      </c>
      <c r="G44" s="11">
        <v>0.009460043</v>
      </c>
      <c r="H44" s="13">
        <v>0.0095</v>
      </c>
    </row>
    <row r="45" ht="15.75" customHeight="1">
      <c r="A45" s="11" t="s">
        <v>102</v>
      </c>
      <c r="B45" s="38">
        <v>748.15</v>
      </c>
      <c r="C45" s="11">
        <f t="shared" si="1"/>
        <v>-0.01012172532</v>
      </c>
      <c r="D45" s="13">
        <f t="shared" si="2"/>
        <v>-0.01012172532</v>
      </c>
      <c r="E45" s="11" t="s">
        <v>102</v>
      </c>
      <c r="F45" s="12">
        <v>21522.1</v>
      </c>
      <c r="G45" s="11">
        <v>-0.009913698</v>
      </c>
      <c r="H45" s="13">
        <v>-0.0099</v>
      </c>
    </row>
    <row r="46" ht="15.75" customHeight="1">
      <c r="A46" s="11" t="s">
        <v>103</v>
      </c>
      <c r="B46" s="38">
        <v>755.8</v>
      </c>
      <c r="C46" s="11">
        <f t="shared" si="1"/>
        <v>-0.01996887967</v>
      </c>
      <c r="D46" s="13">
        <f t="shared" si="2"/>
        <v>-0.01996887967</v>
      </c>
      <c r="E46" s="11" t="s">
        <v>103</v>
      </c>
      <c r="F46" s="12">
        <v>21737.6</v>
      </c>
      <c r="G46" s="11">
        <v>0.018030591</v>
      </c>
      <c r="H46" s="13">
        <v>0.018</v>
      </c>
    </row>
    <row r="47" ht="15.75" customHeight="1">
      <c r="A47" s="11" t="s">
        <v>104</v>
      </c>
      <c r="B47" s="38">
        <v>771.2</v>
      </c>
      <c r="C47" s="11">
        <f t="shared" si="1"/>
        <v>-0.0181424661</v>
      </c>
      <c r="D47" s="13">
        <f t="shared" si="2"/>
        <v>-0.0181424661</v>
      </c>
      <c r="E47" s="11" t="s">
        <v>104</v>
      </c>
      <c r="F47" s="12">
        <v>21352.6</v>
      </c>
      <c r="G47" s="11">
        <v>-0.004724072</v>
      </c>
      <c r="H47" s="13">
        <v>-0.0047</v>
      </c>
    </row>
    <row r="48" ht="15.75" customHeight="1">
      <c r="A48" s="11" t="s">
        <v>105</v>
      </c>
      <c r="B48" s="38">
        <v>785.45</v>
      </c>
      <c r="C48" s="11">
        <f t="shared" si="1"/>
        <v>0.05642232683</v>
      </c>
      <c r="D48" s="13">
        <f t="shared" si="2"/>
        <v>0.05642232683</v>
      </c>
      <c r="E48" s="11" t="s">
        <v>105</v>
      </c>
      <c r="F48" s="12">
        <v>21453.95</v>
      </c>
      <c r="G48" s="11">
        <v>0.010130045</v>
      </c>
      <c r="H48" s="13">
        <v>0.0101</v>
      </c>
    </row>
    <row r="49" ht="15.75" customHeight="1">
      <c r="A49" s="11" t="s">
        <v>106</v>
      </c>
      <c r="B49" s="38">
        <v>743.5</v>
      </c>
      <c r="C49" s="11">
        <f t="shared" si="1"/>
        <v>-0.08492307692</v>
      </c>
      <c r="D49" s="13">
        <f t="shared" si="2"/>
        <v>-0.08492307692</v>
      </c>
      <c r="E49" s="11" t="s">
        <v>106</v>
      </c>
      <c r="F49" s="12">
        <v>21238.8</v>
      </c>
      <c r="G49" s="11">
        <v>-0.01543682</v>
      </c>
      <c r="H49" s="13">
        <v>-0.0154</v>
      </c>
    </row>
    <row r="50" ht="15.75" customHeight="1">
      <c r="A50" s="11" t="s">
        <v>107</v>
      </c>
      <c r="B50" s="38">
        <v>812.5</v>
      </c>
      <c r="C50" s="11">
        <f t="shared" si="1"/>
        <v>-0.05726054418</v>
      </c>
      <c r="D50" s="13">
        <f t="shared" si="2"/>
        <v>-0.05726054418</v>
      </c>
      <c r="E50" s="11" t="s">
        <v>107</v>
      </c>
      <c r="F50" s="12">
        <v>21571.8</v>
      </c>
      <c r="G50" s="11">
        <v>-0.002340166</v>
      </c>
      <c r="H50" s="13">
        <v>-0.0023</v>
      </c>
    </row>
    <row r="51" ht="15.75" customHeight="1">
      <c r="A51" s="11" t="s">
        <v>108</v>
      </c>
      <c r="B51" s="38">
        <v>861.85</v>
      </c>
      <c r="C51" s="11">
        <f t="shared" si="1"/>
        <v>0.01561395239</v>
      </c>
      <c r="D51" s="13">
        <f t="shared" si="2"/>
        <v>0.01561395239</v>
      </c>
      <c r="E51" s="11" t="s">
        <v>108</v>
      </c>
      <c r="F51" s="12">
        <v>21622.4</v>
      </c>
      <c r="G51" s="11">
        <v>0.007461939</v>
      </c>
      <c r="H51" s="13">
        <v>0.0075</v>
      </c>
    </row>
    <row r="52" ht="15.75" customHeight="1">
      <c r="A52" s="11" t="s">
        <v>109</v>
      </c>
      <c r="B52" s="38">
        <v>848.6</v>
      </c>
      <c r="C52" s="11">
        <f t="shared" si="1"/>
        <v>-0.006788389513</v>
      </c>
      <c r="D52" s="13">
        <f t="shared" si="2"/>
        <v>-0.006788389513</v>
      </c>
      <c r="E52" s="11" t="s">
        <v>109</v>
      </c>
      <c r="F52" s="12">
        <v>21462.25</v>
      </c>
      <c r="G52" s="11">
        <v>-0.005085308</v>
      </c>
      <c r="H52" s="13">
        <v>-0.0051</v>
      </c>
    </row>
    <row r="53" ht="15.75" customHeight="1">
      <c r="A53" s="11" t="s">
        <v>110</v>
      </c>
      <c r="B53" s="38">
        <v>854.4</v>
      </c>
      <c r="C53" s="11">
        <f t="shared" si="1"/>
        <v>0.005827300018</v>
      </c>
      <c r="D53" s="13">
        <f t="shared" si="2"/>
        <v>0.005827300018</v>
      </c>
      <c r="E53" s="11" t="s">
        <v>110</v>
      </c>
      <c r="F53" s="12">
        <v>21571.95</v>
      </c>
      <c r="G53" s="11">
        <v>-0.020894323</v>
      </c>
      <c r="H53" s="13">
        <v>-0.0209</v>
      </c>
    </row>
    <row r="54" ht="15.75" customHeight="1">
      <c r="A54" s="11" t="s">
        <v>111</v>
      </c>
      <c r="B54" s="38">
        <v>849.45</v>
      </c>
      <c r="C54" s="11">
        <f t="shared" si="1"/>
        <v>-0.009156654613</v>
      </c>
      <c r="D54" s="13">
        <f t="shared" si="2"/>
        <v>-0.009156654613</v>
      </c>
      <c r="E54" s="11" t="s">
        <v>111</v>
      </c>
      <c r="F54" s="12">
        <v>22032.3</v>
      </c>
      <c r="G54" s="11">
        <v>-0.002948304</v>
      </c>
      <c r="H54" s="13">
        <v>-0.0029</v>
      </c>
    </row>
    <row r="55" ht="15.75" customHeight="1">
      <c r="A55" s="11" t="s">
        <v>112</v>
      </c>
      <c r="B55" s="38">
        <v>857.3</v>
      </c>
      <c r="C55" s="11">
        <f t="shared" si="1"/>
        <v>-0.003660875123</v>
      </c>
      <c r="D55" s="13">
        <f t="shared" si="2"/>
        <v>-0.003660875123</v>
      </c>
      <c r="E55" s="11" t="s">
        <v>112</v>
      </c>
      <c r="F55" s="12">
        <v>22097.45</v>
      </c>
      <c r="G55" s="11">
        <v>0.009267146</v>
      </c>
      <c r="H55" s="13">
        <v>0.0093</v>
      </c>
    </row>
    <row r="56" ht="15.75" customHeight="1">
      <c r="A56" s="35">
        <v>45627.0</v>
      </c>
      <c r="B56" s="38">
        <v>860.45</v>
      </c>
      <c r="C56" s="11">
        <f t="shared" si="1"/>
        <v>0.001280037237</v>
      </c>
      <c r="D56" s="13">
        <f t="shared" si="2"/>
        <v>0.001280037237</v>
      </c>
      <c r="E56" s="35">
        <v>45627.0</v>
      </c>
      <c r="F56" s="12">
        <v>21894.55</v>
      </c>
      <c r="G56" s="11">
        <v>0.01142642</v>
      </c>
      <c r="H56" s="13">
        <v>0.0114</v>
      </c>
    </row>
    <row r="57" ht="15.75" customHeight="1">
      <c r="A57" s="35">
        <v>45597.0</v>
      </c>
      <c r="B57" s="38">
        <v>859.35</v>
      </c>
      <c r="C57" s="11">
        <f t="shared" si="1"/>
        <v>-0.005209237715</v>
      </c>
      <c r="D57" s="13">
        <f t="shared" si="2"/>
        <v>-0.005209237715</v>
      </c>
      <c r="E57" s="35">
        <v>45597.0</v>
      </c>
      <c r="F57" s="12">
        <v>21647.2</v>
      </c>
      <c r="G57" s="11">
        <v>0.001318303</v>
      </c>
      <c r="H57" s="13">
        <v>0.0013</v>
      </c>
      <c r="J57" s="15"/>
      <c r="K57" s="11"/>
      <c r="L57" s="11"/>
      <c r="M57" s="11"/>
      <c r="N57" s="11"/>
    </row>
    <row r="58" ht="15.75" customHeight="1">
      <c r="A58" s="35">
        <v>45566.0</v>
      </c>
      <c r="B58" s="38">
        <v>863.85</v>
      </c>
      <c r="C58" s="11">
        <f t="shared" si="1"/>
        <v>0.002146171694</v>
      </c>
      <c r="D58" s="13">
        <f t="shared" si="2"/>
        <v>0.002146171694</v>
      </c>
      <c r="E58" s="35">
        <v>45566.0</v>
      </c>
      <c r="F58" s="12">
        <v>21618.7</v>
      </c>
      <c r="G58" s="11">
        <v>0.003427733</v>
      </c>
      <c r="H58" s="13">
        <v>0.0034</v>
      </c>
      <c r="J58" s="15"/>
      <c r="K58" s="11"/>
      <c r="L58" s="11"/>
      <c r="M58" s="11"/>
      <c r="N58" s="11"/>
    </row>
    <row r="59" ht="15.75" customHeight="1">
      <c r="A59" s="35">
        <v>45536.0</v>
      </c>
      <c r="B59" s="38">
        <v>862.0</v>
      </c>
      <c r="C59" s="11">
        <f t="shared" si="1"/>
        <v>-0.008796642327</v>
      </c>
      <c r="D59" s="13">
        <f t="shared" si="2"/>
        <v>-0.008796642327</v>
      </c>
      <c r="E59" s="35">
        <v>45536.0</v>
      </c>
      <c r="F59" s="12">
        <v>21544.85</v>
      </c>
      <c r="G59" s="11">
        <v>0.0014805</v>
      </c>
      <c r="H59" s="13">
        <v>0.0015</v>
      </c>
      <c r="J59" s="15"/>
      <c r="K59" s="11"/>
      <c r="L59" s="11"/>
      <c r="M59" s="11"/>
      <c r="N59" s="11"/>
    </row>
    <row r="60" ht="15.75" customHeight="1">
      <c r="A60" s="35">
        <v>45505.0</v>
      </c>
      <c r="B60" s="38">
        <v>869.65</v>
      </c>
      <c r="C60" s="11">
        <f t="shared" si="1"/>
        <v>0.004620805175</v>
      </c>
      <c r="D60" s="13">
        <f t="shared" si="2"/>
        <v>0.004620805175</v>
      </c>
      <c r="E60" s="35">
        <v>45505.0</v>
      </c>
      <c r="F60" s="12">
        <v>21513.0</v>
      </c>
      <c r="G60" s="11">
        <v>-0.009110673</v>
      </c>
      <c r="H60" s="13">
        <v>-0.0091</v>
      </c>
      <c r="J60" s="15"/>
      <c r="K60" s="11"/>
      <c r="L60" s="11"/>
      <c r="M60" s="11"/>
      <c r="N60" s="11"/>
    </row>
    <row r="61" ht="15.75" customHeight="1">
      <c r="A61" s="35">
        <v>45413.0</v>
      </c>
      <c r="B61" s="38">
        <v>865.65</v>
      </c>
      <c r="C61" s="11">
        <f t="shared" si="1"/>
        <v>0.009445513381</v>
      </c>
      <c r="D61" s="13">
        <f t="shared" si="2"/>
        <v>0.009445513381</v>
      </c>
      <c r="E61" s="35">
        <v>45413.0</v>
      </c>
      <c r="F61" s="12">
        <v>21710.8</v>
      </c>
      <c r="G61" s="11">
        <v>0.002410128</v>
      </c>
      <c r="H61" s="13">
        <v>0.0024</v>
      </c>
      <c r="J61" s="15"/>
      <c r="K61" s="11"/>
      <c r="L61" s="11"/>
      <c r="M61" s="11"/>
      <c r="N61" s="11"/>
    </row>
    <row r="62" ht="15.75" customHeight="1">
      <c r="A62" s="35">
        <v>45383.0</v>
      </c>
      <c r="B62" s="38">
        <v>857.55</v>
      </c>
      <c r="C62" s="11">
        <f t="shared" si="1"/>
        <v>0.00556988743</v>
      </c>
      <c r="D62" s="13">
        <f t="shared" si="2"/>
        <v>0.00556988743</v>
      </c>
      <c r="E62" s="35">
        <v>45383.0</v>
      </c>
      <c r="F62" s="12">
        <v>21658.6</v>
      </c>
      <c r="G62" s="11">
        <v>0.00656447</v>
      </c>
      <c r="H62" s="13">
        <v>0.0066</v>
      </c>
      <c r="J62" s="15"/>
      <c r="K62" s="11"/>
      <c r="L62" s="11"/>
      <c r="M62" s="11"/>
      <c r="N62" s="11"/>
    </row>
    <row r="63" ht="15.75" customHeight="1">
      <c r="A63" s="35">
        <v>45352.0</v>
      </c>
      <c r="B63" s="38">
        <v>852.8</v>
      </c>
      <c r="C63" s="11">
        <f t="shared" si="1"/>
        <v>-0.01055806938</v>
      </c>
      <c r="D63" s="13">
        <f t="shared" si="2"/>
        <v>-0.01055806938</v>
      </c>
      <c r="E63" s="35">
        <v>45352.0</v>
      </c>
      <c r="F63" s="12">
        <v>21517.35</v>
      </c>
      <c r="G63" s="11">
        <v>-0.006851813</v>
      </c>
      <c r="H63" s="13">
        <v>-0.0069</v>
      </c>
      <c r="J63" s="15"/>
      <c r="K63" s="11"/>
      <c r="L63" s="11"/>
      <c r="M63" s="11"/>
      <c r="N63" s="11"/>
    </row>
    <row r="64" ht="15.75" customHeight="1">
      <c r="A64" s="35">
        <v>45323.0</v>
      </c>
      <c r="B64" s="38">
        <v>861.9</v>
      </c>
      <c r="C64" s="11">
        <f t="shared" si="1"/>
        <v>-0.01254511084</v>
      </c>
      <c r="D64" s="13">
        <f t="shared" si="2"/>
        <v>-0.01254511084</v>
      </c>
      <c r="E64" s="35">
        <v>45323.0</v>
      </c>
      <c r="F64" s="12">
        <v>21665.8</v>
      </c>
      <c r="G64" s="11">
        <v>-0.003500154</v>
      </c>
      <c r="H64" s="13">
        <v>-0.0035</v>
      </c>
      <c r="I64" s="11"/>
      <c r="J64" s="15"/>
      <c r="K64" s="11"/>
      <c r="L64" s="11"/>
      <c r="M64" s="11"/>
      <c r="N64" s="11"/>
    </row>
    <row r="65" ht="15.75" customHeight="1">
      <c r="A65" s="35">
        <v>45292.0</v>
      </c>
      <c r="B65" s="38">
        <v>872.85</v>
      </c>
      <c r="C65" s="11">
        <f t="shared" si="1"/>
        <v>0.0036219386</v>
      </c>
      <c r="D65" s="13">
        <f t="shared" si="2"/>
        <v>0.0036219386</v>
      </c>
      <c r="E65" s="35">
        <v>45292.0</v>
      </c>
      <c r="F65" s="12">
        <v>21741.9</v>
      </c>
      <c r="G65" s="11">
        <v>4.83172E-4</v>
      </c>
      <c r="H65" s="13">
        <v>5.0E-4</v>
      </c>
      <c r="I65" s="11"/>
      <c r="J65" s="17" t="s">
        <v>116</v>
      </c>
      <c r="K65" s="16" t="s">
        <v>117</v>
      </c>
      <c r="L65" s="6"/>
      <c r="N65" s="6"/>
    </row>
    <row r="66" ht="15.75" customHeight="1">
      <c r="A66" s="11" t="s">
        <v>119</v>
      </c>
      <c r="B66" s="38">
        <v>869.7</v>
      </c>
      <c r="C66" s="11">
        <f t="shared" si="1"/>
        <v>0.008815682635</v>
      </c>
      <c r="D66" s="13">
        <f t="shared" si="2"/>
        <v>0.008815682635</v>
      </c>
      <c r="E66" s="11" t="s">
        <v>119</v>
      </c>
      <c r="F66" s="12">
        <v>21731.4</v>
      </c>
      <c r="G66" s="11">
        <v>-0.002171847</v>
      </c>
      <c r="H66" s="13">
        <v>-0.0022</v>
      </c>
      <c r="I66" s="11"/>
      <c r="J66" s="49">
        <f>_xlfn.VAR.S(C4:C745)</f>
        <v>0.0008188367114</v>
      </c>
      <c r="K66" s="50">
        <f>_xlfn.VAR.P(G3:G745)</f>
        <v>0.00007456432323</v>
      </c>
      <c r="L66" s="11"/>
      <c r="N66" s="11"/>
    </row>
    <row r="67" ht="15.75" customHeight="1">
      <c r="A67" s="11" t="s">
        <v>120</v>
      </c>
      <c r="B67" s="38">
        <v>862.1</v>
      </c>
      <c r="C67" s="11">
        <f t="shared" si="1"/>
        <v>-0.00456093759</v>
      </c>
      <c r="D67" s="13">
        <f t="shared" si="2"/>
        <v>-0.00456093759</v>
      </c>
      <c r="E67" s="11" t="s">
        <v>120</v>
      </c>
      <c r="F67" s="12">
        <v>21778.7</v>
      </c>
      <c r="G67" s="11">
        <v>0.005723917</v>
      </c>
      <c r="H67" s="13">
        <v>0.0057</v>
      </c>
      <c r="I67" s="11"/>
      <c r="J67" s="15"/>
      <c r="K67" s="11"/>
      <c r="L67" s="11"/>
      <c r="M67" s="11"/>
      <c r="N67" s="11"/>
    </row>
    <row r="68" ht="15.75" customHeight="1">
      <c r="A68" s="11" t="s">
        <v>121</v>
      </c>
      <c r="B68" s="38">
        <v>866.05</v>
      </c>
      <c r="C68" s="11">
        <f t="shared" si="1"/>
        <v>0.01239113917</v>
      </c>
      <c r="D68" s="13">
        <f t="shared" si="2"/>
        <v>0.01239113917</v>
      </c>
      <c r="E68" s="11" t="s">
        <v>121</v>
      </c>
      <c r="F68" s="12">
        <v>21654.75</v>
      </c>
      <c r="G68" s="11">
        <v>0.009952732</v>
      </c>
      <c r="H68" s="13">
        <v>0.01</v>
      </c>
      <c r="I68" s="11"/>
      <c r="J68" s="51" t="s">
        <v>123</v>
      </c>
      <c r="K68" s="52">
        <f>J66-K69</f>
        <v>0.0007118457701</v>
      </c>
      <c r="L68" s="11"/>
    </row>
    <row r="69" ht="15.75" customHeight="1">
      <c r="A69" s="11" t="s">
        <v>125</v>
      </c>
      <c r="B69" s="38">
        <v>855.45</v>
      </c>
      <c r="C69" s="11">
        <f t="shared" si="1"/>
        <v>0.002049900433</v>
      </c>
      <c r="D69" s="13">
        <f t="shared" si="2"/>
        <v>0.002049900433</v>
      </c>
      <c r="E69" s="11" t="s">
        <v>125</v>
      </c>
      <c r="F69" s="12">
        <v>21441.35</v>
      </c>
      <c r="G69" s="11">
        <v>0.004306913</v>
      </c>
      <c r="H69" s="13">
        <v>0.0043</v>
      </c>
      <c r="J69" s="53" t="s">
        <v>54</v>
      </c>
      <c r="K69" s="54">
        <f>K66*K9^2</f>
        <v>0.0001069909414</v>
      </c>
    </row>
    <row r="70" ht="15.75" customHeight="1">
      <c r="A70" s="11" t="s">
        <v>127</v>
      </c>
      <c r="B70" s="38">
        <v>853.7</v>
      </c>
      <c r="C70" s="11">
        <f t="shared" si="1"/>
        <v>0.007731806646</v>
      </c>
      <c r="D70" s="13">
        <f t="shared" si="2"/>
        <v>0.007731806646</v>
      </c>
      <c r="E70" s="11" t="s">
        <v>127</v>
      </c>
      <c r="F70" s="12">
        <v>21349.4</v>
      </c>
      <c r="G70" s="11">
        <v>0.004438945</v>
      </c>
      <c r="H70" s="13">
        <v>0.0044</v>
      </c>
      <c r="K70" s="11"/>
    </row>
    <row r="71" ht="15.75" customHeight="1">
      <c r="A71" s="11" t="s">
        <v>129</v>
      </c>
      <c r="B71" s="38">
        <v>847.15</v>
      </c>
      <c r="C71" s="11">
        <f t="shared" si="1"/>
        <v>0.02041676704</v>
      </c>
      <c r="D71" s="13">
        <f t="shared" si="2"/>
        <v>0.02041676704</v>
      </c>
      <c r="E71" s="11" t="s">
        <v>129</v>
      </c>
      <c r="F71" s="12">
        <v>21255.05</v>
      </c>
      <c r="G71" s="11">
        <v>0.004959776</v>
      </c>
      <c r="H71" s="13">
        <v>0.005</v>
      </c>
    </row>
    <row r="72" ht="15.75" customHeight="1">
      <c r="A72" s="11" t="s">
        <v>130</v>
      </c>
      <c r="B72" s="38">
        <v>830.2</v>
      </c>
      <c r="C72" s="11">
        <f t="shared" si="1"/>
        <v>0.003444733184</v>
      </c>
      <c r="D72" s="13">
        <f t="shared" si="2"/>
        <v>0.003444733184</v>
      </c>
      <c r="E72" s="11" t="s">
        <v>130</v>
      </c>
      <c r="F72" s="12">
        <v>21150.15</v>
      </c>
      <c r="G72" s="11">
        <v>-0.014121502</v>
      </c>
      <c r="H72" s="13">
        <v>-0.0141</v>
      </c>
      <c r="I72" s="11"/>
      <c r="J72" s="15"/>
      <c r="K72" s="11"/>
      <c r="L72" s="11"/>
    </row>
    <row r="73" ht="15.75" customHeight="1">
      <c r="A73" s="11" t="s">
        <v>132</v>
      </c>
      <c r="B73" s="38">
        <v>827.35</v>
      </c>
      <c r="C73" s="11">
        <f t="shared" si="1"/>
        <v>-0.01259100131</v>
      </c>
      <c r="D73" s="13">
        <f t="shared" si="2"/>
        <v>-0.01259100131</v>
      </c>
      <c r="E73" s="11" t="s">
        <v>132</v>
      </c>
      <c r="F73" s="12">
        <v>21453.1</v>
      </c>
      <c r="G73" s="11">
        <v>0.001608411</v>
      </c>
      <c r="H73" s="13">
        <v>0.0016</v>
      </c>
      <c r="J73" s="15"/>
      <c r="K73" s="11"/>
      <c r="L73" s="11"/>
      <c r="M73" s="11"/>
      <c r="N73" s="11"/>
    </row>
    <row r="74" ht="15.75" customHeight="1">
      <c r="A74" s="11" t="s">
        <v>133</v>
      </c>
      <c r="B74" s="38">
        <v>837.9</v>
      </c>
      <c r="C74" s="11">
        <f t="shared" si="1"/>
        <v>0.02338931298</v>
      </c>
      <c r="D74" s="13">
        <f t="shared" si="2"/>
        <v>0.02338931298</v>
      </c>
      <c r="E74" s="11" t="s">
        <v>133</v>
      </c>
      <c r="F74" s="12">
        <v>21418.65</v>
      </c>
      <c r="G74" s="11">
        <v>-0.001771013</v>
      </c>
      <c r="H74" s="13">
        <v>-0.0018</v>
      </c>
      <c r="J74" s="15"/>
      <c r="K74" s="11"/>
      <c r="L74" s="11"/>
      <c r="M74" s="11"/>
      <c r="N74" s="11"/>
    </row>
    <row r="75" ht="15.75" customHeight="1">
      <c r="A75" s="11" t="s">
        <v>134</v>
      </c>
      <c r="B75" s="38">
        <v>818.75</v>
      </c>
      <c r="C75" s="11">
        <f t="shared" si="1"/>
        <v>0.002019336678</v>
      </c>
      <c r="D75" s="13">
        <f t="shared" si="2"/>
        <v>0.002019336678</v>
      </c>
      <c r="E75" s="11" t="s">
        <v>134</v>
      </c>
      <c r="F75" s="12">
        <v>21456.65</v>
      </c>
      <c r="G75" s="11">
        <v>0.012932723</v>
      </c>
      <c r="H75" s="13">
        <v>0.0129</v>
      </c>
      <c r="J75" s="15"/>
      <c r="K75" s="11"/>
      <c r="L75" s="11"/>
      <c r="M75" s="11"/>
      <c r="N75" s="11"/>
    </row>
    <row r="76" ht="15.75" customHeight="1">
      <c r="A76" s="11" t="s">
        <v>135</v>
      </c>
      <c r="B76" s="38">
        <v>817.1</v>
      </c>
      <c r="C76" s="11">
        <f t="shared" si="1"/>
        <v>-0.003840292594</v>
      </c>
      <c r="D76" s="13">
        <f t="shared" si="2"/>
        <v>-0.003840292594</v>
      </c>
      <c r="E76" s="11" t="s">
        <v>135</v>
      </c>
      <c r="F76" s="12">
        <v>21182.7</v>
      </c>
      <c r="G76" s="11">
        <v>0.012250106</v>
      </c>
      <c r="H76" s="13">
        <v>0.0123</v>
      </c>
      <c r="J76" s="15"/>
      <c r="K76" s="11"/>
      <c r="L76" s="11"/>
      <c r="M76" s="11"/>
      <c r="N76" s="11"/>
    </row>
    <row r="77" ht="15.75" customHeight="1">
      <c r="A77" s="11" t="s">
        <v>136</v>
      </c>
      <c r="B77" s="38">
        <v>820.25</v>
      </c>
      <c r="C77" s="11">
        <f t="shared" si="1"/>
        <v>0.004900459418</v>
      </c>
      <c r="D77" s="13">
        <f t="shared" si="2"/>
        <v>0.004900459418</v>
      </c>
      <c r="E77" s="11" t="s">
        <v>136</v>
      </c>
      <c r="F77" s="12">
        <v>20926.35</v>
      </c>
      <c r="G77" s="11">
        <v>9.54253E-4</v>
      </c>
      <c r="H77" s="13">
        <v>0.001</v>
      </c>
      <c r="J77" s="15"/>
      <c r="K77" s="11"/>
      <c r="L77" s="11"/>
      <c r="M77" s="11"/>
      <c r="N77" s="11"/>
    </row>
    <row r="78" ht="15.75" customHeight="1">
      <c r="A78" s="55">
        <v>45272.0</v>
      </c>
      <c r="B78" s="38">
        <v>816.25</v>
      </c>
      <c r="C78" s="11">
        <f t="shared" si="1"/>
        <v>0.001349444887</v>
      </c>
      <c r="D78" s="13">
        <f t="shared" si="2"/>
        <v>0.001349444887</v>
      </c>
      <c r="E78" s="55">
        <v>45272.0</v>
      </c>
      <c r="F78" s="12">
        <v>20906.4</v>
      </c>
      <c r="G78" s="11">
        <v>-0.004319644</v>
      </c>
      <c r="H78" s="13">
        <v>-0.0043</v>
      </c>
      <c r="J78" s="15"/>
      <c r="K78" s="11"/>
      <c r="L78" s="11"/>
      <c r="M78" s="11"/>
      <c r="N78" s="11"/>
    </row>
    <row r="79" ht="15.75" customHeight="1">
      <c r="A79" s="55">
        <v>45242.0</v>
      </c>
      <c r="B79" s="38">
        <v>815.15</v>
      </c>
      <c r="C79" s="11">
        <f t="shared" si="1"/>
        <v>-0.02131108176</v>
      </c>
      <c r="D79" s="13">
        <f t="shared" si="2"/>
        <v>-0.02131108176</v>
      </c>
      <c r="E79" s="55">
        <v>45242.0</v>
      </c>
      <c r="F79" s="12">
        <v>20997.1</v>
      </c>
      <c r="G79" s="11">
        <v>0.001320972</v>
      </c>
      <c r="H79" s="13">
        <v>0.0013</v>
      </c>
      <c r="J79" s="15"/>
      <c r="K79" s="11"/>
      <c r="L79" s="11"/>
      <c r="M79" s="11"/>
      <c r="N79" s="11"/>
    </row>
    <row r="80" ht="15.75" customHeight="1">
      <c r="A80" s="35">
        <v>45150.0</v>
      </c>
      <c r="B80" s="38">
        <v>832.9</v>
      </c>
      <c r="C80" s="11">
        <f t="shared" si="1"/>
        <v>0.001503036133</v>
      </c>
      <c r="D80" s="13">
        <f t="shared" si="2"/>
        <v>0.001503036133</v>
      </c>
      <c r="E80" s="35">
        <v>45150.0</v>
      </c>
      <c r="F80" s="12">
        <v>20969.4</v>
      </c>
      <c r="G80" s="11">
        <v>0.003265371</v>
      </c>
      <c r="H80" s="13">
        <v>0.0033</v>
      </c>
      <c r="J80" s="15"/>
      <c r="K80" s="11"/>
      <c r="L80" s="11"/>
      <c r="M80" s="11"/>
      <c r="N80" s="11"/>
    </row>
    <row r="81" ht="15.75" customHeight="1">
      <c r="A81" s="35">
        <v>45119.0</v>
      </c>
      <c r="B81" s="38">
        <v>831.65</v>
      </c>
      <c r="C81" s="11">
        <f t="shared" si="1"/>
        <v>0.01637641308</v>
      </c>
      <c r="D81" s="13">
        <f t="shared" si="2"/>
        <v>0.01637641308</v>
      </c>
      <c r="E81" s="35">
        <v>45119.0</v>
      </c>
      <c r="F81" s="12">
        <v>20901.15</v>
      </c>
      <c r="G81" s="11">
        <v>-0.001745655</v>
      </c>
      <c r="H81" s="13">
        <v>-0.0017</v>
      </c>
      <c r="J81" s="15"/>
      <c r="K81" s="11"/>
      <c r="L81" s="11"/>
      <c r="M81" s="11"/>
      <c r="N81" s="11"/>
    </row>
    <row r="82" ht="15.75" customHeight="1">
      <c r="A82" s="35">
        <v>45089.0</v>
      </c>
      <c r="B82" s="38">
        <v>818.25</v>
      </c>
      <c r="C82" s="11">
        <f t="shared" si="1"/>
        <v>-0.004804183897</v>
      </c>
      <c r="D82" s="13">
        <f t="shared" si="2"/>
        <v>-0.004804183897</v>
      </c>
      <c r="E82" s="35">
        <v>45089.0</v>
      </c>
      <c r="F82" s="12">
        <v>20937.7</v>
      </c>
      <c r="G82" s="11">
        <v>0.003960662</v>
      </c>
      <c r="H82" s="13">
        <v>0.004</v>
      </c>
      <c r="J82" s="15"/>
      <c r="K82" s="11"/>
      <c r="L82" s="11"/>
      <c r="M82" s="11"/>
      <c r="N82" s="11"/>
    </row>
    <row r="83" ht="15.75" customHeight="1">
      <c r="A83" s="35">
        <v>45058.0</v>
      </c>
      <c r="B83" s="38">
        <v>822.2</v>
      </c>
      <c r="C83" s="11">
        <f t="shared" si="1"/>
        <v>-0.006404833837</v>
      </c>
      <c r="D83" s="13">
        <f t="shared" si="2"/>
        <v>-0.006404833837</v>
      </c>
      <c r="E83" s="35">
        <v>45058.0</v>
      </c>
      <c r="F83" s="12">
        <v>20855.1</v>
      </c>
      <c r="G83" s="11">
        <v>0.008135623</v>
      </c>
      <c r="H83" s="13">
        <v>0.0081</v>
      </c>
      <c r="I83" s="11"/>
      <c r="J83" s="15"/>
      <c r="K83" s="11"/>
      <c r="L83" s="11"/>
      <c r="M83" s="11"/>
      <c r="N83" s="11"/>
    </row>
    <row r="84" ht="15.75" customHeight="1">
      <c r="A84" s="35">
        <v>45028.0</v>
      </c>
      <c r="B84" s="38">
        <v>827.5</v>
      </c>
      <c r="C84" s="11">
        <f t="shared" si="1"/>
        <v>0.01921418894</v>
      </c>
      <c r="D84" s="13">
        <f t="shared" si="2"/>
        <v>0.01921418894</v>
      </c>
      <c r="E84" s="35">
        <v>45028.0</v>
      </c>
      <c r="F84" s="12">
        <v>20686.8</v>
      </c>
      <c r="G84" s="11">
        <v>0.02066815</v>
      </c>
      <c r="H84" s="13">
        <v>0.0207</v>
      </c>
      <c r="J84" s="56"/>
      <c r="K84" s="11"/>
      <c r="L84" s="11"/>
      <c r="M84" s="11"/>
      <c r="N84" s="11"/>
    </row>
    <row r="85" ht="15.75" customHeight="1">
      <c r="A85" s="35">
        <v>44938.0</v>
      </c>
      <c r="B85" s="38">
        <v>811.9</v>
      </c>
      <c r="C85" s="11">
        <f t="shared" si="1"/>
        <v>0.01837566635</v>
      </c>
      <c r="D85" s="13">
        <f t="shared" si="2"/>
        <v>0.01837566635</v>
      </c>
      <c r="E85" s="35">
        <v>44938.0</v>
      </c>
      <c r="F85" s="12">
        <v>20267.9</v>
      </c>
      <c r="G85" s="11">
        <v>0.006692942</v>
      </c>
      <c r="H85" s="13">
        <v>0.0067</v>
      </c>
      <c r="J85" s="15"/>
      <c r="K85" s="11"/>
      <c r="L85" s="11"/>
      <c r="M85" s="11"/>
      <c r="N85" s="11"/>
    </row>
    <row r="86" ht="15.75" customHeight="1">
      <c r="A86" s="11" t="s">
        <v>140</v>
      </c>
      <c r="B86" s="38">
        <v>797.25</v>
      </c>
      <c r="C86" s="11">
        <f t="shared" si="1"/>
        <v>-0.001627950661</v>
      </c>
      <c r="D86" s="13">
        <f t="shared" si="2"/>
        <v>-0.001627950661</v>
      </c>
      <c r="E86" s="11" t="s">
        <v>140</v>
      </c>
      <c r="F86" s="12">
        <v>20133.15</v>
      </c>
      <c r="G86" s="11">
        <v>0.001818716</v>
      </c>
      <c r="H86" s="13">
        <v>0.0018</v>
      </c>
      <c r="J86" s="15"/>
      <c r="K86" s="11"/>
      <c r="L86" s="11"/>
      <c r="M86" s="13"/>
      <c r="N86" s="11"/>
    </row>
    <row r="87" ht="15.75" customHeight="1">
      <c r="A87" s="11" t="s">
        <v>141</v>
      </c>
      <c r="B87" s="38">
        <v>798.55</v>
      </c>
      <c r="C87" s="11">
        <f t="shared" si="1"/>
        <v>-0.004860115895</v>
      </c>
      <c r="D87" s="13">
        <f t="shared" si="2"/>
        <v>-0.004860115895</v>
      </c>
      <c r="E87" s="11" t="s">
        <v>141</v>
      </c>
      <c r="F87" s="12">
        <v>20096.6</v>
      </c>
      <c r="G87" s="11">
        <v>0.010402369</v>
      </c>
      <c r="H87" s="13">
        <v>0.0104</v>
      </c>
      <c r="J87" s="15"/>
      <c r="K87" s="11"/>
      <c r="L87" s="11"/>
      <c r="M87" s="13"/>
      <c r="N87" s="11"/>
    </row>
    <row r="88" ht="15.75" customHeight="1">
      <c r="A88" s="11" t="s">
        <v>142</v>
      </c>
      <c r="B88" s="38">
        <v>802.45</v>
      </c>
      <c r="C88" s="11">
        <f t="shared" si="1"/>
        <v>-0.01309801992</v>
      </c>
      <c r="D88" s="13">
        <f t="shared" si="2"/>
        <v>-0.01309801992</v>
      </c>
      <c r="E88" s="11" t="s">
        <v>142</v>
      </c>
      <c r="F88" s="12">
        <v>19889.7</v>
      </c>
      <c r="G88" s="11">
        <v>0.004799264</v>
      </c>
      <c r="H88" s="13">
        <v>0.0048</v>
      </c>
      <c r="J88" s="15"/>
      <c r="K88" s="11"/>
      <c r="L88" s="11"/>
      <c r="M88" s="13"/>
      <c r="N88" s="11"/>
    </row>
    <row r="89" ht="15.75" customHeight="1">
      <c r="A89" s="11" t="s">
        <v>143</v>
      </c>
      <c r="B89" s="38">
        <v>813.1</v>
      </c>
      <c r="C89" s="11">
        <f t="shared" si="1"/>
        <v>-0.0105865174</v>
      </c>
      <c r="D89" s="13">
        <f t="shared" si="2"/>
        <v>-0.0105865174</v>
      </c>
      <c r="E89" s="11" t="s">
        <v>143</v>
      </c>
      <c r="F89" s="12">
        <v>19794.7</v>
      </c>
      <c r="G89" s="11">
        <v>-3.6865E-4</v>
      </c>
      <c r="H89" s="13">
        <v>-4.0E-4</v>
      </c>
      <c r="J89" s="9"/>
      <c r="K89" s="88"/>
      <c r="L89" s="6"/>
      <c r="M89" s="84"/>
      <c r="N89" s="11"/>
    </row>
    <row r="90" ht="15.75" customHeight="1">
      <c r="A90" s="11" t="s">
        <v>144</v>
      </c>
      <c r="B90" s="38">
        <v>821.8</v>
      </c>
      <c r="C90" s="11">
        <f t="shared" si="1"/>
        <v>0.008962553714</v>
      </c>
      <c r="D90" s="13">
        <f t="shared" si="2"/>
        <v>0.008962553714</v>
      </c>
      <c r="E90" s="11" t="s">
        <v>144</v>
      </c>
      <c r="F90" s="12">
        <v>19802.0</v>
      </c>
      <c r="G90" s="11">
        <v>-4.97177E-4</v>
      </c>
      <c r="H90" s="13">
        <v>-5.0E-4</v>
      </c>
      <c r="J90" s="15"/>
      <c r="K90" s="11"/>
      <c r="L90" s="11"/>
      <c r="M90" s="11"/>
      <c r="N90" s="11"/>
    </row>
    <row r="91" ht="15.75" customHeight="1">
      <c r="A91" s="11" t="s">
        <v>145</v>
      </c>
      <c r="B91" s="38">
        <v>814.5</v>
      </c>
      <c r="C91" s="11">
        <f t="shared" si="1"/>
        <v>-0.01188887541</v>
      </c>
      <c r="D91" s="13">
        <f t="shared" si="2"/>
        <v>-0.01188887541</v>
      </c>
      <c r="E91" s="11" t="s">
        <v>145</v>
      </c>
      <c r="F91" s="12">
        <v>19811.85</v>
      </c>
      <c r="G91" s="11">
        <v>0.001438074</v>
      </c>
      <c r="H91" s="13">
        <v>0.0014</v>
      </c>
      <c r="J91" s="15"/>
      <c r="K91" s="11"/>
      <c r="L91" s="11"/>
      <c r="M91" s="11"/>
      <c r="N91" s="11"/>
    </row>
    <row r="92" ht="15.75" customHeight="1">
      <c r="A92" s="11" t="s">
        <v>146</v>
      </c>
      <c r="B92" s="38">
        <v>824.3</v>
      </c>
      <c r="C92" s="11">
        <f t="shared" si="1"/>
        <v>-0.004107768515</v>
      </c>
      <c r="D92" s="13">
        <f t="shared" si="2"/>
        <v>-0.004107768515</v>
      </c>
      <c r="E92" s="11" t="s">
        <v>146</v>
      </c>
      <c r="F92" s="12">
        <v>19783.4</v>
      </c>
      <c r="G92" s="11">
        <v>0.004539454</v>
      </c>
      <c r="H92" s="13">
        <v>0.0045</v>
      </c>
      <c r="J92" s="15"/>
      <c r="K92" s="11"/>
      <c r="L92" s="11"/>
      <c r="M92" s="11"/>
      <c r="N92" s="11"/>
    </row>
    <row r="93" ht="15.75" customHeight="1">
      <c r="A93" s="11" t="s">
        <v>147</v>
      </c>
      <c r="B93" s="38">
        <v>827.7</v>
      </c>
      <c r="C93" s="11">
        <f t="shared" si="1"/>
        <v>-0.007077735125</v>
      </c>
      <c r="D93" s="13">
        <f t="shared" si="2"/>
        <v>-0.007077735125</v>
      </c>
      <c r="E93" s="11" t="s">
        <v>147</v>
      </c>
      <c r="F93" s="12">
        <v>19694.0</v>
      </c>
      <c r="G93" s="11">
        <v>-0.001915689</v>
      </c>
      <c r="H93" s="13">
        <v>-0.0019</v>
      </c>
      <c r="J93" s="15"/>
      <c r="K93" s="11"/>
      <c r="L93" s="11"/>
      <c r="M93" s="11"/>
      <c r="N93" s="11"/>
    </row>
    <row r="94" ht="15.75" customHeight="1">
      <c r="A94" s="11" t="s">
        <v>148</v>
      </c>
      <c r="B94" s="38">
        <v>833.6</v>
      </c>
      <c r="C94" s="11">
        <f t="shared" si="1"/>
        <v>-0.003943123432</v>
      </c>
      <c r="D94" s="13">
        <f t="shared" si="2"/>
        <v>-0.003943123432</v>
      </c>
      <c r="E94" s="11" t="s">
        <v>148</v>
      </c>
      <c r="F94" s="12">
        <v>19731.8</v>
      </c>
      <c r="G94" s="11">
        <v>-0.001689839</v>
      </c>
      <c r="H94" s="13">
        <v>-0.0017</v>
      </c>
      <c r="J94" s="15"/>
      <c r="K94" s="11"/>
      <c r="L94" s="11"/>
      <c r="M94" s="11"/>
      <c r="N94" s="11"/>
    </row>
    <row r="95" ht="15.75" customHeight="1">
      <c r="A95" s="11" t="s">
        <v>149</v>
      </c>
      <c r="B95" s="38">
        <v>836.9</v>
      </c>
      <c r="C95" s="11">
        <f t="shared" si="1"/>
        <v>-0.005230001189</v>
      </c>
      <c r="D95" s="13">
        <f t="shared" si="2"/>
        <v>-0.005230001189</v>
      </c>
      <c r="E95" s="11" t="s">
        <v>149</v>
      </c>
      <c r="F95" s="12">
        <v>19765.2</v>
      </c>
      <c r="G95" s="11">
        <v>0.004561522</v>
      </c>
      <c r="H95" s="13">
        <v>0.0046</v>
      </c>
      <c r="J95" s="15"/>
      <c r="K95" s="11"/>
      <c r="L95" s="11"/>
      <c r="M95" s="11"/>
      <c r="N95" s="11"/>
    </row>
    <row r="96" ht="15.75" customHeight="1">
      <c r="A96" s="11" t="s">
        <v>150</v>
      </c>
      <c r="B96" s="38">
        <v>841.3</v>
      </c>
      <c r="C96" s="11">
        <f t="shared" si="1"/>
        <v>0.0008922729165</v>
      </c>
      <c r="D96" s="13">
        <f t="shared" si="2"/>
        <v>0.0008922729165</v>
      </c>
      <c r="E96" s="11" t="s">
        <v>150</v>
      </c>
      <c r="F96" s="12">
        <v>19675.45</v>
      </c>
      <c r="G96" s="11">
        <v>0.011926834</v>
      </c>
      <c r="H96" s="13">
        <v>0.0119</v>
      </c>
      <c r="J96" s="15"/>
      <c r="K96" s="11"/>
      <c r="L96" s="11"/>
      <c r="M96" s="11"/>
      <c r="N96" s="11"/>
    </row>
    <row r="97" ht="15.75" customHeight="1">
      <c r="A97" s="11" t="s">
        <v>151</v>
      </c>
      <c r="B97" s="38">
        <v>840.55</v>
      </c>
      <c r="C97" s="11">
        <f t="shared" si="1"/>
        <v>-0.01169900059</v>
      </c>
      <c r="D97" s="13">
        <f t="shared" si="2"/>
        <v>-0.01169900059</v>
      </c>
      <c r="E97" s="11" t="s">
        <v>151</v>
      </c>
      <c r="F97" s="12">
        <v>19443.55</v>
      </c>
      <c r="G97" s="11">
        <v>-0.004199626</v>
      </c>
      <c r="H97" s="13">
        <v>-0.0042</v>
      </c>
      <c r="J97" s="15"/>
      <c r="K97" s="11"/>
      <c r="L97" s="11"/>
      <c r="M97" s="11"/>
      <c r="N97" s="11"/>
    </row>
    <row r="98" ht="15.75" customHeight="1">
      <c r="A98" s="55">
        <v>45271.0</v>
      </c>
      <c r="B98" s="38">
        <v>850.5</v>
      </c>
      <c r="C98" s="11">
        <f t="shared" si="1"/>
        <v>0.008358527476</v>
      </c>
      <c r="D98" s="13">
        <f t="shared" si="2"/>
        <v>0.008358527476</v>
      </c>
      <c r="E98" s="55">
        <v>45271.0</v>
      </c>
      <c r="F98" s="12">
        <v>19525.55</v>
      </c>
      <c r="G98" s="11">
        <v>0.005158208</v>
      </c>
      <c r="H98" s="13">
        <v>0.0052</v>
      </c>
      <c r="J98" s="15"/>
      <c r="K98" s="11"/>
      <c r="L98" s="11"/>
      <c r="M98" s="11"/>
      <c r="N98" s="11"/>
    </row>
    <row r="99" ht="15.75" customHeight="1">
      <c r="A99" s="55">
        <v>45210.0</v>
      </c>
      <c r="B99" s="38">
        <v>843.45</v>
      </c>
      <c r="C99" s="11">
        <f t="shared" si="1"/>
        <v>0.00249598859</v>
      </c>
      <c r="D99" s="13">
        <f t="shared" si="2"/>
        <v>0.00249598859</v>
      </c>
      <c r="E99" s="55">
        <v>45210.0</v>
      </c>
      <c r="F99" s="12">
        <v>19425.35</v>
      </c>
      <c r="G99" s="11">
        <v>0.001549344</v>
      </c>
      <c r="H99" s="13">
        <v>0.0015</v>
      </c>
      <c r="J99" s="2"/>
      <c r="K99" s="11"/>
      <c r="L99" s="11"/>
      <c r="M99" s="11"/>
      <c r="N99" s="11"/>
    </row>
    <row r="100" ht="15.75" customHeight="1">
      <c r="A100" s="35">
        <v>45180.0</v>
      </c>
      <c r="B100" s="38">
        <v>841.35</v>
      </c>
      <c r="C100" s="11">
        <f t="shared" si="1"/>
        <v>-0.007666450433</v>
      </c>
      <c r="D100" s="13">
        <f t="shared" si="2"/>
        <v>-0.007666450433</v>
      </c>
      <c r="E100" s="35">
        <v>45180.0</v>
      </c>
      <c r="F100" s="12">
        <v>19395.3</v>
      </c>
      <c r="G100" s="11">
        <v>-0.002478978</v>
      </c>
      <c r="H100" s="13">
        <v>-0.0025</v>
      </c>
      <c r="J100" s="15"/>
      <c r="K100" s="11"/>
      <c r="L100" s="11"/>
      <c r="M100" s="11"/>
      <c r="N100" s="11"/>
    </row>
    <row r="101" ht="15.75" customHeight="1">
      <c r="A101" s="35">
        <v>45149.0</v>
      </c>
      <c r="B101" s="38">
        <v>847.85</v>
      </c>
      <c r="C101" s="11">
        <f t="shared" si="1"/>
        <v>-0.0009426736582</v>
      </c>
      <c r="D101" s="13">
        <f t="shared" si="2"/>
        <v>-0.0009426736582</v>
      </c>
      <c r="E101" s="35">
        <v>45149.0</v>
      </c>
      <c r="F101" s="12">
        <v>19443.5</v>
      </c>
      <c r="G101" s="11">
        <v>0.001896252</v>
      </c>
      <c r="H101" s="13">
        <v>0.0019</v>
      </c>
      <c r="J101" s="15"/>
      <c r="K101" s="11"/>
      <c r="L101" s="11"/>
      <c r="M101" s="11"/>
      <c r="N101" s="11"/>
    </row>
    <row r="102" ht="15.75" customHeight="1">
      <c r="A102" s="35">
        <v>45118.0</v>
      </c>
      <c r="B102" s="38">
        <v>848.65</v>
      </c>
      <c r="C102" s="11">
        <f t="shared" si="1"/>
        <v>0.0001767825575</v>
      </c>
      <c r="D102" s="13">
        <f t="shared" si="2"/>
        <v>0.0001767825575</v>
      </c>
      <c r="E102" s="35">
        <v>45118.0</v>
      </c>
      <c r="F102" s="12">
        <v>19406.7</v>
      </c>
      <c r="G102" s="11">
        <v>-2.60152E-4</v>
      </c>
      <c r="H102" s="13">
        <v>-3.0E-4</v>
      </c>
      <c r="J102" s="62"/>
      <c r="K102" s="62"/>
      <c r="L102" s="62"/>
      <c r="M102" s="62"/>
      <c r="N102" s="62"/>
      <c r="O102" s="62"/>
      <c r="P102" s="62"/>
    </row>
    <row r="103" ht="15.75" customHeight="1">
      <c r="A103" s="35">
        <v>45088.0</v>
      </c>
      <c r="B103" s="38">
        <v>848.5</v>
      </c>
      <c r="C103" s="11">
        <f t="shared" si="1"/>
        <v>0.004915023391</v>
      </c>
      <c r="D103" s="13">
        <f t="shared" si="2"/>
        <v>0.004915023391</v>
      </c>
      <c r="E103" s="35">
        <v>45088.0</v>
      </c>
      <c r="F103" s="12">
        <v>19411.75</v>
      </c>
      <c r="G103" s="11">
        <v>0.009419883</v>
      </c>
      <c r="H103" s="13">
        <v>0.0094</v>
      </c>
      <c r="J103" s="2"/>
    </row>
    <row r="104" ht="15.75" customHeight="1">
      <c r="A104" s="35">
        <v>44996.0</v>
      </c>
      <c r="B104" s="38">
        <v>844.35</v>
      </c>
      <c r="C104" s="11">
        <f t="shared" si="1"/>
        <v>0.001067046061</v>
      </c>
      <c r="D104" s="13">
        <f t="shared" si="2"/>
        <v>0.001067046061</v>
      </c>
      <c r="E104" s="35">
        <v>44996.0</v>
      </c>
      <c r="F104" s="12">
        <v>19230.6</v>
      </c>
      <c r="G104" s="11">
        <v>0.005088001</v>
      </c>
      <c r="H104" s="13">
        <v>0.0051</v>
      </c>
    </row>
    <row r="105" ht="15.75" customHeight="1">
      <c r="A105" s="35">
        <v>44968.0</v>
      </c>
      <c r="B105" s="38">
        <v>843.45</v>
      </c>
      <c r="C105" s="11">
        <f t="shared" si="1"/>
        <v>-0.004308818321</v>
      </c>
      <c r="D105" s="13">
        <f t="shared" si="2"/>
        <v>-0.004308818321</v>
      </c>
      <c r="E105" s="35">
        <v>44968.0</v>
      </c>
      <c r="F105" s="12">
        <v>19133.25</v>
      </c>
      <c r="G105" s="11">
        <v>0.007588544</v>
      </c>
      <c r="H105" s="13">
        <v>0.0076</v>
      </c>
      <c r="I105" s="11"/>
      <c r="J105" s="2"/>
      <c r="K105" s="11"/>
      <c r="L105" s="11"/>
      <c r="M105" s="11"/>
      <c r="N105" s="11"/>
    </row>
    <row r="106" ht="15.75" customHeight="1">
      <c r="A106" s="35">
        <v>44937.0</v>
      </c>
      <c r="B106" s="38">
        <v>847.1</v>
      </c>
      <c r="C106" s="11">
        <f t="shared" si="1"/>
        <v>-0.01160959104</v>
      </c>
      <c r="D106" s="13">
        <f t="shared" si="2"/>
        <v>-0.01160959104</v>
      </c>
      <c r="E106" s="35">
        <v>44937.0</v>
      </c>
      <c r="F106" s="12">
        <v>18989.15</v>
      </c>
      <c r="G106" s="11">
        <v>-0.004740665</v>
      </c>
      <c r="H106" s="13">
        <v>-0.0047</v>
      </c>
      <c r="J106" s="2"/>
    </row>
    <row r="107" ht="15.75" customHeight="1">
      <c r="A107" s="11" t="s">
        <v>159</v>
      </c>
      <c r="B107" s="38">
        <v>857.05</v>
      </c>
      <c r="C107" s="11">
        <f t="shared" si="1"/>
        <v>-0.008617698091</v>
      </c>
      <c r="D107" s="13">
        <f t="shared" si="2"/>
        <v>-0.008617698091</v>
      </c>
      <c r="E107" s="11" t="s">
        <v>159</v>
      </c>
      <c r="F107" s="12">
        <v>19079.6</v>
      </c>
      <c r="G107" s="11">
        <v>-0.003202566</v>
      </c>
      <c r="H107" s="13">
        <v>-0.0032</v>
      </c>
      <c r="J107" s="2"/>
    </row>
    <row r="108" ht="15.75" customHeight="1">
      <c r="A108" s="11" t="s">
        <v>160</v>
      </c>
      <c r="B108" s="38">
        <v>864.5</v>
      </c>
      <c r="C108" s="11">
        <f t="shared" si="1"/>
        <v>0.009163602405</v>
      </c>
      <c r="D108" s="13">
        <f t="shared" si="2"/>
        <v>0.009163602405</v>
      </c>
      <c r="E108" s="11" t="s">
        <v>160</v>
      </c>
      <c r="F108" s="12">
        <v>19140.9</v>
      </c>
      <c r="G108" s="11">
        <v>0.00491672</v>
      </c>
      <c r="H108" s="13">
        <v>0.0049</v>
      </c>
      <c r="J108" s="2"/>
    </row>
    <row r="109" ht="15.75" customHeight="1">
      <c r="A109" s="11" t="s">
        <v>161</v>
      </c>
      <c r="B109" s="38">
        <v>856.65</v>
      </c>
      <c r="C109" s="11">
        <f t="shared" si="1"/>
        <v>0.001168702156</v>
      </c>
      <c r="D109" s="13">
        <f t="shared" si="2"/>
        <v>0.001168702156</v>
      </c>
      <c r="E109" s="11" t="s">
        <v>161</v>
      </c>
      <c r="F109" s="12">
        <v>19047.25</v>
      </c>
      <c r="G109" s="11">
        <v>0.0100757</v>
      </c>
      <c r="H109" s="13">
        <v>0.0101</v>
      </c>
      <c r="J109" s="62"/>
      <c r="K109" s="14"/>
      <c r="L109" s="14"/>
      <c r="M109" s="14"/>
      <c r="N109" s="14"/>
    </row>
    <row r="110" ht="15.75" customHeight="1">
      <c r="A110" s="11" t="s">
        <v>162</v>
      </c>
      <c r="B110" s="38">
        <v>855.65</v>
      </c>
      <c r="C110" s="11">
        <f t="shared" si="1"/>
        <v>0.01200473093</v>
      </c>
      <c r="D110" s="13">
        <f t="shared" si="2"/>
        <v>0.01200473093</v>
      </c>
      <c r="E110" s="11" t="s">
        <v>162</v>
      </c>
      <c r="F110" s="12">
        <v>18857.25</v>
      </c>
      <c r="G110" s="11">
        <v>-0.013853045</v>
      </c>
      <c r="H110" s="13">
        <v>-0.0139</v>
      </c>
      <c r="J110" s="62"/>
      <c r="K110" s="14"/>
      <c r="L110" s="14"/>
      <c r="M110" s="14"/>
      <c r="N110" s="14"/>
    </row>
    <row r="111" ht="15.75" customHeight="1">
      <c r="A111" s="11" t="s">
        <v>163</v>
      </c>
      <c r="B111" s="38">
        <v>845.5</v>
      </c>
      <c r="C111" s="11">
        <f t="shared" si="1"/>
        <v>0.02119693218</v>
      </c>
      <c r="D111" s="13">
        <f t="shared" si="2"/>
        <v>0.02119693218</v>
      </c>
      <c r="E111" s="11" t="s">
        <v>163</v>
      </c>
      <c r="F111" s="12">
        <v>19122.15</v>
      </c>
      <c r="G111" s="11">
        <v>-0.008277257</v>
      </c>
      <c r="H111" s="13">
        <v>-0.0083</v>
      </c>
      <c r="J111" s="63"/>
    </row>
    <row r="112" ht="15.75" customHeight="1">
      <c r="A112" s="11" t="s">
        <v>164</v>
      </c>
      <c r="B112" s="38">
        <v>827.95</v>
      </c>
      <c r="C112" s="11">
        <f t="shared" si="1"/>
        <v>-0.06462181551</v>
      </c>
      <c r="D112" s="13">
        <f t="shared" si="2"/>
        <v>-0.06462181551</v>
      </c>
      <c r="E112" s="11" t="s">
        <v>164</v>
      </c>
      <c r="F112" s="12">
        <v>19281.75</v>
      </c>
      <c r="G112" s="11">
        <v>-0.013350288</v>
      </c>
      <c r="H112" s="13">
        <v>-0.0134</v>
      </c>
      <c r="J112" s="2"/>
    </row>
    <row r="113" ht="15.75" customHeight="1">
      <c r="A113" s="11" t="s">
        <v>165</v>
      </c>
      <c r="B113" s="38">
        <v>885.15</v>
      </c>
      <c r="C113" s="11">
        <f t="shared" si="1"/>
        <v>-0.004890387858</v>
      </c>
      <c r="D113" s="13">
        <f t="shared" si="2"/>
        <v>-0.004890387858</v>
      </c>
      <c r="E113" s="11" t="s">
        <v>165</v>
      </c>
      <c r="F113" s="12">
        <v>19542.65</v>
      </c>
      <c r="G113" s="11">
        <v>-0.004180956</v>
      </c>
      <c r="H113" s="13">
        <v>-0.0042</v>
      </c>
      <c r="I113" s="11"/>
    </row>
    <row r="114" ht="15.75" customHeight="1">
      <c r="A114" s="11" t="s">
        <v>168</v>
      </c>
      <c r="B114" s="38">
        <v>889.5</v>
      </c>
      <c r="C114" s="11">
        <f t="shared" si="1"/>
        <v>0.01246371863</v>
      </c>
      <c r="D114" s="13">
        <f t="shared" si="2"/>
        <v>0.01246371863</v>
      </c>
      <c r="E114" s="11" t="s">
        <v>168</v>
      </c>
      <c r="F114" s="12">
        <v>19624.7</v>
      </c>
      <c r="G114" s="11">
        <v>-0.00235879</v>
      </c>
      <c r="H114" s="13">
        <v>-0.0024</v>
      </c>
    </row>
    <row r="115" ht="15.75" customHeight="1">
      <c r="A115" s="11" t="s">
        <v>170</v>
      </c>
      <c r="B115" s="38">
        <v>878.55</v>
      </c>
      <c r="C115" s="11">
        <f t="shared" si="1"/>
        <v>0.002510412506</v>
      </c>
      <c r="D115" s="13">
        <f t="shared" si="2"/>
        <v>0.002510412506</v>
      </c>
      <c r="E115" s="11" t="s">
        <v>170</v>
      </c>
      <c r="F115" s="12">
        <v>19671.1</v>
      </c>
      <c r="G115" s="11">
        <v>-0.007086793</v>
      </c>
      <c r="H115" s="13">
        <v>-0.0071</v>
      </c>
    </row>
    <row r="116" ht="15.75" customHeight="1">
      <c r="A116" s="11" t="s">
        <v>172</v>
      </c>
      <c r="B116" s="38">
        <v>876.35</v>
      </c>
      <c r="C116" s="11">
        <f t="shared" si="1"/>
        <v>0.007820136852</v>
      </c>
      <c r="D116" s="13">
        <f t="shared" si="2"/>
        <v>0.007820136852</v>
      </c>
      <c r="E116" s="11" t="s">
        <v>172</v>
      </c>
      <c r="F116" s="12">
        <v>19811.5</v>
      </c>
      <c r="G116" s="11">
        <v>0.004041709</v>
      </c>
      <c r="H116" s="13">
        <v>0.004</v>
      </c>
    </row>
    <row r="117" ht="15.75" customHeight="1">
      <c r="A117" s="11" t="s">
        <v>174</v>
      </c>
      <c r="B117" s="38">
        <v>869.55</v>
      </c>
      <c r="C117" s="11">
        <f t="shared" si="1"/>
        <v>-0.0018366527</v>
      </c>
      <c r="D117" s="13">
        <f t="shared" si="2"/>
        <v>-0.0018366527</v>
      </c>
      <c r="E117" s="11" t="s">
        <v>174</v>
      </c>
      <c r="F117" s="12">
        <v>19731.75</v>
      </c>
      <c r="G117" s="11">
        <v>-9.77163E-4</v>
      </c>
      <c r="H117" s="13">
        <v>-0.001</v>
      </c>
      <c r="J117" s="2"/>
      <c r="K117" s="11"/>
      <c r="L117" s="11"/>
    </row>
    <row r="118" ht="15.75" customHeight="1">
      <c r="A118" s="11" t="s">
        <v>176</v>
      </c>
      <c r="B118" s="38">
        <v>871.15</v>
      </c>
      <c r="C118" s="11">
        <f t="shared" si="1"/>
        <v>-0.01514894579</v>
      </c>
      <c r="D118" s="13">
        <f t="shared" si="2"/>
        <v>-0.01514894579</v>
      </c>
      <c r="E118" s="11" t="s">
        <v>176</v>
      </c>
      <c r="F118" s="12">
        <v>19751.05</v>
      </c>
      <c r="G118" s="11">
        <v>-0.002169849</v>
      </c>
      <c r="H118" s="13">
        <v>-0.0022</v>
      </c>
      <c r="K118" s="11"/>
      <c r="L118" s="11"/>
    </row>
    <row r="119" ht="15.75" customHeight="1">
      <c r="A119" s="55">
        <v>45270.0</v>
      </c>
      <c r="B119" s="38">
        <v>884.55</v>
      </c>
      <c r="C119" s="11">
        <f t="shared" si="1"/>
        <v>0.004599659284</v>
      </c>
      <c r="D119" s="13">
        <f t="shared" si="2"/>
        <v>0.004599659284</v>
      </c>
      <c r="E119" s="55">
        <v>45270.0</v>
      </c>
      <c r="F119" s="12">
        <v>19794.0</v>
      </c>
      <c r="G119" s="11">
        <v>-8.75761E-4</v>
      </c>
      <c r="H119" s="13">
        <v>-9.0E-4</v>
      </c>
      <c r="J119" s="15"/>
      <c r="K119" s="11"/>
      <c r="L119" s="11"/>
      <c r="M119" s="11"/>
      <c r="N119" s="11"/>
    </row>
    <row r="120" ht="15.75" customHeight="1">
      <c r="A120" s="55">
        <v>45240.0</v>
      </c>
      <c r="B120" s="38">
        <v>880.5</v>
      </c>
      <c r="C120" s="11">
        <f t="shared" si="1"/>
        <v>0.00187745349</v>
      </c>
      <c r="D120" s="13">
        <f t="shared" si="2"/>
        <v>0.00187745349</v>
      </c>
      <c r="E120" s="55">
        <v>45240.0</v>
      </c>
      <c r="F120" s="12">
        <v>19811.35</v>
      </c>
      <c r="G120" s="11">
        <v>0.006170692</v>
      </c>
      <c r="H120" s="13">
        <v>0.0062</v>
      </c>
      <c r="J120" s="15"/>
      <c r="K120" s="11"/>
      <c r="L120" s="11"/>
      <c r="M120" s="11"/>
      <c r="N120" s="11"/>
    </row>
    <row r="121" ht="15.75" customHeight="1">
      <c r="A121" s="55">
        <v>45209.0</v>
      </c>
      <c r="B121" s="38">
        <v>878.85</v>
      </c>
      <c r="C121" s="11">
        <f t="shared" si="1"/>
        <v>0.01150946654</v>
      </c>
      <c r="D121" s="13">
        <f t="shared" si="2"/>
        <v>0.01150946654</v>
      </c>
      <c r="E121" s="55">
        <v>45209.0</v>
      </c>
      <c r="F121" s="12">
        <v>19689.85</v>
      </c>
      <c r="G121" s="11">
        <v>0.009096803</v>
      </c>
      <c r="H121" s="13">
        <v>0.0091</v>
      </c>
      <c r="J121" s="15"/>
      <c r="K121" s="11"/>
      <c r="L121" s="11"/>
      <c r="M121" s="11"/>
      <c r="N121" s="11"/>
    </row>
    <row r="122" ht="15.75" customHeight="1">
      <c r="A122" s="35">
        <v>45179.0</v>
      </c>
      <c r="B122" s="38">
        <v>868.85</v>
      </c>
      <c r="C122" s="11">
        <f t="shared" si="1"/>
        <v>-0.03067997992</v>
      </c>
      <c r="D122" s="13">
        <f t="shared" si="2"/>
        <v>-0.03067997992</v>
      </c>
      <c r="E122" s="35">
        <v>45179.0</v>
      </c>
      <c r="F122" s="12">
        <v>19512.35</v>
      </c>
      <c r="G122" s="11">
        <v>-0.007181927</v>
      </c>
      <c r="H122" s="13">
        <v>-0.0072</v>
      </c>
      <c r="J122" s="15"/>
      <c r="K122" s="11"/>
      <c r="L122" s="11"/>
      <c r="M122" s="11"/>
      <c r="N122" s="11"/>
    </row>
    <row r="123" ht="15.75" customHeight="1">
      <c r="A123" s="35">
        <v>45087.0</v>
      </c>
      <c r="B123" s="38">
        <v>896.35</v>
      </c>
      <c r="C123" s="11">
        <f t="shared" si="1"/>
        <v>0.008891890371</v>
      </c>
      <c r="D123" s="13">
        <f t="shared" si="2"/>
        <v>0.008891890371</v>
      </c>
      <c r="E123" s="35">
        <v>45087.0</v>
      </c>
      <c r="F123" s="12">
        <v>19653.5</v>
      </c>
      <c r="G123" s="11">
        <v>0.005512707</v>
      </c>
      <c r="H123" s="13">
        <v>0.0055</v>
      </c>
      <c r="J123" s="15"/>
      <c r="K123" s="11"/>
      <c r="L123" s="11"/>
      <c r="M123" s="11"/>
      <c r="N123" s="11"/>
    </row>
    <row r="124" ht="15.75" customHeight="1">
      <c r="A124" s="35">
        <v>45056.0</v>
      </c>
      <c r="B124" s="38">
        <v>888.45</v>
      </c>
      <c r="C124" s="11">
        <f t="shared" si="1"/>
        <v>-0.001124290292</v>
      </c>
      <c r="D124" s="13">
        <f t="shared" si="2"/>
        <v>-0.001124290292</v>
      </c>
      <c r="E124" s="35">
        <v>45056.0</v>
      </c>
      <c r="F124" s="12">
        <v>19545.75</v>
      </c>
      <c r="G124" s="11">
        <v>0.005641564</v>
      </c>
      <c r="H124" s="13">
        <v>0.0056</v>
      </c>
      <c r="J124" s="15"/>
      <c r="K124" s="11"/>
      <c r="L124" s="11"/>
      <c r="M124" s="11"/>
      <c r="N124" s="11"/>
    </row>
    <row r="125" ht="15.75" customHeight="1">
      <c r="A125" s="35">
        <v>45026.0</v>
      </c>
      <c r="B125" s="38">
        <v>889.45</v>
      </c>
      <c r="C125" s="11">
        <f t="shared" si="1"/>
        <v>-0.003863814537</v>
      </c>
      <c r="D125" s="13">
        <f t="shared" si="2"/>
        <v>-0.003863814537</v>
      </c>
      <c r="E125" s="35">
        <v>45026.0</v>
      </c>
      <c r="F125" s="12">
        <v>19436.1</v>
      </c>
      <c r="G125" s="11">
        <v>-0.004744287</v>
      </c>
      <c r="H125" s="13">
        <v>-0.0047</v>
      </c>
      <c r="J125" s="15"/>
      <c r="K125" s="11"/>
      <c r="L125" s="11"/>
      <c r="M125" s="11"/>
      <c r="N125" s="11"/>
    </row>
    <row r="126" ht="15.75" customHeight="1">
      <c r="A126" s="35">
        <v>44995.0</v>
      </c>
      <c r="B126" s="38">
        <v>892.9</v>
      </c>
      <c r="C126" s="11">
        <f t="shared" si="1"/>
        <v>0.02004912321</v>
      </c>
      <c r="D126" s="13">
        <f t="shared" si="2"/>
        <v>0.02004912321</v>
      </c>
      <c r="E126" s="35">
        <v>44995.0</v>
      </c>
      <c r="F126" s="12">
        <v>19528.75</v>
      </c>
      <c r="G126" s="11">
        <v>-0.005578385</v>
      </c>
      <c r="H126" s="13">
        <v>-0.0056</v>
      </c>
      <c r="J126" s="15"/>
      <c r="K126" s="11"/>
      <c r="L126" s="11"/>
      <c r="M126" s="11"/>
      <c r="N126" s="11"/>
    </row>
    <row r="127" ht="15.75" customHeight="1">
      <c r="A127" s="11" t="s">
        <v>179</v>
      </c>
      <c r="B127" s="38">
        <v>875.35</v>
      </c>
      <c r="C127" s="11">
        <f t="shared" si="1"/>
        <v>0.02034036601</v>
      </c>
      <c r="D127" s="13">
        <f t="shared" si="2"/>
        <v>0.02034036601</v>
      </c>
      <c r="E127" s="11" t="s">
        <v>179</v>
      </c>
      <c r="F127" s="12">
        <v>19638.3</v>
      </c>
      <c r="G127" s="11">
        <v>0.005877517</v>
      </c>
      <c r="H127" s="13">
        <v>0.0059</v>
      </c>
      <c r="J127" s="15"/>
      <c r="K127" s="11"/>
      <c r="L127" s="11"/>
      <c r="M127" s="11"/>
      <c r="N127" s="11"/>
    </row>
    <row r="128" ht="15.75" customHeight="1">
      <c r="A128" s="11" t="s">
        <v>180</v>
      </c>
      <c r="B128" s="38">
        <v>857.9</v>
      </c>
      <c r="C128" s="11">
        <f t="shared" si="1"/>
        <v>0.002161088721</v>
      </c>
      <c r="D128" s="13">
        <f t="shared" si="2"/>
        <v>0.002161088721</v>
      </c>
      <c r="E128" s="11" t="s">
        <v>180</v>
      </c>
      <c r="F128" s="12">
        <v>19523.55</v>
      </c>
      <c r="G128" s="11">
        <v>-0.009783709</v>
      </c>
      <c r="H128" s="13">
        <v>-0.0098</v>
      </c>
      <c r="J128" s="15"/>
      <c r="K128" s="11"/>
      <c r="L128" s="11"/>
      <c r="M128" s="11"/>
      <c r="N128" s="11"/>
    </row>
    <row r="129" ht="15.75" customHeight="1">
      <c r="A129" s="11" t="s">
        <v>181</v>
      </c>
      <c r="B129" s="38">
        <v>856.05</v>
      </c>
      <c r="C129" s="11">
        <f t="shared" si="1"/>
        <v>0.02020021452</v>
      </c>
      <c r="D129" s="13">
        <f t="shared" si="2"/>
        <v>0.02020021452</v>
      </c>
      <c r="E129" s="11" t="s">
        <v>181</v>
      </c>
      <c r="F129" s="12">
        <v>19716.45</v>
      </c>
      <c r="G129" s="11">
        <v>0.002631619</v>
      </c>
      <c r="H129" s="13">
        <v>0.0026</v>
      </c>
      <c r="J129" s="15"/>
      <c r="K129" s="11"/>
      <c r="L129" s="11"/>
      <c r="M129" s="11"/>
      <c r="N129" s="11"/>
    </row>
    <row r="130" ht="15.75" customHeight="1">
      <c r="A130" s="11" t="s">
        <v>182</v>
      </c>
      <c r="B130" s="38">
        <v>839.1</v>
      </c>
      <c r="C130" s="11">
        <f t="shared" si="1"/>
        <v>0.01084206722</v>
      </c>
      <c r="D130" s="13">
        <f t="shared" si="2"/>
        <v>0.01084206722</v>
      </c>
      <c r="E130" s="11" t="s">
        <v>182</v>
      </c>
      <c r="F130" s="12">
        <v>19664.7</v>
      </c>
      <c r="G130" s="11">
        <v>-5.00647E-4</v>
      </c>
      <c r="H130" s="13">
        <v>-5.0E-4</v>
      </c>
      <c r="J130" s="15"/>
      <c r="K130" s="11"/>
      <c r="L130" s="11"/>
      <c r="M130" s="11"/>
      <c r="N130" s="11"/>
    </row>
    <row r="131" ht="15.75" customHeight="1">
      <c r="A131" s="11" t="s">
        <v>183</v>
      </c>
      <c r="B131" s="38">
        <v>830.1</v>
      </c>
      <c r="C131" s="11">
        <f t="shared" si="1"/>
        <v>0.004355716878</v>
      </c>
      <c r="D131" s="13">
        <f t="shared" si="2"/>
        <v>0.004355716878</v>
      </c>
      <c r="E131" s="11" t="s">
        <v>183</v>
      </c>
      <c r="F131" s="12">
        <v>19674.55</v>
      </c>
      <c r="G131" s="45">
        <v>1.52484E-5</v>
      </c>
      <c r="H131" s="13">
        <v>0.0</v>
      </c>
      <c r="J131" s="15"/>
      <c r="K131" s="11"/>
      <c r="L131" s="11"/>
      <c r="M131" s="11"/>
      <c r="N131" s="11"/>
    </row>
    <row r="132" ht="15.75" customHeight="1">
      <c r="A132" s="11" t="s">
        <v>184</v>
      </c>
      <c r="B132" s="38">
        <v>826.5</v>
      </c>
      <c r="C132" s="11">
        <f t="shared" si="1"/>
        <v>0.002486506156</v>
      </c>
      <c r="D132" s="13">
        <f t="shared" si="2"/>
        <v>0.002486506156</v>
      </c>
      <c r="E132" s="11" t="s">
        <v>184</v>
      </c>
      <c r="F132" s="12">
        <v>19674.25</v>
      </c>
      <c r="G132" s="11">
        <v>-0.003449437</v>
      </c>
      <c r="H132" s="13">
        <v>-0.0034</v>
      </c>
      <c r="J132" s="15"/>
      <c r="K132" s="11"/>
      <c r="L132" s="11"/>
      <c r="M132" s="11"/>
      <c r="N132" s="11"/>
    </row>
    <row r="133" ht="15.75" customHeight="1">
      <c r="A133" s="11" t="s">
        <v>185</v>
      </c>
      <c r="B133" s="38">
        <v>824.45</v>
      </c>
      <c r="C133" s="11">
        <f t="shared" si="1"/>
        <v>-0.02217873451</v>
      </c>
      <c r="D133" s="13">
        <f t="shared" si="2"/>
        <v>-0.02217873451</v>
      </c>
      <c r="E133" s="11" t="s">
        <v>185</v>
      </c>
      <c r="F133" s="12">
        <v>19742.35</v>
      </c>
      <c r="G133" s="11">
        <v>-0.0079919</v>
      </c>
      <c r="H133" s="13">
        <v>-0.008</v>
      </c>
      <c r="J133" s="15"/>
      <c r="K133" s="11"/>
      <c r="L133" s="11"/>
      <c r="M133" s="11"/>
      <c r="N133" s="11"/>
    </row>
    <row r="134" ht="15.75" customHeight="1">
      <c r="A134" s="11" t="s">
        <v>186</v>
      </c>
      <c r="B134" s="38">
        <v>843.15</v>
      </c>
      <c r="C134" s="11">
        <f t="shared" si="1"/>
        <v>-0.009980625844</v>
      </c>
      <c r="D134" s="13">
        <f t="shared" si="2"/>
        <v>-0.009980625844</v>
      </c>
      <c r="E134" s="11" t="s">
        <v>186</v>
      </c>
      <c r="F134" s="12">
        <v>19901.4</v>
      </c>
      <c r="G134" s="11">
        <v>-0.011518231</v>
      </c>
      <c r="H134" s="13">
        <v>-0.0115</v>
      </c>
      <c r="J134" s="15"/>
      <c r="K134" s="11"/>
      <c r="L134" s="11"/>
      <c r="M134" s="11"/>
      <c r="N134" s="11"/>
    </row>
    <row r="135" ht="15.75" customHeight="1">
      <c r="A135" s="11" t="s">
        <v>187</v>
      </c>
      <c r="B135" s="38">
        <v>851.65</v>
      </c>
      <c r="C135" s="11">
        <f t="shared" si="1"/>
        <v>-0.006764242813</v>
      </c>
      <c r="D135" s="13">
        <f t="shared" si="2"/>
        <v>-0.006764242813</v>
      </c>
      <c r="E135" s="11" t="s">
        <v>187</v>
      </c>
      <c r="F135" s="12">
        <v>20133.3</v>
      </c>
      <c r="G135" s="11">
        <v>-0.002924375</v>
      </c>
      <c r="H135" s="13">
        <v>-0.0029</v>
      </c>
      <c r="J135" s="15"/>
      <c r="K135" s="11"/>
      <c r="L135" s="11"/>
      <c r="M135" s="11"/>
      <c r="N135" s="11"/>
    </row>
    <row r="136" ht="15.75" customHeight="1">
      <c r="A136" s="11" t="s">
        <v>188</v>
      </c>
      <c r="B136" s="38">
        <v>857.45</v>
      </c>
      <c r="C136" s="11">
        <f t="shared" si="1"/>
        <v>-0.008097634334</v>
      </c>
      <c r="D136" s="13">
        <f t="shared" si="2"/>
        <v>-0.008097634334</v>
      </c>
      <c r="E136" s="11" t="s">
        <v>188</v>
      </c>
      <c r="F136" s="12">
        <v>20192.35</v>
      </c>
      <c r="G136" s="11">
        <v>0.004439614</v>
      </c>
      <c r="H136" s="13">
        <v>0.0044</v>
      </c>
      <c r="J136" s="15"/>
      <c r="K136" s="11"/>
      <c r="L136" s="11"/>
      <c r="M136" s="11"/>
      <c r="N136" s="11"/>
    </row>
    <row r="137" ht="15.75" customHeight="1">
      <c r="A137" s="11" t="s">
        <v>189</v>
      </c>
      <c r="B137" s="38">
        <v>864.45</v>
      </c>
      <c r="C137" s="11">
        <f t="shared" si="1"/>
        <v>-0.001674558263</v>
      </c>
      <c r="D137" s="13">
        <f t="shared" si="2"/>
        <v>-0.001674558263</v>
      </c>
      <c r="E137" s="11" t="s">
        <v>189</v>
      </c>
      <c r="F137" s="12">
        <v>20103.1</v>
      </c>
      <c r="G137" s="11">
        <v>0.001649228</v>
      </c>
      <c r="H137" s="13">
        <v>0.0016</v>
      </c>
      <c r="N137" s="11"/>
    </row>
    <row r="138" ht="15.75" customHeight="1">
      <c r="A138" s="11" t="s">
        <v>190</v>
      </c>
      <c r="B138" s="38">
        <v>865.9</v>
      </c>
      <c r="C138" s="11">
        <f t="shared" si="1"/>
        <v>0.009089849668</v>
      </c>
      <c r="D138" s="13">
        <f t="shared" si="2"/>
        <v>0.009089849668</v>
      </c>
      <c r="E138" s="11" t="s">
        <v>190</v>
      </c>
      <c r="F138" s="12">
        <v>20070.0</v>
      </c>
      <c r="G138" s="11">
        <v>0.003841306</v>
      </c>
      <c r="H138" s="13">
        <v>0.0038</v>
      </c>
      <c r="N138" s="11"/>
    </row>
    <row r="139" ht="15.75" customHeight="1">
      <c r="A139" s="35">
        <v>45269.0</v>
      </c>
      <c r="B139" s="38">
        <v>858.1</v>
      </c>
      <c r="C139" s="11">
        <f t="shared" si="1"/>
        <v>-0.04650258348</v>
      </c>
      <c r="D139" s="13">
        <f t="shared" si="2"/>
        <v>-0.04650258348</v>
      </c>
      <c r="E139" s="35">
        <v>45269.0</v>
      </c>
      <c r="F139" s="12">
        <v>19993.2</v>
      </c>
      <c r="G139" s="11">
        <v>-1.57529E-4</v>
      </c>
      <c r="H139" s="13">
        <v>-2.0E-4</v>
      </c>
      <c r="N139" s="11"/>
    </row>
    <row r="140" ht="15.75" customHeight="1">
      <c r="A140" s="35">
        <v>45239.0</v>
      </c>
      <c r="B140" s="38">
        <v>899.95</v>
      </c>
      <c r="C140" s="11">
        <f t="shared" si="1"/>
        <v>0.006430328786</v>
      </c>
      <c r="D140" s="13">
        <f t="shared" si="2"/>
        <v>0.006430328786</v>
      </c>
      <c r="E140" s="35">
        <v>45239.0</v>
      </c>
      <c r="F140" s="12">
        <v>19996.35</v>
      </c>
      <c r="G140" s="11">
        <v>0.008900123</v>
      </c>
      <c r="H140" s="13">
        <v>0.0089</v>
      </c>
      <c r="N140" s="11"/>
    </row>
    <row r="141" ht="15.75" customHeight="1">
      <c r="A141" s="35">
        <v>45147.0</v>
      </c>
      <c r="B141" s="38">
        <v>894.2</v>
      </c>
      <c r="C141" s="11">
        <f t="shared" si="1"/>
        <v>0.000895455563</v>
      </c>
      <c r="D141" s="13">
        <f t="shared" si="2"/>
        <v>0.000895455563</v>
      </c>
      <c r="E141" s="35">
        <v>45147.0</v>
      </c>
      <c r="F141" s="12">
        <v>19819.95</v>
      </c>
      <c r="G141" s="11">
        <v>0.00470927</v>
      </c>
      <c r="H141" s="13">
        <v>0.0047</v>
      </c>
      <c r="N141" s="11"/>
    </row>
    <row r="142" ht="15.75" customHeight="1">
      <c r="A142" s="35">
        <v>45116.0</v>
      </c>
      <c r="B142" s="38">
        <v>893.4</v>
      </c>
      <c r="C142" s="11">
        <f t="shared" si="1"/>
        <v>0.00676132522</v>
      </c>
      <c r="D142" s="13">
        <f t="shared" si="2"/>
        <v>0.00676132522</v>
      </c>
      <c r="E142" s="35">
        <v>45116.0</v>
      </c>
      <c r="F142" s="12">
        <v>19727.05</v>
      </c>
      <c r="G142" s="11">
        <v>0.005915033</v>
      </c>
      <c r="H142" s="13">
        <v>0.0059</v>
      </c>
      <c r="N142" s="11"/>
    </row>
    <row r="143" ht="15.75" customHeight="1">
      <c r="A143" s="35">
        <v>45086.0</v>
      </c>
      <c r="B143" s="38">
        <v>887.4</v>
      </c>
      <c r="C143" s="11">
        <f t="shared" si="1"/>
        <v>-0.00112561909</v>
      </c>
      <c r="D143" s="13">
        <f t="shared" si="2"/>
        <v>-0.00112561909</v>
      </c>
      <c r="E143" s="35">
        <v>45086.0</v>
      </c>
      <c r="F143" s="12">
        <v>19611.05</v>
      </c>
      <c r="G143" s="11">
        <v>0.001846753</v>
      </c>
      <c r="H143" s="13">
        <v>0.0018</v>
      </c>
      <c r="J143" s="15"/>
      <c r="K143" s="11"/>
      <c r="L143" s="11"/>
      <c r="M143" s="11"/>
      <c r="N143" s="11"/>
    </row>
    <row r="144" ht="15.75" customHeight="1">
      <c r="A144" s="35">
        <v>45055.0</v>
      </c>
      <c r="B144" s="38">
        <v>888.4</v>
      </c>
      <c r="C144" s="11">
        <f t="shared" si="1"/>
        <v>-0.01600487346</v>
      </c>
      <c r="D144" s="13">
        <f t="shared" si="2"/>
        <v>-0.01600487346</v>
      </c>
      <c r="E144" s="35">
        <v>45055.0</v>
      </c>
      <c r="F144" s="12">
        <v>19574.9</v>
      </c>
      <c r="G144" s="11">
        <v>0.002360616</v>
      </c>
      <c r="H144" s="13">
        <v>0.0024</v>
      </c>
      <c r="J144" s="15"/>
      <c r="K144" s="11"/>
      <c r="L144" s="11"/>
      <c r="M144" s="11"/>
      <c r="N144" s="11"/>
    </row>
    <row r="145" ht="15.75" customHeight="1">
      <c r="A145" s="35">
        <v>45025.0</v>
      </c>
      <c r="B145" s="38">
        <v>902.85</v>
      </c>
      <c r="C145" s="11">
        <f t="shared" si="1"/>
        <v>0.0560884314</v>
      </c>
      <c r="D145" s="13">
        <f t="shared" si="2"/>
        <v>0.0560884314</v>
      </c>
      <c r="E145" s="35">
        <v>45025.0</v>
      </c>
      <c r="F145" s="12">
        <v>19528.8</v>
      </c>
      <c r="G145" s="11">
        <v>0.004810834</v>
      </c>
      <c r="H145" s="13">
        <v>0.0048</v>
      </c>
      <c r="J145" s="15"/>
      <c r="K145" s="11"/>
      <c r="L145" s="11"/>
      <c r="M145" s="11"/>
      <c r="N145" s="11"/>
    </row>
    <row r="146" ht="15.75" customHeight="1">
      <c r="A146" s="35">
        <v>44935.0</v>
      </c>
      <c r="B146" s="38">
        <v>854.9</v>
      </c>
      <c r="C146" s="11">
        <f t="shared" si="1"/>
        <v>-0.01859717598</v>
      </c>
      <c r="D146" s="13">
        <f t="shared" si="2"/>
        <v>-0.01859717598</v>
      </c>
      <c r="E146" s="35">
        <v>44935.0</v>
      </c>
      <c r="F146" s="12">
        <v>19435.3</v>
      </c>
      <c r="G146" s="11">
        <v>0.009426711</v>
      </c>
      <c r="H146" s="13">
        <v>0.0094</v>
      </c>
      <c r="J146" s="15"/>
      <c r="K146" s="11"/>
      <c r="L146" s="11"/>
      <c r="M146" s="11"/>
      <c r="N146" s="11"/>
    </row>
    <row r="147" ht="15.75" customHeight="1">
      <c r="A147" s="11" t="s">
        <v>191</v>
      </c>
      <c r="B147" s="38">
        <v>871.1</v>
      </c>
      <c r="C147" s="11">
        <f t="shared" si="1"/>
        <v>0.04279643263</v>
      </c>
      <c r="D147" s="13">
        <f t="shared" si="2"/>
        <v>0.04279643263</v>
      </c>
      <c r="E147" s="11" t="s">
        <v>191</v>
      </c>
      <c r="F147" s="12">
        <v>19253.8</v>
      </c>
      <c r="G147" s="11">
        <v>-0.004840431</v>
      </c>
      <c r="H147" s="13">
        <v>-0.0048</v>
      </c>
      <c r="J147" s="15"/>
      <c r="K147" s="11"/>
      <c r="L147" s="11"/>
      <c r="M147" s="11"/>
      <c r="N147" s="11"/>
    </row>
    <row r="148" ht="15.75" customHeight="1">
      <c r="A148" s="11" t="s">
        <v>192</v>
      </c>
      <c r="B148" s="38">
        <v>835.35</v>
      </c>
      <c r="C148" s="11">
        <f t="shared" si="1"/>
        <v>0.00802461687</v>
      </c>
      <c r="D148" s="13">
        <f t="shared" si="2"/>
        <v>0.00802461687</v>
      </c>
      <c r="E148" s="11" t="s">
        <v>192</v>
      </c>
      <c r="F148" s="12">
        <v>19347.45</v>
      </c>
      <c r="G148" s="11">
        <v>2.48156E-4</v>
      </c>
      <c r="H148" s="13">
        <v>2.0E-4</v>
      </c>
      <c r="J148" s="15"/>
      <c r="K148" s="11"/>
      <c r="L148" s="11"/>
      <c r="M148" s="11"/>
      <c r="N148" s="11"/>
    </row>
    <row r="149" ht="15.75" customHeight="1">
      <c r="A149" s="11" t="s">
        <v>193</v>
      </c>
      <c r="B149" s="38">
        <v>828.7</v>
      </c>
      <c r="C149" s="11">
        <f t="shared" si="1"/>
        <v>-0.01262957226</v>
      </c>
      <c r="D149" s="13">
        <f t="shared" si="2"/>
        <v>-0.01262957226</v>
      </c>
      <c r="E149" s="11" t="s">
        <v>193</v>
      </c>
      <c r="F149" s="12">
        <v>19342.65</v>
      </c>
      <c r="G149" s="11">
        <v>0.001895779</v>
      </c>
      <c r="H149" s="13">
        <v>0.0019</v>
      </c>
      <c r="J149" s="15"/>
      <c r="K149" s="11"/>
      <c r="L149" s="11"/>
      <c r="M149" s="11"/>
      <c r="N149" s="11"/>
    </row>
    <row r="150" ht="15.75" customHeight="1">
      <c r="A150" s="11" t="s">
        <v>194</v>
      </c>
      <c r="B150" s="38">
        <v>839.3</v>
      </c>
      <c r="C150" s="11">
        <f t="shared" si="1"/>
        <v>-0.008915392336</v>
      </c>
      <c r="D150" s="13">
        <f t="shared" si="2"/>
        <v>-0.008915392336</v>
      </c>
      <c r="E150" s="11" t="s">
        <v>194</v>
      </c>
      <c r="F150" s="12">
        <v>19306.05</v>
      </c>
      <c r="G150" s="11">
        <v>0.002089194</v>
      </c>
      <c r="H150" s="13">
        <v>0.0021</v>
      </c>
      <c r="J150" s="15"/>
      <c r="K150" s="11"/>
      <c r="L150" s="11"/>
      <c r="M150" s="11"/>
      <c r="N150" s="11"/>
    </row>
    <row r="151" ht="15.75" customHeight="1">
      <c r="A151" s="11" t="s">
        <v>195</v>
      </c>
      <c r="B151" s="38">
        <v>846.85</v>
      </c>
      <c r="C151" s="11">
        <f t="shared" si="1"/>
        <v>0.006776437021</v>
      </c>
      <c r="D151" s="13">
        <f t="shared" si="2"/>
        <v>0.006776437021</v>
      </c>
      <c r="E151" s="11" t="s">
        <v>195</v>
      </c>
      <c r="F151" s="12">
        <v>19265.8</v>
      </c>
      <c r="G151" s="11">
        <v>-0.006236234</v>
      </c>
      <c r="H151" s="13">
        <v>-0.0062</v>
      </c>
      <c r="J151" s="15"/>
      <c r="K151" s="11"/>
      <c r="L151" s="11"/>
      <c r="M151" s="11"/>
      <c r="N151" s="11"/>
    </row>
    <row r="152" ht="15.75" customHeight="1">
      <c r="A152" s="11" t="s">
        <v>196</v>
      </c>
      <c r="B152" s="38">
        <v>841.15</v>
      </c>
      <c r="C152" s="11">
        <f t="shared" si="1"/>
        <v>-0.009129461656</v>
      </c>
      <c r="D152" s="13">
        <f t="shared" si="2"/>
        <v>-0.009129461656</v>
      </c>
      <c r="E152" s="11" t="s">
        <v>196</v>
      </c>
      <c r="F152" s="12">
        <v>19386.7</v>
      </c>
      <c r="G152" s="11">
        <v>-0.002946925</v>
      </c>
      <c r="H152" s="13">
        <v>-0.0029</v>
      </c>
      <c r="J152" s="15"/>
      <c r="K152" s="11"/>
      <c r="L152" s="11"/>
      <c r="M152" s="11"/>
      <c r="N152" s="11"/>
    </row>
    <row r="153" ht="15.75" customHeight="1">
      <c r="A153" s="11" t="s">
        <v>197</v>
      </c>
      <c r="B153" s="38">
        <v>848.9</v>
      </c>
      <c r="C153" s="11">
        <f t="shared" si="1"/>
        <v>0.002657532629</v>
      </c>
      <c r="D153" s="13">
        <f t="shared" si="2"/>
        <v>0.002657532629</v>
      </c>
      <c r="E153" s="11" t="s">
        <v>197</v>
      </c>
      <c r="F153" s="12">
        <v>19444.0</v>
      </c>
      <c r="G153" s="11">
        <v>0.00245148</v>
      </c>
      <c r="H153" s="13">
        <v>0.0025</v>
      </c>
      <c r="J153" s="15"/>
      <c r="K153" s="11"/>
      <c r="L153" s="11"/>
      <c r="M153" s="11"/>
      <c r="N153" s="11"/>
    </row>
    <row r="154" ht="15.75" customHeight="1">
      <c r="A154" s="11" t="s">
        <v>198</v>
      </c>
      <c r="B154" s="38">
        <v>846.65</v>
      </c>
      <c r="C154" s="11">
        <f t="shared" si="1"/>
        <v>0.01008112622</v>
      </c>
      <c r="D154" s="13">
        <f t="shared" si="2"/>
        <v>0.01008112622</v>
      </c>
      <c r="E154" s="11" t="s">
        <v>198</v>
      </c>
      <c r="F154" s="12">
        <v>19396.45</v>
      </c>
      <c r="G154" s="11">
        <v>1.46956E-4</v>
      </c>
      <c r="H154" s="13">
        <v>1.0E-4</v>
      </c>
      <c r="J154" s="15"/>
      <c r="K154" s="11"/>
      <c r="L154" s="11"/>
      <c r="M154" s="11"/>
      <c r="N154" s="11"/>
    </row>
    <row r="155" ht="15.75" customHeight="1">
      <c r="A155" s="11" t="s">
        <v>199</v>
      </c>
      <c r="B155" s="38">
        <v>838.2</v>
      </c>
      <c r="C155" s="11">
        <f t="shared" si="1"/>
        <v>-0.006754354781</v>
      </c>
      <c r="D155" s="13">
        <f t="shared" si="2"/>
        <v>-0.006754354781</v>
      </c>
      <c r="E155" s="11" t="s">
        <v>199</v>
      </c>
      <c r="F155" s="12">
        <v>19393.6</v>
      </c>
      <c r="G155" s="11">
        <v>0.004321561</v>
      </c>
      <c r="H155" s="13">
        <v>0.0043</v>
      </c>
      <c r="J155" s="15"/>
      <c r="K155" s="11"/>
      <c r="L155" s="11"/>
      <c r="M155" s="11"/>
      <c r="N155" s="11"/>
    </row>
    <row r="156" ht="15.75" customHeight="1">
      <c r="A156" s="11" t="s">
        <v>200</v>
      </c>
      <c r="B156" s="38">
        <v>843.9</v>
      </c>
      <c r="C156" s="11">
        <f t="shared" si="1"/>
        <v>-0.01084217312</v>
      </c>
      <c r="D156" s="13">
        <f t="shared" si="2"/>
        <v>-0.01084217312</v>
      </c>
      <c r="E156" s="11" t="s">
        <v>200</v>
      </c>
      <c r="F156" s="12">
        <v>19310.15</v>
      </c>
      <c r="G156" s="11">
        <v>-0.002845303</v>
      </c>
      <c r="H156" s="13">
        <v>-0.0028</v>
      </c>
      <c r="J156" s="15"/>
      <c r="K156" s="11"/>
      <c r="L156" s="11"/>
      <c r="M156" s="11"/>
      <c r="N156" s="11"/>
    </row>
    <row r="157" ht="15.75" customHeight="1">
      <c r="A157" s="11" t="s">
        <v>201</v>
      </c>
      <c r="B157" s="38">
        <v>853.15</v>
      </c>
      <c r="C157" s="11">
        <f t="shared" si="1"/>
        <v>0.01204033215</v>
      </c>
      <c r="D157" s="13">
        <f t="shared" si="2"/>
        <v>0.01204033215</v>
      </c>
      <c r="E157" s="11" t="s">
        <v>201</v>
      </c>
      <c r="F157" s="12">
        <v>19365.25</v>
      </c>
      <c r="G157" s="11">
        <v>-0.005124583</v>
      </c>
      <c r="H157" s="13">
        <v>-0.0051</v>
      </c>
      <c r="J157" s="15"/>
      <c r="K157" s="11"/>
      <c r="L157" s="11"/>
      <c r="M157" s="11"/>
      <c r="N157" s="11"/>
    </row>
    <row r="158" ht="15.75" customHeight="1">
      <c r="A158" s="11" t="s">
        <v>202</v>
      </c>
      <c r="B158" s="38">
        <v>843.0</v>
      </c>
      <c r="C158" s="11">
        <f t="shared" si="1"/>
        <v>0.03651789008</v>
      </c>
      <c r="D158" s="13">
        <f t="shared" si="2"/>
        <v>0.03651789008</v>
      </c>
      <c r="E158" s="11" t="s">
        <v>202</v>
      </c>
      <c r="F158" s="12">
        <v>19465.0</v>
      </c>
      <c r="G158" s="11">
        <v>0.001566797</v>
      </c>
      <c r="H158" s="13">
        <v>0.0016</v>
      </c>
      <c r="J158" s="15"/>
      <c r="K158" s="11"/>
      <c r="L158" s="11"/>
      <c r="M158" s="11"/>
      <c r="N158" s="11"/>
    </row>
    <row r="159" ht="15.75" customHeight="1">
      <c r="A159" s="11" t="s">
        <v>203</v>
      </c>
      <c r="B159" s="38">
        <v>813.3</v>
      </c>
      <c r="C159" s="11">
        <f t="shared" si="1"/>
        <v>-0.001840942563</v>
      </c>
      <c r="D159" s="13">
        <f t="shared" si="2"/>
        <v>-0.001840942563</v>
      </c>
      <c r="E159" s="11" t="s">
        <v>203</v>
      </c>
      <c r="F159" s="12">
        <v>19434.55</v>
      </c>
      <c r="G159" s="11">
        <v>3.21696E-4</v>
      </c>
      <c r="H159" s="13">
        <v>3.0E-4</v>
      </c>
      <c r="J159" s="15"/>
      <c r="K159" s="11"/>
      <c r="L159" s="11"/>
      <c r="M159" s="11"/>
      <c r="N159" s="11"/>
    </row>
    <row r="160" ht="15.75" customHeight="1">
      <c r="A160" s="35">
        <v>45238.0</v>
      </c>
      <c r="B160" s="38">
        <v>814.8</v>
      </c>
      <c r="C160" s="11">
        <f t="shared" si="1"/>
        <v>-0.005977796755</v>
      </c>
      <c r="D160" s="13">
        <f t="shared" si="2"/>
        <v>-0.005977796755</v>
      </c>
      <c r="E160" s="35">
        <v>45238.0</v>
      </c>
      <c r="F160" s="12">
        <v>19428.3</v>
      </c>
      <c r="G160" s="11">
        <v>-0.005874196</v>
      </c>
      <c r="H160" s="13">
        <v>-0.0059</v>
      </c>
      <c r="J160" s="15"/>
      <c r="K160" s="11"/>
      <c r="L160" s="11"/>
      <c r="M160" s="11"/>
      <c r="N160" s="11"/>
    </row>
    <row r="161" ht="15.75" customHeight="1">
      <c r="A161" s="35">
        <v>45207.0</v>
      </c>
      <c r="B161" s="38">
        <v>819.7</v>
      </c>
      <c r="C161" s="11">
        <f t="shared" si="1"/>
        <v>-0.001948131012</v>
      </c>
      <c r="D161" s="13">
        <f t="shared" si="2"/>
        <v>-0.001948131012</v>
      </c>
      <c r="E161" s="35">
        <v>45207.0</v>
      </c>
      <c r="F161" s="12">
        <v>19543.1</v>
      </c>
      <c r="G161" s="11">
        <v>-0.004556209</v>
      </c>
      <c r="H161" s="13">
        <v>-0.0046</v>
      </c>
      <c r="J161" s="15"/>
      <c r="K161" s="11"/>
      <c r="L161" s="11"/>
      <c r="M161" s="11"/>
      <c r="N161" s="11"/>
    </row>
    <row r="162" ht="15.75" customHeight="1">
      <c r="A162" s="35">
        <v>45177.0</v>
      </c>
      <c r="B162" s="38">
        <v>821.3</v>
      </c>
      <c r="C162" s="11">
        <f t="shared" si="1"/>
        <v>-0.01475527831</v>
      </c>
      <c r="D162" s="13">
        <f t="shared" si="2"/>
        <v>-0.01475527831</v>
      </c>
      <c r="E162" s="35">
        <v>45177.0</v>
      </c>
      <c r="F162" s="12">
        <v>19632.55</v>
      </c>
      <c r="G162" s="11">
        <v>0.003152648</v>
      </c>
      <c r="H162" s="13">
        <v>0.0032</v>
      </c>
      <c r="J162" s="15"/>
      <c r="K162" s="11"/>
      <c r="L162" s="11"/>
      <c r="M162" s="11"/>
      <c r="N162" s="11"/>
    </row>
    <row r="163" ht="15.75" customHeight="1">
      <c r="A163" s="35">
        <v>45146.0</v>
      </c>
      <c r="B163" s="38">
        <v>833.6</v>
      </c>
      <c r="C163" s="11">
        <f t="shared" si="1"/>
        <v>0.001381464352</v>
      </c>
      <c r="D163" s="13">
        <f t="shared" si="2"/>
        <v>0.001381464352</v>
      </c>
      <c r="E163" s="35">
        <v>45146.0</v>
      </c>
      <c r="F163" s="12">
        <v>19570.85</v>
      </c>
      <c r="G163" s="11">
        <v>-0.001349676</v>
      </c>
      <c r="H163" s="13">
        <v>-0.0013</v>
      </c>
      <c r="J163" s="15"/>
      <c r="K163" s="11"/>
      <c r="L163" s="11"/>
      <c r="M163" s="11"/>
      <c r="N163" s="11"/>
    </row>
    <row r="164" ht="15.75" customHeight="1">
      <c r="A164" s="35">
        <v>45115.0</v>
      </c>
      <c r="B164" s="38">
        <v>832.45</v>
      </c>
      <c r="C164" s="11">
        <f t="shared" si="1"/>
        <v>0.02784294357</v>
      </c>
      <c r="D164" s="13">
        <f t="shared" si="2"/>
        <v>0.02784294357</v>
      </c>
      <c r="E164" s="35">
        <v>45115.0</v>
      </c>
      <c r="F164" s="12">
        <v>19597.3</v>
      </c>
      <c r="G164" s="11">
        <v>0.004114362</v>
      </c>
      <c r="H164" s="13">
        <v>0.0041</v>
      </c>
      <c r="J164" s="15"/>
      <c r="K164" s="11"/>
      <c r="L164" s="11"/>
      <c r="M164" s="11"/>
      <c r="N164" s="11"/>
    </row>
    <row r="165" ht="15.75" customHeight="1">
      <c r="A165" s="35">
        <v>45024.0</v>
      </c>
      <c r="B165" s="38">
        <v>809.9</v>
      </c>
      <c r="C165" s="11">
        <f t="shared" si="1"/>
        <v>0.006649679945</v>
      </c>
      <c r="D165" s="13">
        <f t="shared" si="2"/>
        <v>0.006649679945</v>
      </c>
      <c r="E165" s="35">
        <v>45024.0</v>
      </c>
      <c r="F165" s="12">
        <v>19517.0</v>
      </c>
      <c r="G165" s="11">
        <v>0.00698341</v>
      </c>
      <c r="H165" s="13">
        <v>0.007</v>
      </c>
      <c r="J165" s="15"/>
      <c r="K165" s="11"/>
      <c r="L165" s="11"/>
      <c r="M165" s="11"/>
      <c r="N165" s="11"/>
    </row>
    <row r="166" ht="15.75" customHeight="1">
      <c r="A166" s="35">
        <v>44993.0</v>
      </c>
      <c r="B166" s="38">
        <v>804.55</v>
      </c>
      <c r="C166" s="11">
        <f t="shared" si="1"/>
        <v>-0.009418862349</v>
      </c>
      <c r="D166" s="13">
        <f t="shared" si="2"/>
        <v>-0.009418862349</v>
      </c>
      <c r="E166" s="35">
        <v>44993.0</v>
      </c>
      <c r="F166" s="12">
        <v>19381.65</v>
      </c>
      <c r="G166" s="11">
        <v>-0.007420666</v>
      </c>
      <c r="H166" s="13">
        <v>-0.0074</v>
      </c>
      <c r="J166" s="15"/>
      <c r="K166" s="11"/>
      <c r="L166" s="11"/>
      <c r="M166" s="11"/>
      <c r="N166" s="11"/>
    </row>
    <row r="167" ht="15.75" customHeight="1">
      <c r="A167" s="35">
        <v>44965.0</v>
      </c>
      <c r="B167" s="38">
        <v>812.2</v>
      </c>
      <c r="C167" s="11">
        <f t="shared" si="1"/>
        <v>0.004762788396</v>
      </c>
      <c r="D167" s="13">
        <f t="shared" si="2"/>
        <v>0.004762788396</v>
      </c>
      <c r="E167" s="35">
        <v>44965.0</v>
      </c>
      <c r="F167" s="12">
        <v>19526.55</v>
      </c>
      <c r="G167" s="11">
        <v>-0.01048975</v>
      </c>
      <c r="H167" s="13">
        <v>-0.0105</v>
      </c>
      <c r="J167" s="15"/>
      <c r="K167" s="11"/>
      <c r="L167" s="11"/>
      <c r="M167" s="11"/>
      <c r="N167" s="11"/>
    </row>
    <row r="168" ht="15.75" customHeight="1">
      <c r="A168" s="35">
        <v>44934.0</v>
      </c>
      <c r="B168" s="38">
        <v>808.35</v>
      </c>
      <c r="C168" s="11">
        <f t="shared" si="1"/>
        <v>-0.01324462891</v>
      </c>
      <c r="D168" s="13">
        <f t="shared" si="2"/>
        <v>-0.01324462891</v>
      </c>
      <c r="E168" s="35">
        <v>44934.0</v>
      </c>
      <c r="F168" s="12">
        <v>19733.55</v>
      </c>
      <c r="G168" s="11">
        <v>-0.001025119</v>
      </c>
      <c r="H168" s="13">
        <v>-0.001</v>
      </c>
      <c r="J168" s="15"/>
      <c r="K168" s="11"/>
      <c r="L168" s="11"/>
      <c r="M168" s="11"/>
      <c r="N168" s="11"/>
    </row>
    <row r="169" ht="15.75" customHeight="1">
      <c r="A169" s="11" t="s">
        <v>204</v>
      </c>
      <c r="B169" s="38">
        <v>819.2</v>
      </c>
      <c r="C169" s="11">
        <f t="shared" si="1"/>
        <v>-0.01009002477</v>
      </c>
      <c r="D169" s="13">
        <f t="shared" si="2"/>
        <v>-0.01009002477</v>
      </c>
      <c r="E169" s="11" t="s">
        <v>204</v>
      </c>
      <c r="F169" s="12">
        <v>19753.8</v>
      </c>
      <c r="G169" s="11">
        <v>0.005484563</v>
      </c>
      <c r="H169" s="13">
        <v>0.0055</v>
      </c>
      <c r="J169" s="15"/>
      <c r="K169" s="11"/>
      <c r="L169" s="11"/>
      <c r="M169" s="11"/>
      <c r="N169" s="11"/>
    </row>
    <row r="170" ht="15.75" customHeight="1">
      <c r="A170" s="11" t="s">
        <v>205</v>
      </c>
      <c r="B170" s="38">
        <v>827.55</v>
      </c>
      <c r="C170" s="11">
        <f t="shared" si="1"/>
        <v>0.004552075747</v>
      </c>
      <c r="D170" s="13">
        <f t="shared" si="2"/>
        <v>0.004552075747</v>
      </c>
      <c r="E170" s="11" t="s">
        <v>205</v>
      </c>
      <c r="F170" s="12">
        <v>19646.05</v>
      </c>
      <c r="G170" s="11">
        <v>-7.0448E-4</v>
      </c>
      <c r="H170" s="13">
        <v>-7.0E-4</v>
      </c>
      <c r="J170" s="15"/>
      <c r="K170" s="11"/>
      <c r="L170" s="11"/>
      <c r="M170" s="11"/>
      <c r="N170" s="11"/>
    </row>
    <row r="171" ht="15.75" customHeight="1">
      <c r="A171" s="11" t="s">
        <v>206</v>
      </c>
      <c r="B171" s="38">
        <v>823.8</v>
      </c>
      <c r="C171" s="11">
        <f t="shared" si="1"/>
        <v>0.05190576518</v>
      </c>
      <c r="D171" s="13">
        <f t="shared" si="2"/>
        <v>0.05190576518</v>
      </c>
      <c r="E171" s="11" t="s">
        <v>206</v>
      </c>
      <c r="F171" s="12">
        <v>19659.9</v>
      </c>
      <c r="G171" s="11">
        <v>-0.005986359</v>
      </c>
      <c r="H171" s="13">
        <v>-0.006</v>
      </c>
      <c r="J171" s="15"/>
      <c r="K171" s="11"/>
      <c r="L171" s="11"/>
      <c r="M171" s="11"/>
      <c r="N171" s="11"/>
    </row>
    <row r="172" ht="15.75" customHeight="1">
      <c r="A172" s="11" t="s">
        <v>207</v>
      </c>
      <c r="B172" s="38">
        <v>783.15</v>
      </c>
      <c r="C172" s="11">
        <f t="shared" si="1"/>
        <v>0.003459542572</v>
      </c>
      <c r="D172" s="13">
        <f t="shared" si="2"/>
        <v>0.003459542572</v>
      </c>
      <c r="E172" s="11" t="s">
        <v>207</v>
      </c>
      <c r="F172" s="12">
        <v>19778.3</v>
      </c>
      <c r="G172" s="11">
        <v>0.00496428</v>
      </c>
      <c r="H172" s="13">
        <v>0.005</v>
      </c>
      <c r="J172" s="15"/>
      <c r="K172" s="11"/>
      <c r="L172" s="11"/>
      <c r="M172" s="11"/>
      <c r="N172" s="11"/>
    </row>
    <row r="173" ht="15.75" customHeight="1">
      <c r="A173" s="11" t="s">
        <v>208</v>
      </c>
      <c r="B173" s="38">
        <v>780.45</v>
      </c>
      <c r="C173" s="11">
        <f t="shared" si="1"/>
        <v>0.004957507082</v>
      </c>
      <c r="D173" s="13">
        <f t="shared" si="2"/>
        <v>0.004957507082</v>
      </c>
      <c r="E173" s="11" t="s">
        <v>208</v>
      </c>
      <c r="F173" s="12">
        <v>19680.6</v>
      </c>
      <c r="G173" s="11">
        <v>4.1937E-4</v>
      </c>
      <c r="H173" s="13">
        <v>4.0E-4</v>
      </c>
      <c r="J173" s="15"/>
      <c r="K173" s="11"/>
      <c r="L173" s="11"/>
      <c r="M173" s="11"/>
      <c r="N173" s="11"/>
    </row>
    <row r="174" ht="15.75" customHeight="1">
      <c r="A174" s="11" t="s">
        <v>209</v>
      </c>
      <c r="B174" s="38">
        <v>776.6</v>
      </c>
      <c r="C174" s="11">
        <f t="shared" si="1"/>
        <v>-0.08127292086</v>
      </c>
      <c r="D174" s="13">
        <f t="shared" si="2"/>
        <v>-0.08127292086</v>
      </c>
      <c r="E174" s="11" t="s">
        <v>209</v>
      </c>
      <c r="F174" s="12">
        <v>19672.35</v>
      </c>
      <c r="G174" s="11">
        <v>-0.003679413</v>
      </c>
      <c r="H174" s="13">
        <v>-0.0037</v>
      </c>
      <c r="J174" s="15"/>
      <c r="K174" s="11"/>
      <c r="L174" s="11"/>
      <c r="M174" s="11"/>
      <c r="N174" s="11"/>
    </row>
    <row r="175" ht="15.75" customHeight="1">
      <c r="A175" s="11" t="s">
        <v>210</v>
      </c>
      <c r="B175" s="38">
        <v>845.3</v>
      </c>
      <c r="C175" s="11">
        <f t="shared" si="1"/>
        <v>-0.01353716886</v>
      </c>
      <c r="D175" s="13">
        <f t="shared" si="2"/>
        <v>-0.01353716886</v>
      </c>
      <c r="E175" s="11" t="s">
        <v>210</v>
      </c>
      <c r="F175" s="12">
        <v>19745.0</v>
      </c>
      <c r="G175" s="11">
        <v>-0.011719718</v>
      </c>
      <c r="H175" s="13">
        <v>-0.0117</v>
      </c>
      <c r="J175" s="15"/>
      <c r="K175" s="11"/>
      <c r="L175" s="11"/>
      <c r="M175" s="11"/>
      <c r="N175" s="11"/>
    </row>
    <row r="176" ht="15.75" customHeight="1">
      <c r="A176" s="11" t="s">
        <v>211</v>
      </c>
      <c r="B176" s="38">
        <v>856.9</v>
      </c>
      <c r="C176" s="11">
        <f t="shared" si="1"/>
        <v>-0.01663988983</v>
      </c>
      <c r="D176" s="13">
        <f t="shared" si="2"/>
        <v>-0.01663988983</v>
      </c>
      <c r="E176" s="11" t="s">
        <v>211</v>
      </c>
      <c r="F176" s="12">
        <v>19979.15</v>
      </c>
      <c r="G176" s="11">
        <v>0.007361413</v>
      </c>
      <c r="H176" s="13">
        <v>0.0074</v>
      </c>
      <c r="J176" s="15"/>
      <c r="K176" s="11"/>
      <c r="L176" s="11"/>
      <c r="M176" s="11"/>
      <c r="N176" s="11"/>
    </row>
    <row r="177" ht="15.75" customHeight="1">
      <c r="A177" s="11" t="s">
        <v>212</v>
      </c>
      <c r="B177" s="38">
        <v>871.4</v>
      </c>
      <c r="C177" s="11">
        <f t="shared" si="1"/>
        <v>0.07269034283</v>
      </c>
      <c r="D177" s="13">
        <f t="shared" si="2"/>
        <v>0.07269034283</v>
      </c>
      <c r="E177" s="11" t="s">
        <v>212</v>
      </c>
      <c r="F177" s="12">
        <v>19833.15</v>
      </c>
      <c r="G177" s="11">
        <v>0.004248263</v>
      </c>
      <c r="H177" s="13">
        <v>0.0042</v>
      </c>
      <c r="J177" s="15"/>
      <c r="K177" s="11"/>
      <c r="L177" s="11"/>
      <c r="M177" s="11"/>
      <c r="N177" s="11"/>
    </row>
    <row r="178" ht="15.75" customHeight="1">
      <c r="A178" s="11" t="s">
        <v>213</v>
      </c>
      <c r="B178" s="38">
        <v>812.35</v>
      </c>
      <c r="C178" s="11">
        <f t="shared" si="1"/>
        <v>-0.02747515863</v>
      </c>
      <c r="D178" s="13">
        <f t="shared" si="2"/>
        <v>-0.02747515863</v>
      </c>
      <c r="E178" s="11" t="s">
        <v>213</v>
      </c>
      <c r="F178" s="12">
        <v>19749.25</v>
      </c>
      <c r="G178" s="11">
        <v>0.001917667</v>
      </c>
      <c r="H178" s="13">
        <v>0.0019</v>
      </c>
      <c r="J178" s="15"/>
      <c r="K178" s="11"/>
      <c r="L178" s="11"/>
      <c r="M178" s="11"/>
      <c r="N178" s="11"/>
    </row>
    <row r="179" ht="15.75" customHeight="1">
      <c r="A179" s="11" t="s">
        <v>214</v>
      </c>
      <c r="B179" s="38">
        <v>835.3</v>
      </c>
      <c r="C179" s="11">
        <f t="shared" si="1"/>
        <v>-0.02742038773</v>
      </c>
      <c r="D179" s="13">
        <f t="shared" si="2"/>
        <v>-0.02742038773</v>
      </c>
      <c r="E179" s="11" t="s">
        <v>214</v>
      </c>
      <c r="F179" s="12">
        <v>19711.45</v>
      </c>
      <c r="G179" s="11">
        <v>0.007511053</v>
      </c>
      <c r="H179" s="13">
        <v>0.0075</v>
      </c>
      <c r="J179" s="15"/>
      <c r="K179" s="11"/>
      <c r="L179" s="11"/>
      <c r="M179" s="11"/>
      <c r="N179" s="11"/>
    </row>
    <row r="180" ht="15.75" customHeight="1">
      <c r="A180" s="11" t="s">
        <v>215</v>
      </c>
      <c r="B180" s="38">
        <v>858.85</v>
      </c>
      <c r="C180" s="11">
        <f t="shared" si="1"/>
        <v>0.04718649028</v>
      </c>
      <c r="D180" s="13">
        <f t="shared" si="2"/>
        <v>0.04718649028</v>
      </c>
      <c r="E180" s="11" t="s">
        <v>215</v>
      </c>
      <c r="F180" s="12">
        <v>19564.5</v>
      </c>
      <c r="G180" s="11">
        <v>0.007765115</v>
      </c>
      <c r="H180" s="13">
        <v>0.0078</v>
      </c>
      <c r="J180" s="15"/>
      <c r="K180" s="11"/>
      <c r="L180" s="11"/>
      <c r="M180" s="11"/>
      <c r="N180" s="11"/>
    </row>
    <row r="181" ht="15.75" customHeight="1">
      <c r="A181" s="11" t="s">
        <v>216</v>
      </c>
      <c r="B181" s="38">
        <v>820.15</v>
      </c>
      <c r="C181" s="11">
        <f t="shared" si="1"/>
        <v>0.1123694561</v>
      </c>
      <c r="D181" s="13">
        <f t="shared" si="2"/>
        <v>0.1123694561</v>
      </c>
      <c r="E181" s="11" t="s">
        <v>216</v>
      </c>
      <c r="F181" s="12">
        <v>19413.75</v>
      </c>
      <c r="G181" s="11">
        <v>0.001519271</v>
      </c>
      <c r="H181" s="13">
        <v>0.0015</v>
      </c>
      <c r="J181" s="15"/>
      <c r="K181" s="11"/>
      <c r="L181" s="11"/>
      <c r="M181" s="11"/>
      <c r="N181" s="11"/>
    </row>
    <row r="182" ht="15.75" customHeight="1">
      <c r="A182" s="35">
        <v>45267.0</v>
      </c>
      <c r="B182" s="38">
        <v>737.3</v>
      </c>
      <c r="C182" s="11">
        <f t="shared" si="1"/>
        <v>-0.005597140738</v>
      </c>
      <c r="D182" s="13">
        <f t="shared" si="2"/>
        <v>-0.005597140738</v>
      </c>
      <c r="E182" s="35">
        <v>45267.0</v>
      </c>
      <c r="F182" s="12">
        <v>19384.3</v>
      </c>
      <c r="G182" s="11">
        <v>-0.00283445</v>
      </c>
      <c r="H182" s="13">
        <v>-0.0028</v>
      </c>
      <c r="J182" s="15"/>
      <c r="K182" s="11"/>
      <c r="L182" s="11"/>
      <c r="M182" s="11"/>
      <c r="N182" s="11"/>
    </row>
    <row r="183" ht="15.75" customHeight="1">
      <c r="A183" s="35">
        <v>45237.0</v>
      </c>
      <c r="B183" s="38">
        <v>741.45</v>
      </c>
      <c r="C183" s="11">
        <f t="shared" si="1"/>
        <v>0.05342047311</v>
      </c>
      <c r="D183" s="13">
        <f t="shared" si="2"/>
        <v>0.05342047311</v>
      </c>
      <c r="E183" s="35">
        <v>45237.0</v>
      </c>
      <c r="F183" s="12">
        <v>19439.4</v>
      </c>
      <c r="G183" s="11">
        <v>0.00431393</v>
      </c>
      <c r="H183" s="13">
        <v>0.0043</v>
      </c>
      <c r="J183" s="15"/>
      <c r="K183" s="11"/>
      <c r="L183" s="11"/>
      <c r="M183" s="11"/>
      <c r="N183" s="11"/>
    </row>
    <row r="184" ht="15.75" customHeight="1">
      <c r="A184" s="35">
        <v>45206.0</v>
      </c>
      <c r="B184" s="38">
        <v>703.85</v>
      </c>
      <c r="C184" s="11">
        <f t="shared" si="1"/>
        <v>-0.007963354475</v>
      </c>
      <c r="D184" s="13">
        <f t="shared" si="2"/>
        <v>-0.007963354475</v>
      </c>
      <c r="E184" s="35">
        <v>45206.0</v>
      </c>
      <c r="F184" s="12">
        <v>19355.9</v>
      </c>
      <c r="G184" s="11">
        <v>0.001246651</v>
      </c>
      <c r="H184" s="13">
        <v>0.0012</v>
      </c>
      <c r="J184" s="15"/>
      <c r="K184" s="11"/>
      <c r="L184" s="11"/>
      <c r="M184" s="11"/>
      <c r="N184" s="11"/>
    </row>
    <row r="185" ht="15.75" customHeight="1">
      <c r="A185" s="35">
        <v>45114.0</v>
      </c>
      <c r="B185" s="38">
        <v>709.5</v>
      </c>
      <c r="C185" s="11">
        <f t="shared" si="1"/>
        <v>-0.01403557532</v>
      </c>
      <c r="D185" s="13">
        <f t="shared" si="2"/>
        <v>-0.01403557532</v>
      </c>
      <c r="E185" s="35">
        <v>45114.0</v>
      </c>
      <c r="F185" s="12">
        <v>19331.8</v>
      </c>
      <c r="G185" s="11">
        <v>-0.008488355</v>
      </c>
      <c r="H185" s="13">
        <v>-0.0085</v>
      </c>
      <c r="J185" s="15"/>
      <c r="K185" s="11"/>
      <c r="L185" s="11"/>
      <c r="M185" s="11"/>
      <c r="N185" s="11"/>
    </row>
    <row r="186" ht="15.75" customHeight="1">
      <c r="A186" s="35">
        <v>45084.0</v>
      </c>
      <c r="B186" s="38">
        <v>719.6</v>
      </c>
      <c r="C186" s="11">
        <f t="shared" si="1"/>
        <v>0.01223800816</v>
      </c>
      <c r="D186" s="13">
        <f t="shared" si="2"/>
        <v>0.01223800816</v>
      </c>
      <c r="E186" s="35">
        <v>45084.0</v>
      </c>
      <c r="F186" s="12">
        <v>19497.3</v>
      </c>
      <c r="G186" s="11">
        <v>0.005093177</v>
      </c>
      <c r="H186" s="13">
        <v>0.0051</v>
      </c>
      <c r="J186" s="15"/>
      <c r="K186" s="11"/>
      <c r="L186" s="11"/>
      <c r="M186" s="11"/>
      <c r="N186" s="11"/>
    </row>
    <row r="187" ht="15.75" customHeight="1">
      <c r="A187" s="35">
        <v>45053.0</v>
      </c>
      <c r="B187" s="38">
        <v>710.9</v>
      </c>
      <c r="C187" s="11">
        <f t="shared" si="1"/>
        <v>-0.004620554467</v>
      </c>
      <c r="D187" s="13">
        <f t="shared" si="2"/>
        <v>-0.004620554467</v>
      </c>
      <c r="E187" s="35">
        <v>45053.0</v>
      </c>
      <c r="F187" s="12">
        <v>19398.5</v>
      </c>
      <c r="G187" s="11">
        <v>4.89969E-4</v>
      </c>
      <c r="H187" s="13">
        <v>5.0E-4</v>
      </c>
      <c r="J187" s="15"/>
      <c r="K187" s="11"/>
      <c r="L187" s="11"/>
      <c r="M187" s="11"/>
      <c r="N187" s="11"/>
    </row>
    <row r="188" ht="15.75" customHeight="1">
      <c r="A188" s="35">
        <v>45023.0</v>
      </c>
      <c r="B188" s="38">
        <v>714.2</v>
      </c>
      <c r="C188" s="11">
        <f t="shared" si="1"/>
        <v>-0.006745010778</v>
      </c>
      <c r="D188" s="13">
        <f t="shared" si="2"/>
        <v>-0.006745010778</v>
      </c>
      <c r="E188" s="35">
        <v>45023.0</v>
      </c>
      <c r="F188" s="12">
        <v>19389.0</v>
      </c>
      <c r="G188" s="11">
        <v>0.003438987</v>
      </c>
      <c r="H188" s="13">
        <v>0.0034</v>
      </c>
      <c r="J188" s="15"/>
      <c r="K188" s="11"/>
      <c r="L188" s="11"/>
      <c r="M188" s="11"/>
      <c r="N188" s="11"/>
    </row>
    <row r="189" ht="15.75" customHeight="1">
      <c r="A189" s="35">
        <v>44992.0</v>
      </c>
      <c r="B189" s="38">
        <v>719.05</v>
      </c>
      <c r="C189" s="11">
        <f t="shared" si="1"/>
        <v>-0.007111295222</v>
      </c>
      <c r="D189" s="13">
        <f t="shared" si="2"/>
        <v>-0.007111295222</v>
      </c>
      <c r="E189" s="35">
        <v>44992.0</v>
      </c>
      <c r="F189" s="12">
        <v>19322.55</v>
      </c>
      <c r="G189" s="11">
        <v>0.006957093</v>
      </c>
      <c r="H189" s="13">
        <v>0.007</v>
      </c>
      <c r="J189" s="15"/>
      <c r="K189" s="11"/>
      <c r="L189" s="11"/>
      <c r="M189" s="11"/>
      <c r="N189" s="11"/>
    </row>
    <row r="190" ht="15.75" customHeight="1">
      <c r="A190" s="11" t="s">
        <v>217</v>
      </c>
      <c r="B190" s="38">
        <v>724.2</v>
      </c>
      <c r="C190" s="11">
        <f t="shared" si="1"/>
        <v>-0.001447776629</v>
      </c>
      <c r="D190" s="13">
        <f t="shared" si="2"/>
        <v>-0.001447776629</v>
      </c>
      <c r="E190" s="11" t="s">
        <v>217</v>
      </c>
      <c r="F190" s="12">
        <v>19189.05</v>
      </c>
      <c r="G190" s="11">
        <v>0.011435213</v>
      </c>
      <c r="H190" s="13">
        <v>0.0114</v>
      </c>
      <c r="J190" s="15"/>
      <c r="K190" s="11"/>
      <c r="L190" s="11"/>
      <c r="M190" s="11"/>
      <c r="N190" s="11"/>
    </row>
    <row r="191" ht="15.75" customHeight="1">
      <c r="A191" s="11" t="s">
        <v>218</v>
      </c>
      <c r="B191" s="38">
        <v>725.25</v>
      </c>
      <c r="C191" s="11">
        <f t="shared" si="1"/>
        <v>0.002141771452</v>
      </c>
      <c r="D191" s="13">
        <f t="shared" si="2"/>
        <v>0.002141771452</v>
      </c>
      <c r="E191" s="11" t="s">
        <v>218</v>
      </c>
      <c r="F191" s="12">
        <v>18972.1</v>
      </c>
      <c r="G191" s="11">
        <v>0.008221115</v>
      </c>
      <c r="H191" s="13">
        <v>0.0082</v>
      </c>
      <c r="J191" s="15"/>
      <c r="K191" s="11"/>
      <c r="L191" s="11"/>
      <c r="M191" s="11"/>
      <c r="N191" s="11"/>
    </row>
    <row r="192" ht="15.75" customHeight="1">
      <c r="A192" s="11" t="s">
        <v>219</v>
      </c>
      <c r="B192" s="38">
        <v>723.7</v>
      </c>
      <c r="C192" s="11">
        <f t="shared" si="1"/>
        <v>0.00325778055</v>
      </c>
      <c r="D192" s="13">
        <f t="shared" si="2"/>
        <v>0.00325778055</v>
      </c>
      <c r="E192" s="11" t="s">
        <v>219</v>
      </c>
      <c r="F192" s="12">
        <v>18817.4</v>
      </c>
      <c r="G192" s="11">
        <v>0.00675184</v>
      </c>
      <c r="H192" s="13">
        <v>0.0068</v>
      </c>
      <c r="J192" s="15"/>
      <c r="K192" s="11"/>
      <c r="L192" s="11"/>
      <c r="M192" s="11"/>
      <c r="N192" s="11"/>
    </row>
    <row r="193" ht="15.75" customHeight="1">
      <c r="A193" s="11" t="s">
        <v>220</v>
      </c>
      <c r="B193" s="38">
        <v>721.35</v>
      </c>
      <c r="C193" s="11">
        <f t="shared" si="1"/>
        <v>-0.01042595514</v>
      </c>
      <c r="D193" s="13">
        <f t="shared" si="2"/>
        <v>-0.01042595514</v>
      </c>
      <c r="E193" s="11" t="s">
        <v>220</v>
      </c>
      <c r="F193" s="12">
        <v>18691.2</v>
      </c>
      <c r="G193" s="11">
        <v>0.001376872</v>
      </c>
      <c r="H193" s="13">
        <v>0.0014</v>
      </c>
      <c r="J193" s="15"/>
      <c r="K193" s="11"/>
      <c r="L193" s="11"/>
      <c r="M193" s="11"/>
      <c r="N193" s="11"/>
    </row>
    <row r="194" ht="15.75" customHeight="1">
      <c r="A194" s="11" t="s">
        <v>221</v>
      </c>
      <c r="B194" s="38">
        <v>728.95</v>
      </c>
      <c r="C194" s="11">
        <f t="shared" si="1"/>
        <v>-0.01831526497</v>
      </c>
      <c r="D194" s="13">
        <f t="shared" si="2"/>
        <v>-0.01831526497</v>
      </c>
      <c r="E194" s="11" t="s">
        <v>221</v>
      </c>
      <c r="F194" s="12">
        <v>18665.5</v>
      </c>
      <c r="G194" s="11">
        <v>-0.005633615</v>
      </c>
      <c r="H194" s="13">
        <v>-0.0056</v>
      </c>
      <c r="J194" s="15"/>
      <c r="K194" s="11"/>
      <c r="L194" s="11"/>
      <c r="M194" s="11"/>
      <c r="N194" s="11"/>
    </row>
    <row r="195" ht="15.75" customHeight="1">
      <c r="A195" s="11" t="s">
        <v>222</v>
      </c>
      <c r="B195" s="38">
        <v>742.55</v>
      </c>
      <c r="C195" s="11">
        <f t="shared" si="1"/>
        <v>-0.02064099182</v>
      </c>
      <c r="D195" s="13">
        <f t="shared" si="2"/>
        <v>-0.02064099182</v>
      </c>
      <c r="E195" s="11" t="s">
        <v>222</v>
      </c>
      <c r="F195" s="12">
        <v>18771.25</v>
      </c>
      <c r="G195" s="11">
        <v>-0.004539464</v>
      </c>
      <c r="H195" s="13">
        <v>-0.0045</v>
      </c>
      <c r="J195" s="15"/>
      <c r="K195" s="11"/>
      <c r="L195" s="11"/>
      <c r="M195" s="11"/>
      <c r="N195" s="11"/>
    </row>
    <row r="196" ht="15.75" customHeight="1">
      <c r="A196" s="11" t="s">
        <v>223</v>
      </c>
      <c r="B196" s="38">
        <v>758.2</v>
      </c>
      <c r="C196" s="11">
        <f t="shared" si="1"/>
        <v>0.004970508317</v>
      </c>
      <c r="D196" s="13">
        <f t="shared" si="2"/>
        <v>0.004970508317</v>
      </c>
      <c r="E196" s="11" t="s">
        <v>223</v>
      </c>
      <c r="F196" s="12">
        <v>18856.85</v>
      </c>
      <c r="G196" s="11">
        <v>0.002133743</v>
      </c>
      <c r="H196" s="13">
        <v>0.0021</v>
      </c>
      <c r="J196" s="15"/>
      <c r="K196" s="11"/>
      <c r="L196" s="11"/>
      <c r="M196" s="11"/>
      <c r="N196" s="11"/>
    </row>
    <row r="197" ht="15.75" customHeight="1">
      <c r="A197" s="11" t="s">
        <v>224</v>
      </c>
      <c r="B197" s="38">
        <v>754.45</v>
      </c>
      <c r="C197" s="11">
        <f t="shared" si="1"/>
        <v>0.06096189003</v>
      </c>
      <c r="D197" s="13">
        <f t="shared" si="2"/>
        <v>0.06096189003</v>
      </c>
      <c r="E197" s="11" t="s">
        <v>224</v>
      </c>
      <c r="F197" s="12">
        <v>18816.7</v>
      </c>
      <c r="G197" s="11">
        <v>0.003265717</v>
      </c>
      <c r="H197" s="13">
        <v>0.0033</v>
      </c>
      <c r="J197" s="15"/>
      <c r="K197" s="11"/>
      <c r="L197" s="11"/>
      <c r="M197" s="11"/>
      <c r="N197" s="11"/>
    </row>
    <row r="198" ht="15.75" customHeight="1">
      <c r="A198" s="11" t="s">
        <v>225</v>
      </c>
      <c r="B198" s="38">
        <v>711.1</v>
      </c>
      <c r="C198" s="11">
        <f t="shared" si="1"/>
        <v>0.001549295775</v>
      </c>
      <c r="D198" s="13">
        <f t="shared" si="2"/>
        <v>0.001549295775</v>
      </c>
      <c r="E198" s="11" t="s">
        <v>225</v>
      </c>
      <c r="F198" s="12">
        <v>18755.45</v>
      </c>
      <c r="G198" s="11">
        <v>-0.003747477</v>
      </c>
      <c r="H198" s="13">
        <v>-0.0037</v>
      </c>
      <c r="J198" s="15"/>
      <c r="K198" s="11"/>
      <c r="L198" s="11"/>
      <c r="M198" s="11"/>
      <c r="N198" s="11"/>
    </row>
    <row r="199" ht="15.75" customHeight="1">
      <c r="A199" s="11" t="s">
        <v>226</v>
      </c>
      <c r="B199" s="38">
        <v>710.0</v>
      </c>
      <c r="C199" s="11">
        <f t="shared" si="1"/>
        <v>0.005808188129</v>
      </c>
      <c r="D199" s="13">
        <f t="shared" si="2"/>
        <v>0.005808188129</v>
      </c>
      <c r="E199" s="11" t="s">
        <v>226</v>
      </c>
      <c r="F199" s="12">
        <v>18826.0</v>
      </c>
      <c r="G199" s="11">
        <v>0.007379027</v>
      </c>
      <c r="H199" s="13">
        <v>0.0074</v>
      </c>
      <c r="J199" s="15"/>
      <c r="K199" s="11"/>
      <c r="L199" s="11"/>
      <c r="M199" s="11"/>
      <c r="N199" s="11"/>
    </row>
    <row r="200" ht="15.75" customHeight="1">
      <c r="A200" s="11" t="s">
        <v>227</v>
      </c>
      <c r="B200" s="38">
        <v>705.9</v>
      </c>
      <c r="C200" s="11">
        <f t="shared" si="1"/>
        <v>-0.0117597648</v>
      </c>
      <c r="D200" s="13">
        <f t="shared" si="2"/>
        <v>-0.0117597648</v>
      </c>
      <c r="E200" s="11" t="s">
        <v>227</v>
      </c>
      <c r="F200" s="12">
        <v>18688.1</v>
      </c>
      <c r="G200" s="11">
        <v>-0.003614863</v>
      </c>
      <c r="H200" s="13">
        <v>-0.0036</v>
      </c>
      <c r="J200" s="15"/>
      <c r="K200" s="11"/>
      <c r="L200" s="11"/>
      <c r="M200" s="11"/>
      <c r="N200" s="11"/>
    </row>
    <row r="201" ht="15.75" customHeight="1">
      <c r="A201" s="11" t="s">
        <v>228</v>
      </c>
      <c r="B201" s="38">
        <v>714.3</v>
      </c>
      <c r="C201" s="11">
        <f t="shared" si="1"/>
        <v>-0.0002799160252</v>
      </c>
      <c r="D201" s="13">
        <f t="shared" si="2"/>
        <v>-0.0002799160252</v>
      </c>
      <c r="E201" s="11" t="s">
        <v>228</v>
      </c>
      <c r="F201" s="12">
        <v>18755.9</v>
      </c>
      <c r="G201" s="11">
        <v>0.002123834</v>
      </c>
      <c r="H201" s="13">
        <v>0.0021</v>
      </c>
      <c r="J201" s="15"/>
      <c r="K201" s="11"/>
      <c r="L201" s="11"/>
      <c r="M201" s="11"/>
      <c r="N201" s="11"/>
    </row>
    <row r="202" ht="15.75" customHeight="1">
      <c r="A202" s="11" t="s">
        <v>229</v>
      </c>
      <c r="B202" s="38">
        <v>714.5</v>
      </c>
      <c r="C202" s="11">
        <f t="shared" si="1"/>
        <v>0.005205402364</v>
      </c>
      <c r="D202" s="13">
        <f t="shared" si="2"/>
        <v>0.005205402364</v>
      </c>
      <c r="E202" s="11" t="s">
        <v>229</v>
      </c>
      <c r="F202" s="12">
        <v>18716.15</v>
      </c>
      <c r="G202" s="11">
        <v>0.006163481</v>
      </c>
      <c r="H202" s="13">
        <v>0.0062</v>
      </c>
      <c r="J202" s="15"/>
      <c r="K202" s="11"/>
      <c r="L202" s="11"/>
      <c r="M202" s="11"/>
      <c r="N202" s="11"/>
    </row>
    <row r="203" ht="15.75" customHeight="1">
      <c r="A203" s="35">
        <v>45266.0</v>
      </c>
      <c r="B203" s="38">
        <v>710.8</v>
      </c>
      <c r="C203" s="11">
        <f t="shared" si="1"/>
        <v>-0.00747050199</v>
      </c>
      <c r="D203" s="13">
        <f t="shared" si="2"/>
        <v>-0.00747050199</v>
      </c>
      <c r="E203" s="35">
        <v>45266.0</v>
      </c>
      <c r="F203" s="12">
        <v>18601.5</v>
      </c>
      <c r="G203" s="11">
        <v>0.002052426</v>
      </c>
      <c r="H203" s="13">
        <v>0.0021</v>
      </c>
      <c r="J203" s="15"/>
      <c r="K203" s="11"/>
      <c r="L203" s="11"/>
      <c r="M203" s="11"/>
      <c r="N203" s="11"/>
    </row>
    <row r="204" ht="15.75" customHeight="1">
      <c r="A204" s="35">
        <v>45175.0</v>
      </c>
      <c r="B204" s="38">
        <v>716.15</v>
      </c>
      <c r="C204" s="11">
        <f t="shared" si="1"/>
        <v>0.009088347189</v>
      </c>
      <c r="D204" s="13">
        <f t="shared" si="2"/>
        <v>0.009088347189</v>
      </c>
      <c r="E204" s="35">
        <v>45175.0</v>
      </c>
      <c r="F204" s="12">
        <v>18563.4</v>
      </c>
      <c r="G204" s="11">
        <v>-0.003818176</v>
      </c>
      <c r="H204" s="13">
        <v>-0.0038</v>
      </c>
      <c r="J204" s="15"/>
      <c r="K204" s="11"/>
      <c r="L204" s="11"/>
      <c r="M204" s="11"/>
      <c r="N204" s="11"/>
    </row>
    <row r="205" ht="15.75" customHeight="1">
      <c r="A205" s="35">
        <v>45144.0</v>
      </c>
      <c r="B205" s="38">
        <v>709.7</v>
      </c>
      <c r="C205" s="11">
        <f t="shared" si="1"/>
        <v>-0.01594564615</v>
      </c>
      <c r="D205" s="13">
        <f t="shared" si="2"/>
        <v>-0.01594564615</v>
      </c>
      <c r="E205" s="35">
        <v>45144.0</v>
      </c>
      <c r="F205" s="12">
        <v>18634.55</v>
      </c>
      <c r="G205" s="11">
        <v>-0.00490484</v>
      </c>
      <c r="H205" s="13">
        <v>-0.0049</v>
      </c>
      <c r="J205" s="15"/>
      <c r="K205" s="11"/>
      <c r="L205" s="11"/>
      <c r="M205" s="11"/>
      <c r="N205" s="11"/>
    </row>
    <row r="206" ht="15.75" customHeight="1">
      <c r="A206" s="35">
        <v>45113.0</v>
      </c>
      <c r="B206" s="38">
        <v>721.2</v>
      </c>
      <c r="C206" s="11">
        <f t="shared" si="1"/>
        <v>0.02683847085</v>
      </c>
      <c r="D206" s="13">
        <f t="shared" si="2"/>
        <v>0.02683847085</v>
      </c>
      <c r="E206" s="35">
        <v>45113.0</v>
      </c>
      <c r="F206" s="12">
        <v>18726.4</v>
      </c>
      <c r="G206" s="11">
        <v>0.006849831</v>
      </c>
      <c r="H206" s="13">
        <v>0.0068</v>
      </c>
      <c r="J206" s="15"/>
      <c r="K206" s="11"/>
      <c r="L206" s="11"/>
      <c r="M206" s="11"/>
      <c r="N206" s="11"/>
    </row>
    <row r="207" ht="15.75" customHeight="1">
      <c r="A207" s="35">
        <v>45083.0</v>
      </c>
      <c r="B207" s="38">
        <v>702.35</v>
      </c>
      <c r="C207" s="11">
        <f t="shared" si="1"/>
        <v>0.01371148156</v>
      </c>
      <c r="D207" s="13">
        <f t="shared" si="2"/>
        <v>0.01371148156</v>
      </c>
      <c r="E207" s="35">
        <v>45083.0</v>
      </c>
      <c r="F207" s="12">
        <v>18599.0</v>
      </c>
      <c r="G207" s="11">
        <v>2.76973E-4</v>
      </c>
      <c r="H207" s="13">
        <v>3.0E-4</v>
      </c>
      <c r="J207" s="15"/>
      <c r="K207" s="11"/>
      <c r="L207" s="11"/>
      <c r="M207" s="11"/>
      <c r="N207" s="11"/>
    </row>
    <row r="208" ht="15.75" customHeight="1">
      <c r="A208" s="35">
        <v>45052.0</v>
      </c>
      <c r="B208" s="38">
        <v>692.85</v>
      </c>
      <c r="C208" s="11">
        <f t="shared" si="1"/>
        <v>-0.007520412548</v>
      </c>
      <c r="D208" s="13">
        <f t="shared" si="2"/>
        <v>-0.007520412548</v>
      </c>
      <c r="E208" s="35">
        <v>45052.0</v>
      </c>
      <c r="F208" s="12">
        <v>18593.85</v>
      </c>
      <c r="G208" s="11">
        <v>0.003223788</v>
      </c>
      <c r="H208" s="13">
        <v>0.0032</v>
      </c>
      <c r="J208" s="15"/>
      <c r="K208" s="11"/>
      <c r="L208" s="11"/>
      <c r="M208" s="11"/>
      <c r="N208" s="11"/>
    </row>
    <row r="209" ht="15.75" customHeight="1">
      <c r="A209" s="35">
        <v>44963.0</v>
      </c>
      <c r="B209" s="38">
        <v>698.1</v>
      </c>
      <c r="C209" s="11">
        <f t="shared" si="1"/>
        <v>-0.0009302325581</v>
      </c>
      <c r="D209" s="13">
        <f t="shared" si="2"/>
        <v>-0.0009302325581</v>
      </c>
      <c r="E209" s="35">
        <v>44963.0</v>
      </c>
      <c r="F209" s="12">
        <v>18534.1</v>
      </c>
      <c r="G209" s="11">
        <v>0.002507065</v>
      </c>
      <c r="H209" s="13">
        <v>0.0025</v>
      </c>
      <c r="J209" s="15"/>
      <c r="K209" s="11"/>
      <c r="L209" s="11"/>
      <c r="M209" s="11"/>
      <c r="N209" s="11"/>
    </row>
    <row r="210" ht="15.75" customHeight="1">
      <c r="A210" s="35">
        <v>44932.0</v>
      </c>
      <c r="B210" s="38">
        <v>698.75</v>
      </c>
      <c r="C210" s="11">
        <f t="shared" si="1"/>
        <v>0.002582681684</v>
      </c>
      <c r="D210" s="13">
        <f t="shared" si="2"/>
        <v>0.002582681684</v>
      </c>
      <c r="E210" s="35">
        <v>44932.0</v>
      </c>
      <c r="F210" s="12">
        <v>18487.75</v>
      </c>
      <c r="G210" s="11">
        <v>-0.002516941</v>
      </c>
      <c r="H210" s="13">
        <v>-0.0025</v>
      </c>
      <c r="J210" s="15"/>
      <c r="K210" s="11"/>
      <c r="L210" s="11"/>
      <c r="M210" s="11"/>
      <c r="N210" s="11"/>
    </row>
    <row r="211" ht="15.75" customHeight="1">
      <c r="A211" s="11" t="s">
        <v>230</v>
      </c>
      <c r="B211" s="38">
        <v>696.95</v>
      </c>
      <c r="C211" s="11">
        <f t="shared" si="1"/>
        <v>0.04490254873</v>
      </c>
      <c r="D211" s="13">
        <f t="shared" si="2"/>
        <v>0.04490254873</v>
      </c>
      <c r="E211" s="11" t="s">
        <v>230</v>
      </c>
      <c r="F211" s="12">
        <v>18534.4</v>
      </c>
      <c r="G211" s="11">
        <v>-0.005337061</v>
      </c>
      <c r="H211" s="13">
        <v>-0.0053</v>
      </c>
      <c r="J211" s="15"/>
      <c r="K211" s="11"/>
      <c r="L211" s="11"/>
      <c r="M211" s="11"/>
      <c r="N211" s="11"/>
    </row>
    <row r="212" ht="15.75" customHeight="1">
      <c r="A212" s="11" t="s">
        <v>231</v>
      </c>
      <c r="B212" s="38">
        <v>667.0</v>
      </c>
      <c r="C212" s="11">
        <f t="shared" si="1"/>
        <v>-0.006701414743</v>
      </c>
      <c r="D212" s="13">
        <f t="shared" si="2"/>
        <v>-0.006701414743</v>
      </c>
      <c r="E212" s="11" t="s">
        <v>231</v>
      </c>
      <c r="F212" s="12">
        <v>18633.85</v>
      </c>
      <c r="G212" s="11">
        <v>0.00189261</v>
      </c>
      <c r="H212" s="13">
        <v>0.0019</v>
      </c>
      <c r="J212" s="15"/>
      <c r="K212" s="11"/>
      <c r="L212" s="11"/>
      <c r="M212" s="11"/>
      <c r="N212" s="11"/>
    </row>
    <row r="213" ht="15.75" customHeight="1">
      <c r="A213" s="11" t="s">
        <v>232</v>
      </c>
      <c r="B213" s="38">
        <v>671.5</v>
      </c>
      <c r="C213" s="11">
        <f t="shared" si="1"/>
        <v>-0.003783102144</v>
      </c>
      <c r="D213" s="13">
        <f t="shared" si="2"/>
        <v>-0.003783102144</v>
      </c>
      <c r="E213" s="11" t="s">
        <v>232</v>
      </c>
      <c r="F213" s="12">
        <v>18598.65</v>
      </c>
      <c r="G213" s="11">
        <v>0.005367756</v>
      </c>
      <c r="H213" s="13">
        <v>0.0054</v>
      </c>
      <c r="J213" s="15"/>
      <c r="K213" s="11"/>
      <c r="L213" s="11"/>
      <c r="M213" s="11"/>
      <c r="N213" s="11"/>
    </row>
    <row r="214" ht="15.75" customHeight="1">
      <c r="A214" s="11" t="s">
        <v>233</v>
      </c>
      <c r="B214" s="38">
        <v>674.05</v>
      </c>
      <c r="C214" s="11">
        <f t="shared" si="1"/>
        <v>-0.001259445844</v>
      </c>
      <c r="D214" s="13">
        <f t="shared" si="2"/>
        <v>-0.001259445844</v>
      </c>
      <c r="E214" s="11" t="s">
        <v>233</v>
      </c>
      <c r="F214" s="12">
        <v>18499.35</v>
      </c>
      <c r="G214" s="11">
        <v>0.009726464</v>
      </c>
      <c r="H214" s="13">
        <v>0.0097</v>
      </c>
      <c r="J214" s="15"/>
      <c r="K214" s="11"/>
      <c r="L214" s="11"/>
      <c r="M214" s="11"/>
      <c r="N214" s="11"/>
    </row>
    <row r="215" ht="15.75" customHeight="1">
      <c r="A215" s="11" t="s">
        <v>234</v>
      </c>
      <c r="B215" s="38">
        <v>674.9</v>
      </c>
      <c r="C215" s="11">
        <f t="shared" si="1"/>
        <v>0.04676231097</v>
      </c>
      <c r="D215" s="13">
        <f t="shared" si="2"/>
        <v>0.04676231097</v>
      </c>
      <c r="E215" s="11" t="s">
        <v>234</v>
      </c>
      <c r="F215" s="12">
        <v>18321.15</v>
      </c>
      <c r="G215" s="11">
        <v>0.001955112</v>
      </c>
      <c r="H215" s="13">
        <v>0.002</v>
      </c>
      <c r="J215" s="15"/>
      <c r="K215" s="11"/>
      <c r="L215" s="11"/>
      <c r="M215" s="11"/>
      <c r="N215" s="11"/>
    </row>
    <row r="216" ht="15.75" customHeight="1">
      <c r="A216" s="11" t="s">
        <v>235</v>
      </c>
      <c r="B216" s="38">
        <v>644.75</v>
      </c>
      <c r="C216" s="11">
        <f t="shared" si="1"/>
        <v>-0.0105885061</v>
      </c>
      <c r="D216" s="13">
        <f t="shared" si="2"/>
        <v>-0.0105885061</v>
      </c>
      <c r="E216" s="11" t="s">
        <v>235</v>
      </c>
      <c r="F216" s="12">
        <v>18285.4</v>
      </c>
      <c r="G216" s="11">
        <v>-0.003411816</v>
      </c>
      <c r="H216" s="13">
        <v>-0.0034</v>
      </c>
      <c r="J216" s="15"/>
      <c r="K216" s="11"/>
      <c r="L216" s="11"/>
      <c r="M216" s="11"/>
      <c r="N216" s="11"/>
    </row>
    <row r="217" ht="15.75" customHeight="1">
      <c r="A217" s="11" t="s">
        <v>236</v>
      </c>
      <c r="B217" s="38">
        <v>651.65</v>
      </c>
      <c r="C217" s="11">
        <f t="shared" si="1"/>
        <v>0.002847029855</v>
      </c>
      <c r="D217" s="13">
        <f t="shared" si="2"/>
        <v>0.002847029855</v>
      </c>
      <c r="E217" s="11" t="s">
        <v>236</v>
      </c>
      <c r="F217" s="12">
        <v>18348.0</v>
      </c>
      <c r="G217" s="11">
        <v>0.001834622</v>
      </c>
      <c r="H217" s="13">
        <v>0.0018</v>
      </c>
      <c r="J217" s="15"/>
      <c r="K217" s="11"/>
      <c r="L217" s="11"/>
      <c r="M217" s="11"/>
      <c r="N217" s="11"/>
    </row>
    <row r="218" ht="15.75" customHeight="1">
      <c r="A218" s="11" t="s">
        <v>237</v>
      </c>
      <c r="B218" s="38">
        <v>649.8</v>
      </c>
      <c r="C218" s="11">
        <f t="shared" si="1"/>
        <v>0.01096849475</v>
      </c>
      <c r="D218" s="13">
        <f t="shared" si="2"/>
        <v>0.01096849475</v>
      </c>
      <c r="E218" s="11" t="s">
        <v>237</v>
      </c>
      <c r="F218" s="12">
        <v>18314.4</v>
      </c>
      <c r="G218" s="11">
        <v>0.006097762</v>
      </c>
      <c r="H218" s="13">
        <v>0.0061</v>
      </c>
      <c r="J218" s="15"/>
      <c r="K218" s="11"/>
      <c r="L218" s="11"/>
      <c r="M218" s="11"/>
      <c r="N218" s="11"/>
    </row>
    <row r="219" ht="15.75" customHeight="1">
      <c r="A219" s="11" t="s">
        <v>238</v>
      </c>
      <c r="B219" s="38">
        <v>642.75</v>
      </c>
      <c r="C219" s="11">
        <f t="shared" si="1"/>
        <v>-0.01115384615</v>
      </c>
      <c r="D219" s="13">
        <f t="shared" si="2"/>
        <v>-0.01115384615</v>
      </c>
      <c r="E219" s="11" t="s">
        <v>238</v>
      </c>
      <c r="F219" s="12">
        <v>18203.4</v>
      </c>
      <c r="G219" s="11">
        <v>0.004051307</v>
      </c>
      <c r="H219" s="13">
        <v>0.0041</v>
      </c>
      <c r="J219" s="15"/>
      <c r="K219" s="11"/>
      <c r="L219" s="11"/>
      <c r="M219" s="11"/>
      <c r="N219" s="11"/>
    </row>
    <row r="220" ht="15.75" customHeight="1">
      <c r="A220" s="11" t="s">
        <v>239</v>
      </c>
      <c r="B220" s="38">
        <v>650.0</v>
      </c>
      <c r="C220" s="11">
        <f t="shared" si="1"/>
        <v>-0.01701323251</v>
      </c>
      <c r="D220" s="13">
        <f t="shared" si="2"/>
        <v>-0.01701323251</v>
      </c>
      <c r="E220" s="11" t="s">
        <v>239</v>
      </c>
      <c r="F220" s="12">
        <v>18129.95</v>
      </c>
      <c r="G220" s="11">
        <v>-0.002849011</v>
      </c>
      <c r="H220" s="13">
        <v>-0.0028</v>
      </c>
      <c r="J220" s="15"/>
      <c r="K220" s="11"/>
      <c r="L220" s="11"/>
      <c r="M220" s="11"/>
      <c r="N220" s="11"/>
    </row>
    <row r="221" ht="15.75" customHeight="1">
      <c r="A221" s="11" t="s">
        <v>240</v>
      </c>
      <c r="B221" s="38">
        <v>661.25</v>
      </c>
      <c r="C221" s="11">
        <f t="shared" si="1"/>
        <v>0.003185921262</v>
      </c>
      <c r="D221" s="13">
        <f t="shared" si="2"/>
        <v>0.003185921262</v>
      </c>
      <c r="E221" s="11" t="s">
        <v>240</v>
      </c>
      <c r="F221" s="12">
        <v>18181.75</v>
      </c>
      <c r="G221" s="11">
        <v>-0.005728269</v>
      </c>
      <c r="H221" s="13">
        <v>-0.0057</v>
      </c>
      <c r="J221" s="15"/>
      <c r="K221" s="11"/>
      <c r="L221" s="11"/>
      <c r="M221" s="11"/>
      <c r="N221" s="11"/>
    </row>
    <row r="222" ht="15.75" customHeight="1">
      <c r="A222" s="11" t="s">
        <v>241</v>
      </c>
      <c r="B222" s="38">
        <v>659.15</v>
      </c>
      <c r="C222" s="11">
        <f t="shared" si="1"/>
        <v>-0.01206534772</v>
      </c>
      <c r="D222" s="13">
        <f t="shared" si="2"/>
        <v>-0.01206534772</v>
      </c>
      <c r="E222" s="11" t="s">
        <v>241</v>
      </c>
      <c r="F222" s="12">
        <v>18286.5</v>
      </c>
      <c r="G222" s="11">
        <v>-0.00610636</v>
      </c>
      <c r="H222" s="13">
        <v>-0.0061</v>
      </c>
      <c r="J222" s="15"/>
      <c r="K222" s="11"/>
      <c r="L222" s="11"/>
      <c r="M222" s="11"/>
      <c r="N222" s="11"/>
    </row>
    <row r="223" ht="15.75" customHeight="1">
      <c r="A223" s="11" t="s">
        <v>242</v>
      </c>
      <c r="B223" s="38">
        <v>667.2</v>
      </c>
      <c r="C223" s="11">
        <f t="shared" si="1"/>
        <v>-0.003658627641</v>
      </c>
      <c r="D223" s="13">
        <f t="shared" si="2"/>
        <v>-0.003658627641</v>
      </c>
      <c r="E223" s="11" t="s">
        <v>242</v>
      </c>
      <c r="F223" s="12">
        <v>18398.85</v>
      </c>
      <c r="G223" s="11">
        <v>0.004589185</v>
      </c>
      <c r="H223" s="13">
        <v>0.0046</v>
      </c>
      <c r="J223" s="15"/>
      <c r="K223" s="11"/>
      <c r="L223" s="11"/>
      <c r="M223" s="11"/>
      <c r="N223" s="11"/>
    </row>
    <row r="224" ht="15.75" customHeight="1">
      <c r="A224" s="35">
        <v>45265.0</v>
      </c>
      <c r="B224" s="38">
        <v>669.65</v>
      </c>
      <c r="C224" s="11">
        <f t="shared" si="1"/>
        <v>-0.001788775434</v>
      </c>
      <c r="D224" s="13">
        <f t="shared" si="2"/>
        <v>-0.001788775434</v>
      </c>
      <c r="E224" s="35">
        <v>45265.0</v>
      </c>
      <c r="F224" s="12">
        <v>18314.8</v>
      </c>
      <c r="G224" s="11">
        <v>9.72837E-4</v>
      </c>
      <c r="H224" s="13">
        <v>0.001</v>
      </c>
      <c r="J224" s="15"/>
      <c r="K224" s="11"/>
      <c r="L224" s="11"/>
      <c r="M224" s="11"/>
      <c r="N224" s="11"/>
    </row>
    <row r="225" ht="15.75" customHeight="1">
      <c r="A225" s="35">
        <v>45235.0</v>
      </c>
      <c r="B225" s="38">
        <v>670.85</v>
      </c>
      <c r="C225" s="11">
        <f t="shared" si="1"/>
        <v>-0.008351810791</v>
      </c>
      <c r="D225" s="13">
        <f t="shared" si="2"/>
        <v>-0.008351810791</v>
      </c>
      <c r="E225" s="35">
        <v>45235.0</v>
      </c>
      <c r="F225" s="12">
        <v>18297.0</v>
      </c>
      <c r="G225" s="11">
        <v>-9.88256E-4</v>
      </c>
      <c r="H225" s="13">
        <v>-0.001</v>
      </c>
      <c r="J225" s="15"/>
      <c r="K225" s="11"/>
      <c r="L225" s="11"/>
      <c r="M225" s="11"/>
      <c r="N225" s="11"/>
    </row>
    <row r="226" ht="15.75" customHeight="1">
      <c r="A226" s="35">
        <v>45204.0</v>
      </c>
      <c r="B226" s="38">
        <v>676.5</v>
      </c>
      <c r="C226" s="11">
        <f t="shared" si="1"/>
        <v>0.004678102027</v>
      </c>
      <c r="D226" s="13">
        <f t="shared" si="2"/>
        <v>0.004678102027</v>
      </c>
      <c r="E226" s="35">
        <v>45204.0</v>
      </c>
      <c r="F226" s="12">
        <v>18315.1</v>
      </c>
      <c r="G226" s="11">
        <v>0.002690799</v>
      </c>
      <c r="H226" s="13">
        <v>0.0027</v>
      </c>
      <c r="J226" s="15"/>
      <c r="K226" s="11"/>
      <c r="L226" s="11"/>
      <c r="M226" s="11"/>
      <c r="N226" s="11"/>
    </row>
    <row r="227" ht="15.75" customHeight="1">
      <c r="A227" s="35">
        <v>45174.0</v>
      </c>
      <c r="B227" s="38">
        <v>673.35</v>
      </c>
      <c r="C227" s="11">
        <f t="shared" si="1"/>
        <v>0.01331828442</v>
      </c>
      <c r="D227" s="13">
        <f t="shared" si="2"/>
        <v>0.01331828442</v>
      </c>
      <c r="E227" s="35">
        <v>45174.0</v>
      </c>
      <c r="F227" s="12">
        <v>18265.95</v>
      </c>
      <c r="G227" s="45">
        <v>8.48645E-5</v>
      </c>
      <c r="H227" s="13">
        <v>1.0E-4</v>
      </c>
      <c r="J227" s="15"/>
      <c r="K227" s="11"/>
      <c r="L227" s="11"/>
      <c r="M227" s="11"/>
      <c r="N227" s="11"/>
    </row>
    <row r="228" ht="15.75" customHeight="1">
      <c r="A228" s="35">
        <v>45143.0</v>
      </c>
      <c r="B228" s="38">
        <v>664.5</v>
      </c>
      <c r="C228" s="11">
        <f t="shared" si="1"/>
        <v>0.04292552774</v>
      </c>
      <c r="D228" s="13">
        <f t="shared" si="2"/>
        <v>0.04292552774</v>
      </c>
      <c r="E228" s="35">
        <v>45143.0</v>
      </c>
      <c r="F228" s="12">
        <v>18264.4</v>
      </c>
      <c r="G228" s="11">
        <v>0.010814101</v>
      </c>
      <c r="H228" s="13">
        <v>0.0108</v>
      </c>
      <c r="J228" s="15"/>
      <c r="K228" s="11"/>
      <c r="L228" s="11"/>
      <c r="M228" s="11"/>
      <c r="N228" s="11"/>
    </row>
    <row r="229" ht="15.75" customHeight="1">
      <c r="A229" s="35">
        <v>45051.0</v>
      </c>
      <c r="B229" s="38">
        <v>637.15</v>
      </c>
      <c r="C229" s="11">
        <f t="shared" si="1"/>
        <v>0.006794659082</v>
      </c>
      <c r="D229" s="13">
        <f t="shared" si="2"/>
        <v>0.006794659082</v>
      </c>
      <c r="E229" s="35">
        <v>45051.0</v>
      </c>
      <c r="F229" s="12">
        <v>18069.0</v>
      </c>
      <c r="G229" s="11">
        <v>-0.010232365</v>
      </c>
      <c r="H229" s="13">
        <v>-0.0102</v>
      </c>
      <c r="J229" s="15"/>
      <c r="K229" s="11"/>
      <c r="L229" s="11"/>
      <c r="M229" s="11"/>
      <c r="N229" s="11"/>
    </row>
    <row r="230" ht="15.75" customHeight="1">
      <c r="A230" s="35">
        <v>45021.0</v>
      </c>
      <c r="B230" s="38">
        <v>632.85</v>
      </c>
      <c r="C230" s="11">
        <f t="shared" si="1"/>
        <v>-0.001341328704</v>
      </c>
      <c r="D230" s="13">
        <f t="shared" si="2"/>
        <v>-0.001341328704</v>
      </c>
      <c r="E230" s="35">
        <v>45021.0</v>
      </c>
      <c r="F230" s="12">
        <v>18255.8</v>
      </c>
      <c r="G230" s="11">
        <v>0.009173653</v>
      </c>
      <c r="H230" s="13">
        <v>0.0092</v>
      </c>
      <c r="J230" s="15"/>
      <c r="K230" s="11"/>
      <c r="L230" s="11"/>
      <c r="M230" s="11"/>
      <c r="N230" s="11"/>
    </row>
    <row r="231" ht="15.75" customHeight="1">
      <c r="A231" s="35">
        <v>44990.0</v>
      </c>
      <c r="B231" s="38">
        <v>633.7</v>
      </c>
      <c r="C231" s="11">
        <f t="shared" si="1"/>
        <v>-0.02515191139</v>
      </c>
      <c r="D231" s="13">
        <f t="shared" si="2"/>
        <v>-0.02515191139</v>
      </c>
      <c r="E231" s="35">
        <v>44990.0</v>
      </c>
      <c r="F231" s="12">
        <v>18089.85</v>
      </c>
      <c r="G231" s="11">
        <v>-0.003184985</v>
      </c>
      <c r="H231" s="13">
        <v>-0.0032</v>
      </c>
      <c r="J231" s="15"/>
      <c r="K231" s="11"/>
      <c r="L231" s="11"/>
      <c r="M231" s="11"/>
      <c r="N231" s="11"/>
    </row>
    <row r="232" ht="15.75" customHeight="1">
      <c r="A232" s="35">
        <v>44962.0</v>
      </c>
      <c r="B232" s="38">
        <v>650.05</v>
      </c>
      <c r="C232" s="11">
        <f t="shared" si="1"/>
        <v>-0.01313192652</v>
      </c>
      <c r="D232" s="13">
        <f t="shared" si="2"/>
        <v>-0.01313192652</v>
      </c>
      <c r="E232" s="35">
        <v>44962.0</v>
      </c>
      <c r="F232" s="12">
        <v>18147.65</v>
      </c>
      <c r="G232" s="11">
        <v>0.004575145</v>
      </c>
      <c r="H232" s="13">
        <v>0.0046</v>
      </c>
      <c r="J232" s="15"/>
      <c r="K232" s="11"/>
      <c r="L232" s="11"/>
      <c r="M232" s="11"/>
      <c r="N232" s="11"/>
    </row>
    <row r="233" ht="15.75" customHeight="1">
      <c r="A233" s="11" t="s">
        <v>243</v>
      </c>
      <c r="B233" s="38">
        <v>658.7</v>
      </c>
      <c r="C233" s="11">
        <f t="shared" si="1"/>
        <v>0.04580455664</v>
      </c>
      <c r="D233" s="13">
        <f t="shared" si="2"/>
        <v>0.04580455664</v>
      </c>
      <c r="E233" s="11" t="s">
        <v>243</v>
      </c>
      <c r="F233" s="12">
        <v>18065.0</v>
      </c>
      <c r="G233" s="11">
        <v>0.008370058</v>
      </c>
      <c r="H233" s="13">
        <v>0.0084</v>
      </c>
      <c r="J233" s="15"/>
      <c r="K233" s="11"/>
      <c r="L233" s="11"/>
      <c r="M233" s="11"/>
      <c r="N233" s="11"/>
    </row>
    <row r="234" ht="15.75" customHeight="1">
      <c r="A234" s="11" t="s">
        <v>244</v>
      </c>
      <c r="B234" s="38">
        <v>629.85</v>
      </c>
      <c r="C234" s="11">
        <f t="shared" si="1"/>
        <v>0.0007149666349</v>
      </c>
      <c r="D234" s="13">
        <f t="shared" si="2"/>
        <v>0.0007149666349</v>
      </c>
      <c r="E234" s="11" t="s">
        <v>244</v>
      </c>
      <c r="F234" s="12">
        <v>17915.05</v>
      </c>
      <c r="G234" s="11">
        <v>0.005695087</v>
      </c>
      <c r="H234" s="13">
        <v>0.0057</v>
      </c>
      <c r="J234" s="15"/>
      <c r="K234" s="11"/>
      <c r="L234" s="11"/>
      <c r="M234" s="11"/>
      <c r="N234" s="11"/>
    </row>
    <row r="235" ht="15.75" customHeight="1">
      <c r="A235" s="11" t="s">
        <v>245</v>
      </c>
      <c r="B235" s="38">
        <v>629.4</v>
      </c>
      <c r="C235" s="11">
        <f t="shared" si="1"/>
        <v>-0.001507099231</v>
      </c>
      <c r="D235" s="13">
        <f t="shared" si="2"/>
        <v>-0.001507099231</v>
      </c>
      <c r="E235" s="11" t="s">
        <v>245</v>
      </c>
      <c r="F235" s="12">
        <v>17813.6</v>
      </c>
      <c r="G235" s="11">
        <v>0.002495885</v>
      </c>
      <c r="H235" s="13">
        <v>0.0025</v>
      </c>
      <c r="J235" s="15"/>
      <c r="K235" s="11"/>
      <c r="L235" s="11"/>
      <c r="M235" s="11"/>
      <c r="N235" s="11"/>
    </row>
    <row r="236" ht="15.75" customHeight="1">
      <c r="A236" s="11" t="s">
        <v>246</v>
      </c>
      <c r="B236" s="38">
        <v>630.35</v>
      </c>
      <c r="C236" s="11">
        <f t="shared" si="1"/>
        <v>-0.008649838798</v>
      </c>
      <c r="D236" s="13">
        <f t="shared" si="2"/>
        <v>-0.008649838798</v>
      </c>
      <c r="E236" s="11" t="s">
        <v>246</v>
      </c>
      <c r="F236" s="12">
        <v>17769.25</v>
      </c>
      <c r="G236" s="11">
        <v>0.00145688</v>
      </c>
      <c r="H236" s="13">
        <v>0.0015</v>
      </c>
      <c r="J236" s="15"/>
      <c r="K236" s="11"/>
      <c r="L236" s="11"/>
      <c r="M236" s="11"/>
      <c r="N236" s="11"/>
    </row>
    <row r="237" ht="15.75" customHeight="1">
      <c r="A237" s="11" t="s">
        <v>247</v>
      </c>
      <c r="B237" s="38">
        <v>635.85</v>
      </c>
      <c r="C237" s="11">
        <f t="shared" si="1"/>
        <v>0.003868013893</v>
      </c>
      <c r="D237" s="13">
        <f t="shared" si="2"/>
        <v>0.003868013893</v>
      </c>
      <c r="E237" s="11" t="s">
        <v>247</v>
      </c>
      <c r="F237" s="12">
        <v>17743.4</v>
      </c>
      <c r="G237" s="11">
        <v>0.006771996</v>
      </c>
      <c r="H237" s="13">
        <v>0.0068</v>
      </c>
      <c r="J237" s="15"/>
      <c r="K237" s="11"/>
      <c r="L237" s="11"/>
      <c r="M237" s="11"/>
      <c r="N237" s="11"/>
    </row>
    <row r="238" ht="15.75" customHeight="1">
      <c r="A238" s="11" t="s">
        <v>248</v>
      </c>
      <c r="B238" s="38">
        <v>633.4</v>
      </c>
      <c r="C238" s="11">
        <f t="shared" si="1"/>
        <v>-0.003069174471</v>
      </c>
      <c r="D238" s="13">
        <f t="shared" si="2"/>
        <v>-0.003069174471</v>
      </c>
      <c r="E238" s="11" t="s">
        <v>248</v>
      </c>
      <c r="F238" s="12">
        <v>17624.05</v>
      </c>
      <c r="G238" s="45">
        <v>-2.26957E-5</v>
      </c>
      <c r="H238" s="13">
        <v>0.0</v>
      </c>
      <c r="J238" s="15"/>
      <c r="K238" s="11"/>
      <c r="L238" s="11"/>
      <c r="M238" s="11"/>
      <c r="N238" s="11"/>
    </row>
    <row r="239" ht="15.75" customHeight="1">
      <c r="A239" s="11" t="s">
        <v>249</v>
      </c>
      <c r="B239" s="38">
        <v>635.35</v>
      </c>
      <c r="C239" s="11">
        <f t="shared" si="1"/>
        <v>0.01974159377</v>
      </c>
      <c r="D239" s="13">
        <f t="shared" si="2"/>
        <v>0.01974159377</v>
      </c>
      <c r="E239" s="11" t="s">
        <v>249</v>
      </c>
      <c r="F239" s="12">
        <v>17624.45</v>
      </c>
      <c r="G239" s="11">
        <v>3.23519E-4</v>
      </c>
      <c r="H239" s="13">
        <v>3.0E-4</v>
      </c>
      <c r="J239" s="15"/>
      <c r="K239" s="11"/>
      <c r="L239" s="11"/>
      <c r="M239" s="11"/>
      <c r="N239" s="11"/>
    </row>
    <row r="240" ht="15.75" customHeight="1">
      <c r="A240" s="11" t="s">
        <v>250</v>
      </c>
      <c r="B240" s="38">
        <v>623.05</v>
      </c>
      <c r="C240" s="11">
        <f t="shared" si="1"/>
        <v>-0.02197629699</v>
      </c>
      <c r="D240" s="13">
        <f t="shared" si="2"/>
        <v>-0.02197629699</v>
      </c>
      <c r="E240" s="11" t="s">
        <v>250</v>
      </c>
      <c r="F240" s="12">
        <v>17618.75</v>
      </c>
      <c r="G240" s="11">
        <v>-0.002344261</v>
      </c>
      <c r="H240" s="13">
        <v>-0.0023</v>
      </c>
      <c r="J240" s="15"/>
      <c r="K240" s="11"/>
      <c r="L240" s="11"/>
      <c r="M240" s="11"/>
      <c r="N240" s="11"/>
    </row>
    <row r="241" ht="15.75" customHeight="1">
      <c r="A241" s="11" t="s">
        <v>251</v>
      </c>
      <c r="B241" s="38">
        <v>637.05</v>
      </c>
      <c r="C241" s="11">
        <f t="shared" si="1"/>
        <v>-0.01682228567</v>
      </c>
      <c r="D241" s="13">
        <f t="shared" si="2"/>
        <v>-0.01682228567</v>
      </c>
      <c r="E241" s="11" t="s">
        <v>251</v>
      </c>
      <c r="F241" s="12">
        <v>17660.15</v>
      </c>
      <c r="G241" s="11">
        <v>-0.002637397</v>
      </c>
      <c r="H241" s="13">
        <v>-0.0026</v>
      </c>
      <c r="J241" s="15"/>
      <c r="K241" s="11"/>
      <c r="L241" s="11"/>
      <c r="M241" s="11"/>
      <c r="N241" s="11"/>
    </row>
    <row r="242" ht="15.75" customHeight="1">
      <c r="A242" s="11" t="s">
        <v>252</v>
      </c>
      <c r="B242" s="38">
        <v>647.95</v>
      </c>
      <c r="C242" s="11">
        <f t="shared" si="1"/>
        <v>0.01163153786</v>
      </c>
      <c r="D242" s="13">
        <f t="shared" si="2"/>
        <v>0.01163153786</v>
      </c>
      <c r="E242" s="11" t="s">
        <v>252</v>
      </c>
      <c r="F242" s="12">
        <v>17706.85</v>
      </c>
      <c r="G242" s="11">
        <v>-0.00679549</v>
      </c>
      <c r="H242" s="13">
        <v>-0.0068</v>
      </c>
      <c r="J242" s="15"/>
      <c r="K242" s="11"/>
      <c r="L242" s="11"/>
      <c r="M242" s="11"/>
      <c r="N242" s="11"/>
    </row>
    <row r="243" ht="15.75" customHeight="1">
      <c r="A243" s="11" t="s">
        <v>253</v>
      </c>
      <c r="B243" s="38">
        <v>640.5</v>
      </c>
      <c r="C243" s="11">
        <f t="shared" si="1"/>
        <v>0.03131792931</v>
      </c>
      <c r="D243" s="13">
        <f t="shared" si="2"/>
        <v>0.03131792931</v>
      </c>
      <c r="E243" s="11" t="s">
        <v>253</v>
      </c>
      <c r="F243" s="12">
        <v>17828.0</v>
      </c>
      <c r="G243" s="11">
        <v>8.75794E-4</v>
      </c>
      <c r="H243" s="13">
        <v>9.0E-4</v>
      </c>
      <c r="J243" s="15"/>
      <c r="K243" s="11"/>
      <c r="L243" s="11"/>
      <c r="M243" s="11"/>
      <c r="N243" s="11"/>
    </row>
    <row r="244" ht="15.75" customHeight="1">
      <c r="A244" s="35">
        <v>45264.0</v>
      </c>
      <c r="B244" s="38">
        <v>621.05</v>
      </c>
      <c r="C244" s="11">
        <f t="shared" si="1"/>
        <v>0.007952608943</v>
      </c>
      <c r="D244" s="13">
        <f t="shared" si="2"/>
        <v>0.007952608943</v>
      </c>
      <c r="E244" s="35">
        <v>45264.0</v>
      </c>
      <c r="F244" s="12">
        <v>17812.4</v>
      </c>
      <c r="G244" s="11">
        <v>0.00508399</v>
      </c>
      <c r="H244" s="13">
        <v>0.0051</v>
      </c>
      <c r="J244" s="15"/>
      <c r="K244" s="11"/>
      <c r="L244" s="11"/>
      <c r="M244" s="11"/>
      <c r="N244" s="11"/>
    </row>
    <row r="245" ht="15.75" customHeight="1">
      <c r="A245" s="35">
        <v>45234.0</v>
      </c>
      <c r="B245" s="38">
        <v>616.15</v>
      </c>
      <c r="C245" s="11">
        <f t="shared" si="1"/>
        <v>0.009006796037</v>
      </c>
      <c r="D245" s="13">
        <f t="shared" si="2"/>
        <v>0.009006796037</v>
      </c>
      <c r="E245" s="35">
        <v>45234.0</v>
      </c>
      <c r="F245" s="12">
        <v>17722.3</v>
      </c>
      <c r="G245" s="11">
        <v>0.005574769</v>
      </c>
      <c r="H245" s="13">
        <v>0.0056</v>
      </c>
      <c r="J245" s="15"/>
      <c r="K245" s="11"/>
      <c r="L245" s="11"/>
      <c r="M245" s="11"/>
      <c r="N245" s="11"/>
    </row>
    <row r="246" ht="15.75" customHeight="1">
      <c r="A246" s="35">
        <v>45203.0</v>
      </c>
      <c r="B246" s="38">
        <v>610.65</v>
      </c>
      <c r="C246" s="11">
        <f t="shared" si="1"/>
        <v>-0.005456026059</v>
      </c>
      <c r="D246" s="13">
        <f t="shared" si="2"/>
        <v>-0.005456026059</v>
      </c>
      <c r="E246" s="35">
        <v>45203.0</v>
      </c>
      <c r="F246" s="12">
        <v>17624.05</v>
      </c>
      <c r="G246" s="11">
        <v>0.001414841</v>
      </c>
      <c r="H246" s="13">
        <v>0.0014</v>
      </c>
      <c r="J246" s="15"/>
      <c r="K246" s="11"/>
      <c r="L246" s="11"/>
      <c r="M246" s="11"/>
      <c r="N246" s="11"/>
    </row>
    <row r="247" ht="15.75" customHeight="1">
      <c r="A247" s="35">
        <v>45081.0</v>
      </c>
      <c r="B247" s="38">
        <v>614.0</v>
      </c>
      <c r="C247" s="11">
        <f t="shared" si="1"/>
        <v>-0.01476251605</v>
      </c>
      <c r="D247" s="13">
        <f t="shared" si="2"/>
        <v>-0.01476251605</v>
      </c>
      <c r="E247" s="35">
        <v>45081.0</v>
      </c>
      <c r="F247" s="12">
        <v>17599.15</v>
      </c>
      <c r="G247" s="11">
        <v>0.002397897</v>
      </c>
      <c r="H247" s="13">
        <v>0.0024</v>
      </c>
      <c r="J247" s="15"/>
      <c r="K247" s="11"/>
      <c r="L247" s="11"/>
      <c r="M247" s="11"/>
      <c r="N247" s="11"/>
    </row>
    <row r="248" ht="15.75" customHeight="1">
      <c r="A248" s="35">
        <v>45050.0</v>
      </c>
      <c r="B248" s="38">
        <v>623.2</v>
      </c>
      <c r="C248" s="11">
        <f t="shared" si="1"/>
        <v>0.0250842997</v>
      </c>
      <c r="D248" s="13">
        <f t="shared" si="2"/>
        <v>0.0250842997</v>
      </c>
      <c r="E248" s="35">
        <v>45050.0</v>
      </c>
      <c r="F248" s="12">
        <v>17557.05</v>
      </c>
      <c r="G248" s="11">
        <v>0.009138955</v>
      </c>
      <c r="H248" s="13">
        <v>0.0091</v>
      </c>
      <c r="J248" s="15"/>
      <c r="K248" s="11"/>
      <c r="L248" s="11"/>
      <c r="M248" s="11"/>
      <c r="N248" s="11"/>
    </row>
    <row r="249" ht="15.75" customHeight="1">
      <c r="A249" s="35">
        <v>44989.0</v>
      </c>
      <c r="B249" s="38">
        <v>607.95</v>
      </c>
      <c r="C249" s="11">
        <f t="shared" si="1"/>
        <v>0.04674586777</v>
      </c>
      <c r="D249" s="13">
        <f t="shared" si="2"/>
        <v>0.04674586777</v>
      </c>
      <c r="E249" s="35">
        <v>44989.0</v>
      </c>
      <c r="F249" s="12">
        <v>17398.05</v>
      </c>
      <c r="G249" s="11">
        <v>0.002206253</v>
      </c>
      <c r="H249" s="13">
        <v>0.0022</v>
      </c>
      <c r="J249" s="15"/>
      <c r="K249" s="11"/>
      <c r="L249" s="11"/>
      <c r="M249" s="11"/>
      <c r="N249" s="11"/>
    </row>
    <row r="250" ht="15.75" customHeight="1">
      <c r="A250" s="11" t="s">
        <v>254</v>
      </c>
      <c r="B250" s="38">
        <v>580.8</v>
      </c>
      <c r="C250" s="11">
        <f t="shared" si="1"/>
        <v>0.02028985507</v>
      </c>
      <c r="D250" s="13">
        <f t="shared" si="2"/>
        <v>0.02028985507</v>
      </c>
      <c r="E250" s="11" t="s">
        <v>254</v>
      </c>
      <c r="F250" s="12">
        <v>17359.75</v>
      </c>
      <c r="G250" s="11">
        <v>0.016337152</v>
      </c>
      <c r="H250" s="13">
        <v>0.0163</v>
      </c>
      <c r="J250" s="15"/>
      <c r="K250" s="11"/>
      <c r="L250" s="11"/>
      <c r="M250" s="11"/>
      <c r="N250" s="11"/>
    </row>
    <row r="251" ht="15.75" customHeight="1">
      <c r="A251" s="11" t="s">
        <v>255</v>
      </c>
      <c r="B251" s="38">
        <v>569.25</v>
      </c>
      <c r="C251" s="11">
        <f t="shared" si="1"/>
        <v>0.0002635740643</v>
      </c>
      <c r="D251" s="13">
        <f t="shared" si="2"/>
        <v>0.0002635740643</v>
      </c>
      <c r="E251" s="11" t="s">
        <v>255</v>
      </c>
      <c r="F251" s="12">
        <v>17080.7</v>
      </c>
      <c r="G251" s="11">
        <v>0.007609856</v>
      </c>
      <c r="H251" s="13">
        <v>0.0076</v>
      </c>
      <c r="J251" s="15"/>
      <c r="K251" s="11"/>
      <c r="L251" s="11"/>
      <c r="M251" s="11"/>
      <c r="N251" s="11"/>
    </row>
    <row r="252" ht="15.75" customHeight="1">
      <c r="A252" s="11" t="s">
        <v>256</v>
      </c>
      <c r="B252" s="38">
        <v>569.1</v>
      </c>
      <c r="C252" s="11">
        <f t="shared" si="1"/>
        <v>0.003261348612</v>
      </c>
      <c r="D252" s="13">
        <f t="shared" si="2"/>
        <v>0.003261348612</v>
      </c>
      <c r="E252" s="11" t="s">
        <v>256</v>
      </c>
      <c r="F252" s="12">
        <v>16951.7</v>
      </c>
      <c r="G252" s="11">
        <v>-0.002001684</v>
      </c>
      <c r="H252" s="13">
        <v>-0.002</v>
      </c>
      <c r="J252" s="15"/>
      <c r="K252" s="11"/>
      <c r="L252" s="11"/>
      <c r="M252" s="11"/>
      <c r="N252" s="11"/>
    </row>
    <row r="253" ht="15.75" customHeight="1">
      <c r="A253" s="11" t="s">
        <v>257</v>
      </c>
      <c r="B253" s="38">
        <v>567.25</v>
      </c>
      <c r="C253" s="11">
        <f t="shared" si="1"/>
        <v>-0.01740862636</v>
      </c>
      <c r="D253" s="13">
        <f t="shared" si="2"/>
        <v>-0.01740862636</v>
      </c>
      <c r="E253" s="11" t="s">
        <v>257</v>
      </c>
      <c r="F253" s="12">
        <v>16985.7</v>
      </c>
      <c r="G253" s="11">
        <v>0.002398931</v>
      </c>
      <c r="H253" s="13">
        <v>0.0024</v>
      </c>
      <c r="J253" s="15"/>
      <c r="K253" s="11"/>
      <c r="L253" s="11"/>
      <c r="M253" s="11"/>
      <c r="N253" s="11"/>
    </row>
    <row r="254" ht="15.75" customHeight="1">
      <c r="A254" s="11" t="s">
        <v>258</v>
      </c>
      <c r="B254" s="38">
        <v>577.3</v>
      </c>
      <c r="C254" s="11">
        <f t="shared" si="1"/>
        <v>-0.02227114912</v>
      </c>
      <c r="D254" s="13">
        <f t="shared" si="2"/>
        <v>-0.02227114912</v>
      </c>
      <c r="E254" s="11" t="s">
        <v>258</v>
      </c>
      <c r="F254" s="12">
        <v>16945.05</v>
      </c>
      <c r="G254" s="11">
        <v>-0.007720956</v>
      </c>
      <c r="H254" s="13">
        <v>-0.0077</v>
      </c>
      <c r="J254" s="15"/>
      <c r="K254" s="11"/>
      <c r="L254" s="11"/>
      <c r="M254" s="11"/>
      <c r="N254" s="11"/>
    </row>
    <row r="255" ht="15.75" customHeight="1">
      <c r="A255" s="11" t="s">
        <v>259</v>
      </c>
      <c r="B255" s="38">
        <v>590.45</v>
      </c>
      <c r="C255" s="11">
        <f t="shared" si="1"/>
        <v>-0.00008467400508</v>
      </c>
      <c r="D255" s="13">
        <f t="shared" si="2"/>
        <v>-0.00008467400508</v>
      </c>
      <c r="E255" s="11" t="s">
        <v>259</v>
      </c>
      <c r="F255" s="12">
        <v>17076.9</v>
      </c>
      <c r="G255" s="11">
        <v>-0.004372693</v>
      </c>
      <c r="H255" s="13">
        <v>-0.0044</v>
      </c>
      <c r="J255" s="15"/>
      <c r="K255" s="11"/>
      <c r="L255" s="11"/>
      <c r="M255" s="11"/>
      <c r="N255" s="11"/>
    </row>
    <row r="256" ht="15.75" customHeight="1">
      <c r="A256" s="11" t="s">
        <v>260</v>
      </c>
      <c r="B256" s="38">
        <v>590.5</v>
      </c>
      <c r="C256" s="11">
        <f t="shared" si="1"/>
        <v>0.01451765312</v>
      </c>
      <c r="D256" s="13">
        <f t="shared" si="2"/>
        <v>0.01451765312</v>
      </c>
      <c r="E256" s="11" t="s">
        <v>260</v>
      </c>
      <c r="F256" s="12">
        <v>17151.9</v>
      </c>
      <c r="G256" s="11">
        <v>0.002595353</v>
      </c>
      <c r="H256" s="13">
        <v>0.0026</v>
      </c>
      <c r="J256" s="15"/>
      <c r="K256" s="11"/>
      <c r="L256" s="11"/>
      <c r="M256" s="11"/>
      <c r="N256" s="11"/>
    </row>
    <row r="257" ht="15.75" customHeight="1">
      <c r="A257" s="11" t="s">
        <v>261</v>
      </c>
      <c r="B257" s="38">
        <v>582.05</v>
      </c>
      <c r="C257" s="11">
        <f t="shared" si="1"/>
        <v>-0.005552708013</v>
      </c>
      <c r="D257" s="13">
        <f t="shared" si="2"/>
        <v>-0.005552708013</v>
      </c>
      <c r="E257" s="11" t="s">
        <v>261</v>
      </c>
      <c r="F257" s="12">
        <v>17107.5</v>
      </c>
      <c r="G257" s="11">
        <v>0.007010666</v>
      </c>
      <c r="H257" s="13">
        <v>0.007</v>
      </c>
      <c r="J257" s="15"/>
      <c r="K257" s="11"/>
      <c r="L257" s="11"/>
      <c r="M257" s="11"/>
      <c r="N257" s="11"/>
    </row>
    <row r="258" ht="15.75" customHeight="1">
      <c r="A258" s="11" t="s">
        <v>262</v>
      </c>
      <c r="B258" s="38">
        <v>585.3</v>
      </c>
      <c r="C258" s="11">
        <f t="shared" si="1"/>
        <v>-0.01737597582</v>
      </c>
      <c r="D258" s="13">
        <f t="shared" si="2"/>
        <v>-0.01737597582</v>
      </c>
      <c r="E258" s="11" t="s">
        <v>262</v>
      </c>
      <c r="F258" s="12">
        <v>16988.4</v>
      </c>
      <c r="G258" s="11">
        <v>-0.006529221</v>
      </c>
      <c r="H258" s="13">
        <v>-0.0065</v>
      </c>
      <c r="J258" s="15"/>
      <c r="K258" s="11"/>
      <c r="L258" s="11"/>
      <c r="M258" s="11"/>
      <c r="N258" s="11"/>
    </row>
    <row r="259" ht="15.75" customHeight="1">
      <c r="A259" s="11" t="s">
        <v>263</v>
      </c>
      <c r="B259" s="38">
        <v>595.65</v>
      </c>
      <c r="C259" s="11">
        <f t="shared" si="1"/>
        <v>0.01872755259</v>
      </c>
      <c r="D259" s="13">
        <f t="shared" si="2"/>
        <v>0.01872755259</v>
      </c>
      <c r="E259" s="11" t="s">
        <v>263</v>
      </c>
      <c r="F259" s="12">
        <v>17100.05</v>
      </c>
      <c r="G259" s="11">
        <v>0.00673806</v>
      </c>
      <c r="H259" s="13">
        <v>0.0067</v>
      </c>
      <c r="J259" s="15"/>
      <c r="K259" s="11"/>
      <c r="L259" s="11"/>
      <c r="M259" s="11"/>
      <c r="N259" s="11"/>
    </row>
    <row r="260" ht="15.75" customHeight="1">
      <c r="A260" s="11" t="s">
        <v>264</v>
      </c>
      <c r="B260" s="38">
        <v>584.7</v>
      </c>
      <c r="C260" s="11">
        <f t="shared" si="1"/>
        <v>0.005416559195</v>
      </c>
      <c r="D260" s="13">
        <f t="shared" si="2"/>
        <v>0.005416559195</v>
      </c>
      <c r="E260" s="11" t="s">
        <v>264</v>
      </c>
      <c r="F260" s="12">
        <v>16985.6</v>
      </c>
      <c r="G260" s="11">
        <v>7.92475E-4</v>
      </c>
      <c r="H260" s="13">
        <v>8.0E-4</v>
      </c>
      <c r="J260" s="15"/>
      <c r="K260" s="11"/>
      <c r="L260" s="11"/>
      <c r="M260" s="11"/>
      <c r="N260" s="11"/>
    </row>
    <row r="261" ht="15.75" customHeight="1">
      <c r="A261" s="11" t="s">
        <v>265</v>
      </c>
      <c r="B261" s="38">
        <v>581.55</v>
      </c>
      <c r="C261" s="11">
        <f t="shared" si="1"/>
        <v>-0.008862377503</v>
      </c>
      <c r="D261" s="13">
        <f t="shared" si="2"/>
        <v>-0.008862377503</v>
      </c>
      <c r="E261" s="11" t="s">
        <v>265</v>
      </c>
      <c r="F261" s="12">
        <v>16972.15</v>
      </c>
      <c r="G261" s="11">
        <v>-0.004174661</v>
      </c>
      <c r="H261" s="13">
        <v>-0.0042</v>
      </c>
      <c r="J261" s="15"/>
      <c r="K261" s="11"/>
      <c r="L261" s="11"/>
      <c r="M261" s="11"/>
      <c r="N261" s="11"/>
    </row>
    <row r="262" ht="15.75" customHeight="1">
      <c r="A262" s="11" t="s">
        <v>266</v>
      </c>
      <c r="B262" s="38">
        <v>586.75</v>
      </c>
      <c r="C262" s="11">
        <f t="shared" si="1"/>
        <v>-0.007778811195</v>
      </c>
      <c r="D262" s="13">
        <f t="shared" si="2"/>
        <v>-0.007778811195</v>
      </c>
      <c r="E262" s="11" t="s">
        <v>266</v>
      </c>
      <c r="F262" s="12">
        <v>17043.3</v>
      </c>
      <c r="G262" s="11">
        <v>-0.006470681</v>
      </c>
      <c r="H262" s="13">
        <v>-0.0065</v>
      </c>
      <c r="J262" s="15"/>
      <c r="K262" s="11"/>
      <c r="L262" s="11"/>
      <c r="M262" s="11"/>
      <c r="N262" s="11"/>
    </row>
    <row r="263" ht="15.75" customHeight="1">
      <c r="A263" s="11" t="s">
        <v>267</v>
      </c>
      <c r="B263" s="38">
        <v>591.35</v>
      </c>
      <c r="C263" s="11">
        <f t="shared" si="1"/>
        <v>-0.0638011557</v>
      </c>
      <c r="D263" s="13">
        <f t="shared" si="2"/>
        <v>-0.0638011557</v>
      </c>
      <c r="E263" s="11" t="s">
        <v>267</v>
      </c>
      <c r="F263" s="12">
        <v>17154.3</v>
      </c>
      <c r="G263" s="11">
        <v>-0.014851059</v>
      </c>
      <c r="H263" s="13">
        <v>-0.0149</v>
      </c>
      <c r="J263" s="15"/>
      <c r="K263" s="11"/>
      <c r="L263" s="11"/>
      <c r="M263" s="11"/>
      <c r="N263" s="11"/>
    </row>
    <row r="264" ht="15.75" customHeight="1">
      <c r="A264" s="35">
        <v>45202.0</v>
      </c>
      <c r="B264" s="38">
        <v>631.65</v>
      </c>
      <c r="C264" s="11">
        <f t="shared" si="1"/>
        <v>0.0008714942164</v>
      </c>
      <c r="D264" s="13">
        <f t="shared" si="2"/>
        <v>0.0008714942164</v>
      </c>
      <c r="E264" s="35">
        <v>45202.0</v>
      </c>
      <c r="F264" s="12">
        <v>17412.9</v>
      </c>
      <c r="G264" s="11">
        <v>-0.010045709</v>
      </c>
      <c r="H264" s="13">
        <v>-0.01</v>
      </c>
      <c r="J264" s="15"/>
      <c r="K264" s="11"/>
      <c r="L264" s="11"/>
      <c r="M264" s="11"/>
      <c r="N264" s="11"/>
    </row>
    <row r="265" ht="15.75" customHeight="1">
      <c r="A265" s="35">
        <v>45172.0</v>
      </c>
      <c r="B265" s="38">
        <v>631.1</v>
      </c>
      <c r="C265" s="11">
        <f t="shared" si="1"/>
        <v>0.005336519315</v>
      </c>
      <c r="D265" s="13">
        <f t="shared" si="2"/>
        <v>0.005336519315</v>
      </c>
      <c r="E265" s="35">
        <v>45172.0</v>
      </c>
      <c r="F265" s="12">
        <v>17589.6</v>
      </c>
      <c r="G265" s="11">
        <v>-0.009282206</v>
      </c>
      <c r="H265" s="13">
        <v>-0.0093</v>
      </c>
      <c r="J265" s="15"/>
      <c r="K265" s="11"/>
      <c r="L265" s="11"/>
      <c r="M265" s="11"/>
      <c r="N265" s="11"/>
    </row>
    <row r="266" ht="15.75" customHeight="1">
      <c r="A266" s="35">
        <v>45141.0</v>
      </c>
      <c r="B266" s="38">
        <v>627.75</v>
      </c>
      <c r="C266" s="11">
        <f t="shared" si="1"/>
        <v>0.02239413681</v>
      </c>
      <c r="D266" s="13">
        <f t="shared" si="2"/>
        <v>0.02239413681</v>
      </c>
      <c r="E266" s="35">
        <v>45141.0</v>
      </c>
      <c r="F266" s="12">
        <v>17754.4</v>
      </c>
      <c r="G266" s="11">
        <v>0.002424985</v>
      </c>
      <c r="H266" s="13">
        <v>0.0024</v>
      </c>
      <c r="J266" s="15"/>
      <c r="K266" s="11"/>
      <c r="L266" s="11"/>
      <c r="M266" s="11"/>
      <c r="N266" s="11"/>
    </row>
    <row r="267" ht="15.75" customHeight="1">
      <c r="A267" s="35">
        <v>45080.0</v>
      </c>
      <c r="B267" s="38">
        <v>614.0</v>
      </c>
      <c r="C267" s="11">
        <f t="shared" si="1"/>
        <v>0.06615731898</v>
      </c>
      <c r="D267" s="13">
        <f t="shared" si="2"/>
        <v>0.06615731898</v>
      </c>
      <c r="E267" s="35">
        <v>45080.0</v>
      </c>
      <c r="F267" s="12">
        <v>17711.45</v>
      </c>
      <c r="G267" s="11">
        <v>0.006655546</v>
      </c>
      <c r="H267" s="13">
        <v>0.0067</v>
      </c>
      <c r="J267" s="15"/>
      <c r="K267" s="11"/>
      <c r="L267" s="11"/>
      <c r="M267" s="11"/>
      <c r="N267" s="11"/>
    </row>
    <row r="268" ht="15.75" customHeight="1">
      <c r="A268" s="35">
        <v>44988.0</v>
      </c>
      <c r="B268" s="38">
        <v>575.9</v>
      </c>
      <c r="C268" s="11">
        <f t="shared" si="1"/>
        <v>0.02001416932</v>
      </c>
      <c r="D268" s="13">
        <f t="shared" si="2"/>
        <v>0.02001416932</v>
      </c>
      <c r="E268" s="35">
        <v>44988.0</v>
      </c>
      <c r="F268" s="12">
        <v>17594.35</v>
      </c>
      <c r="G268" s="11">
        <v>0.015728644</v>
      </c>
      <c r="H268" s="13">
        <v>0.0157</v>
      </c>
      <c r="J268" s="15"/>
      <c r="K268" s="11"/>
      <c r="L268" s="11"/>
      <c r="M268" s="11"/>
      <c r="N268" s="11"/>
    </row>
    <row r="269" ht="15.75" customHeight="1">
      <c r="A269" s="35">
        <v>44960.0</v>
      </c>
      <c r="B269" s="38">
        <v>564.6</v>
      </c>
      <c r="C269" s="11">
        <f t="shared" si="1"/>
        <v>-0.009560564863</v>
      </c>
      <c r="D269" s="13">
        <f t="shared" si="2"/>
        <v>-0.009560564863</v>
      </c>
      <c r="E269" s="35">
        <v>44960.0</v>
      </c>
      <c r="F269" s="12">
        <v>17321.9</v>
      </c>
      <c r="G269" s="11">
        <v>-0.007392169</v>
      </c>
      <c r="H269" s="13">
        <v>-0.0074</v>
      </c>
      <c r="J269" s="15"/>
      <c r="K269" s="11"/>
      <c r="L269" s="11"/>
      <c r="M269" s="11"/>
      <c r="N269" s="11"/>
    </row>
    <row r="270" ht="15.75" customHeight="1">
      <c r="A270" s="35">
        <v>44929.0</v>
      </c>
      <c r="B270" s="38">
        <v>570.05</v>
      </c>
      <c r="C270" s="11">
        <f t="shared" si="1"/>
        <v>0.01931157801</v>
      </c>
      <c r="D270" s="13">
        <f t="shared" si="2"/>
        <v>0.01931157801</v>
      </c>
      <c r="E270" s="35">
        <v>44929.0</v>
      </c>
      <c r="F270" s="12">
        <v>17450.9</v>
      </c>
      <c r="G270" s="11">
        <v>0.008492281</v>
      </c>
      <c r="H270" s="13">
        <v>0.0085</v>
      </c>
      <c r="J270" s="15"/>
      <c r="K270" s="11"/>
      <c r="L270" s="11"/>
      <c r="M270" s="11"/>
      <c r="N270" s="11"/>
    </row>
    <row r="271" ht="15.75" customHeight="1">
      <c r="A271" s="11" t="s">
        <v>268</v>
      </c>
      <c r="B271" s="38">
        <v>559.25</v>
      </c>
      <c r="C271" s="11">
        <f t="shared" si="1"/>
        <v>0.01084500678</v>
      </c>
      <c r="D271" s="13">
        <f t="shared" si="2"/>
        <v>0.01084500678</v>
      </c>
      <c r="E271" s="11" t="s">
        <v>268</v>
      </c>
      <c r="F271" s="12">
        <v>17303.95</v>
      </c>
      <c r="G271" s="11">
        <v>-0.005102716</v>
      </c>
      <c r="H271" s="13">
        <v>-0.0051</v>
      </c>
      <c r="J271" s="15"/>
      <c r="K271" s="11"/>
      <c r="L271" s="11"/>
      <c r="M271" s="11"/>
      <c r="N271" s="11"/>
    </row>
    <row r="272" ht="15.75" customHeight="1">
      <c r="A272" s="11" t="s">
        <v>269</v>
      </c>
      <c r="B272" s="38">
        <v>553.25</v>
      </c>
      <c r="C272" s="11">
        <f t="shared" si="1"/>
        <v>-0.03581387243</v>
      </c>
      <c r="D272" s="13">
        <f t="shared" si="2"/>
        <v>-0.03581387243</v>
      </c>
      <c r="E272" s="11" t="s">
        <v>269</v>
      </c>
      <c r="F272" s="12">
        <v>17392.7</v>
      </c>
      <c r="G272" s="11">
        <v>-0.004185322</v>
      </c>
      <c r="H272" s="13">
        <v>-0.0042</v>
      </c>
      <c r="J272" s="15"/>
      <c r="K272" s="11"/>
      <c r="L272" s="11"/>
      <c r="M272" s="11"/>
      <c r="N272" s="11"/>
    </row>
    <row r="273" ht="15.75" customHeight="1">
      <c r="A273" s="11" t="s">
        <v>270</v>
      </c>
      <c r="B273" s="38">
        <v>573.8</v>
      </c>
      <c r="C273" s="11">
        <f t="shared" si="1"/>
        <v>0.02154174826</v>
      </c>
      <c r="D273" s="13">
        <f t="shared" si="2"/>
        <v>0.02154174826</v>
      </c>
      <c r="E273" s="11" t="s">
        <v>270</v>
      </c>
      <c r="F273" s="12">
        <v>17465.8</v>
      </c>
      <c r="G273" s="11">
        <v>-0.002595474</v>
      </c>
      <c r="H273" s="13">
        <v>-0.0026</v>
      </c>
      <c r="J273" s="15"/>
      <c r="K273" s="11"/>
      <c r="L273" s="11"/>
      <c r="M273" s="11"/>
      <c r="N273" s="11"/>
    </row>
    <row r="274" ht="15.75" customHeight="1">
      <c r="A274" s="11" t="s">
        <v>271</v>
      </c>
      <c r="B274" s="38">
        <v>561.7</v>
      </c>
      <c r="C274" s="11">
        <f t="shared" si="1"/>
        <v>-0.05991631799</v>
      </c>
      <c r="D274" s="13">
        <f t="shared" si="2"/>
        <v>-0.05991631799</v>
      </c>
      <c r="E274" s="11" t="s">
        <v>271</v>
      </c>
      <c r="F274" s="12">
        <v>17511.25</v>
      </c>
      <c r="G274" s="11">
        <v>-0.002452391</v>
      </c>
      <c r="H274" s="13">
        <v>-0.0025</v>
      </c>
      <c r="J274" s="15"/>
      <c r="K274" s="11"/>
      <c r="L274" s="11"/>
      <c r="M274" s="11"/>
      <c r="N274" s="11"/>
    </row>
    <row r="275" ht="15.75" customHeight="1">
      <c r="A275" s="11" t="s">
        <v>272</v>
      </c>
      <c r="B275" s="38">
        <v>597.5</v>
      </c>
      <c r="C275" s="11">
        <f t="shared" si="1"/>
        <v>-0.008956709239</v>
      </c>
      <c r="D275" s="13">
        <f t="shared" si="2"/>
        <v>-0.008956709239</v>
      </c>
      <c r="E275" s="11" t="s">
        <v>272</v>
      </c>
      <c r="F275" s="12">
        <v>17554.3</v>
      </c>
      <c r="G275" s="11">
        <v>-0.01528045</v>
      </c>
      <c r="H275" s="13">
        <v>-0.0153</v>
      </c>
      <c r="J275" s="15"/>
      <c r="K275" s="11"/>
      <c r="L275" s="11"/>
      <c r="M275" s="11"/>
      <c r="N275" s="11"/>
    </row>
    <row r="276" ht="15.75" customHeight="1">
      <c r="A276" s="11" t="s">
        <v>273</v>
      </c>
      <c r="B276" s="38">
        <v>602.9</v>
      </c>
      <c r="C276" s="11">
        <f t="shared" si="1"/>
        <v>0.00157820417</v>
      </c>
      <c r="D276" s="13">
        <f t="shared" si="2"/>
        <v>0.00157820417</v>
      </c>
      <c r="E276" s="11" t="s">
        <v>273</v>
      </c>
      <c r="F276" s="12">
        <v>17826.7</v>
      </c>
      <c r="G276" s="11">
        <v>-0.001003105</v>
      </c>
      <c r="H276" s="13">
        <v>-0.001</v>
      </c>
      <c r="J276" s="15"/>
      <c r="K276" s="11"/>
      <c r="L276" s="11"/>
      <c r="M276" s="11"/>
      <c r="N276" s="11"/>
    </row>
    <row r="277" ht="15.75" customHeight="1">
      <c r="A277" s="11" t="s">
        <v>274</v>
      </c>
      <c r="B277" s="38">
        <v>601.95</v>
      </c>
      <c r="C277" s="11">
        <f t="shared" si="1"/>
        <v>-0.01585874275</v>
      </c>
      <c r="D277" s="13">
        <f t="shared" si="2"/>
        <v>-0.01585874275</v>
      </c>
      <c r="E277" s="11" t="s">
        <v>274</v>
      </c>
      <c r="F277" s="12">
        <v>17844.6</v>
      </c>
      <c r="G277" s="11">
        <v>-0.00555054</v>
      </c>
      <c r="H277" s="13">
        <v>-0.0056</v>
      </c>
      <c r="J277" s="15"/>
      <c r="K277" s="11"/>
      <c r="L277" s="11"/>
      <c r="M277" s="11"/>
      <c r="N277" s="11"/>
    </row>
    <row r="278" ht="15.75" customHeight="1">
      <c r="A278" s="11" t="s">
        <v>275</v>
      </c>
      <c r="B278" s="38">
        <v>611.65</v>
      </c>
      <c r="C278" s="11">
        <f t="shared" si="1"/>
        <v>-0.04160137888</v>
      </c>
      <c r="D278" s="13">
        <f t="shared" si="2"/>
        <v>-0.04160137888</v>
      </c>
      <c r="E278" s="11" t="s">
        <v>275</v>
      </c>
      <c r="F278" s="12">
        <v>17944.2</v>
      </c>
      <c r="G278" s="11">
        <v>-0.005081546</v>
      </c>
      <c r="H278" s="13">
        <v>-0.0051</v>
      </c>
      <c r="J278" s="15"/>
      <c r="K278" s="11"/>
      <c r="L278" s="11"/>
      <c r="M278" s="11"/>
      <c r="N278" s="11"/>
    </row>
    <row r="279" ht="15.75" customHeight="1">
      <c r="A279" s="11" t="s">
        <v>276</v>
      </c>
      <c r="B279" s="38">
        <v>638.2</v>
      </c>
      <c r="C279" s="11">
        <f t="shared" si="1"/>
        <v>0.08123676408</v>
      </c>
      <c r="D279" s="13">
        <f t="shared" si="2"/>
        <v>0.08123676408</v>
      </c>
      <c r="E279" s="11" t="s">
        <v>276</v>
      </c>
      <c r="F279" s="12">
        <v>18035.85</v>
      </c>
      <c r="G279" s="11">
        <v>0.001110134</v>
      </c>
      <c r="H279" s="13">
        <v>0.0011</v>
      </c>
      <c r="J279" s="15"/>
      <c r="K279" s="11"/>
      <c r="L279" s="11"/>
      <c r="M279" s="11"/>
      <c r="N279" s="11"/>
    </row>
    <row r="280" ht="15.75" customHeight="1">
      <c r="A280" s="11" t="s">
        <v>277</v>
      </c>
      <c r="B280" s="38">
        <v>590.25</v>
      </c>
      <c r="C280" s="11">
        <f t="shared" si="1"/>
        <v>0.1011099711</v>
      </c>
      <c r="D280" s="13">
        <f t="shared" si="2"/>
        <v>0.1011099711</v>
      </c>
      <c r="E280" s="11" t="s">
        <v>277</v>
      </c>
      <c r="F280" s="12">
        <v>18015.85</v>
      </c>
      <c r="G280" s="11">
        <v>0.004796471</v>
      </c>
      <c r="H280" s="13">
        <v>0.0048</v>
      </c>
      <c r="J280" s="15"/>
      <c r="K280" s="11"/>
      <c r="L280" s="11"/>
      <c r="M280" s="11"/>
      <c r="N280" s="11"/>
    </row>
    <row r="281" ht="15.75" customHeight="1">
      <c r="A281" s="11" t="s">
        <v>278</v>
      </c>
      <c r="B281" s="38">
        <v>536.05</v>
      </c>
      <c r="C281" s="11">
        <f t="shared" si="1"/>
        <v>-0.008691631993</v>
      </c>
      <c r="D281" s="13">
        <f t="shared" si="2"/>
        <v>-0.008691631993</v>
      </c>
      <c r="E281" s="11" t="s">
        <v>278</v>
      </c>
      <c r="F281" s="12">
        <v>17929.85</v>
      </c>
      <c r="G281" s="11">
        <v>0.008944398</v>
      </c>
      <c r="H281" s="13">
        <v>0.0089</v>
      </c>
      <c r="J281" s="15"/>
      <c r="K281" s="11"/>
      <c r="L281" s="11"/>
      <c r="M281" s="11"/>
      <c r="N281" s="11"/>
    </row>
    <row r="282" ht="15.75" customHeight="1">
      <c r="A282" s="11" t="s">
        <v>279</v>
      </c>
      <c r="B282" s="38">
        <v>540.75</v>
      </c>
      <c r="C282" s="11">
        <f t="shared" si="1"/>
        <v>-0.003133929394</v>
      </c>
      <c r="D282" s="13">
        <f t="shared" si="2"/>
        <v>-0.003133929394</v>
      </c>
      <c r="E282" s="11" t="s">
        <v>279</v>
      </c>
      <c r="F282" s="12">
        <v>17770.9</v>
      </c>
      <c r="G282" s="11">
        <v>-0.004793773</v>
      </c>
      <c r="H282" s="13">
        <v>-0.0048</v>
      </c>
      <c r="J282" s="15"/>
      <c r="K282" s="11"/>
      <c r="L282" s="11"/>
      <c r="M282" s="11"/>
      <c r="N282" s="11"/>
    </row>
    <row r="283" ht="15.75" customHeight="1">
      <c r="A283" s="35">
        <v>45201.0</v>
      </c>
      <c r="B283" s="38">
        <v>542.45</v>
      </c>
      <c r="C283" s="11">
        <f t="shared" si="1"/>
        <v>0.001107317523</v>
      </c>
      <c r="D283" s="13">
        <f t="shared" si="2"/>
        <v>0.001107317523</v>
      </c>
      <c r="E283" s="35">
        <v>45201.0</v>
      </c>
      <c r="F283" s="12">
        <v>17856.5</v>
      </c>
      <c r="G283" s="11">
        <v>-0.002065001</v>
      </c>
      <c r="H283" s="13">
        <v>-0.0021</v>
      </c>
      <c r="J283" s="15"/>
      <c r="K283" s="11"/>
      <c r="L283" s="11"/>
      <c r="M283" s="11"/>
      <c r="N283" s="11"/>
    </row>
    <row r="284" ht="15.75" customHeight="1">
      <c r="A284" s="35">
        <v>45171.0</v>
      </c>
      <c r="B284" s="38">
        <v>541.85</v>
      </c>
      <c r="C284" s="11">
        <f t="shared" si="1"/>
        <v>-0.005414831131</v>
      </c>
      <c r="D284" s="13">
        <f t="shared" si="2"/>
        <v>-0.005414831131</v>
      </c>
      <c r="E284" s="35">
        <v>45171.0</v>
      </c>
      <c r="F284" s="12">
        <v>17893.45</v>
      </c>
      <c r="G284" s="11">
        <v>0.001217008</v>
      </c>
      <c r="H284" s="13">
        <v>0.0012</v>
      </c>
      <c r="J284" s="15"/>
      <c r="K284" s="11"/>
      <c r="L284" s="11"/>
      <c r="M284" s="11"/>
      <c r="N284" s="11"/>
    </row>
    <row r="285" ht="15.75" customHeight="1">
      <c r="A285" s="35">
        <v>45140.0</v>
      </c>
      <c r="B285" s="38">
        <v>544.8</v>
      </c>
      <c r="C285" s="11">
        <f t="shared" si="1"/>
        <v>-0.01740463522</v>
      </c>
      <c r="D285" s="13">
        <f t="shared" si="2"/>
        <v>-0.01740463522</v>
      </c>
      <c r="E285" s="35">
        <v>45140.0</v>
      </c>
      <c r="F285" s="12">
        <v>17871.7</v>
      </c>
      <c r="G285" s="11">
        <v>0.008475581</v>
      </c>
      <c r="H285" s="13">
        <v>0.0085</v>
      </c>
      <c r="J285" s="15"/>
      <c r="K285" s="11"/>
      <c r="L285" s="11"/>
      <c r="M285" s="11"/>
      <c r="N285" s="11"/>
    </row>
    <row r="286" ht="15.75" customHeight="1">
      <c r="A286" s="35">
        <v>45109.0</v>
      </c>
      <c r="B286" s="38">
        <v>554.45</v>
      </c>
      <c r="C286" s="11">
        <f t="shared" si="1"/>
        <v>0.0143615075</v>
      </c>
      <c r="D286" s="13">
        <f t="shared" si="2"/>
        <v>0.0143615075</v>
      </c>
      <c r="E286" s="35">
        <v>45109.0</v>
      </c>
      <c r="F286" s="12">
        <v>17721.5</v>
      </c>
      <c r="G286" s="11">
        <v>-0.002426173</v>
      </c>
      <c r="H286" s="13">
        <v>-0.0024</v>
      </c>
      <c r="J286" s="15"/>
      <c r="K286" s="11"/>
      <c r="L286" s="11"/>
      <c r="M286" s="11"/>
      <c r="N286" s="11"/>
    </row>
    <row r="287" ht="15.75" customHeight="1">
      <c r="A287" s="35">
        <v>45079.0</v>
      </c>
      <c r="B287" s="38">
        <v>546.6</v>
      </c>
      <c r="C287" s="11">
        <f t="shared" si="1"/>
        <v>-0.006723605306</v>
      </c>
      <c r="D287" s="13">
        <f t="shared" si="2"/>
        <v>-0.006723605306</v>
      </c>
      <c r="E287" s="35">
        <v>45079.0</v>
      </c>
      <c r="F287" s="12">
        <v>17764.6</v>
      </c>
      <c r="G287" s="11">
        <v>-0.005010068</v>
      </c>
      <c r="H287" s="13">
        <v>-0.005</v>
      </c>
      <c r="J287" s="15"/>
      <c r="K287" s="11"/>
      <c r="L287" s="11"/>
      <c r="M287" s="11"/>
      <c r="N287" s="11"/>
    </row>
    <row r="288" ht="15.75" customHeight="1">
      <c r="A288" s="35">
        <v>44987.0</v>
      </c>
      <c r="B288" s="38">
        <v>550.3</v>
      </c>
      <c r="C288" s="11">
        <f t="shared" si="1"/>
        <v>0.01288422603</v>
      </c>
      <c r="D288" s="13">
        <f t="shared" si="2"/>
        <v>0.01288422603</v>
      </c>
      <c r="E288" s="35">
        <v>44987.0</v>
      </c>
      <c r="F288" s="12">
        <v>17854.05</v>
      </c>
      <c r="G288" s="11">
        <v>0.013835574</v>
      </c>
      <c r="H288" s="13">
        <v>0.0138</v>
      </c>
      <c r="J288" s="15"/>
      <c r="K288" s="11"/>
      <c r="L288" s="11"/>
      <c r="M288" s="11"/>
      <c r="N288" s="11"/>
    </row>
    <row r="289" ht="15.75" customHeight="1">
      <c r="A289" s="35">
        <v>44959.0</v>
      </c>
      <c r="B289" s="38">
        <v>543.3</v>
      </c>
      <c r="C289" s="11">
        <f t="shared" si="1"/>
        <v>-0.00403299725</v>
      </c>
      <c r="D289" s="13">
        <f t="shared" si="2"/>
        <v>-0.00403299725</v>
      </c>
      <c r="E289" s="35">
        <v>44959.0</v>
      </c>
      <c r="F289" s="12">
        <v>17610.4</v>
      </c>
      <c r="G289" s="11">
        <v>-3.34917E-4</v>
      </c>
      <c r="H289" s="13">
        <v>-3.0E-4</v>
      </c>
      <c r="J289" s="15"/>
      <c r="K289" s="11"/>
      <c r="L289" s="11"/>
      <c r="M289" s="11"/>
      <c r="N289" s="11"/>
    </row>
    <row r="290" ht="15.75" customHeight="1">
      <c r="A290" s="35">
        <v>44928.0</v>
      </c>
      <c r="B290" s="38">
        <v>545.5</v>
      </c>
      <c r="C290" s="11">
        <f t="shared" si="1"/>
        <v>-0.03732462719</v>
      </c>
      <c r="D290" s="13">
        <f t="shared" si="2"/>
        <v>-0.03732462719</v>
      </c>
      <c r="E290" s="35">
        <v>44928.0</v>
      </c>
      <c r="F290" s="12">
        <v>17616.3</v>
      </c>
      <c r="G290" s="11">
        <v>-0.002595947</v>
      </c>
      <c r="H290" s="13">
        <v>-0.0026</v>
      </c>
      <c r="J290" s="15"/>
      <c r="K290" s="11"/>
      <c r="L290" s="11"/>
      <c r="M290" s="11"/>
      <c r="N290" s="11"/>
    </row>
    <row r="291" ht="15.75" customHeight="1">
      <c r="A291" s="11" t="s">
        <v>280</v>
      </c>
      <c r="B291" s="38">
        <v>566.65</v>
      </c>
      <c r="C291" s="11">
        <f t="shared" si="1"/>
        <v>0.05836757564</v>
      </c>
      <c r="D291" s="13">
        <f t="shared" si="2"/>
        <v>0.05836757564</v>
      </c>
      <c r="E291" s="11" t="s">
        <v>280</v>
      </c>
      <c r="F291" s="12">
        <v>17662.15</v>
      </c>
      <c r="G291" s="11">
        <v>7.4792E-4</v>
      </c>
      <c r="H291" s="13">
        <v>7.0E-4</v>
      </c>
      <c r="J291" s="15"/>
      <c r="K291" s="11"/>
      <c r="L291" s="11"/>
      <c r="M291" s="11"/>
      <c r="N291" s="11"/>
    </row>
    <row r="292" ht="15.75" customHeight="1">
      <c r="A292" s="11" t="s">
        <v>281</v>
      </c>
      <c r="B292" s="38">
        <v>535.4</v>
      </c>
      <c r="C292" s="11">
        <f t="shared" si="1"/>
        <v>0.03249445569</v>
      </c>
      <c r="D292" s="13">
        <f t="shared" si="2"/>
        <v>0.03249445569</v>
      </c>
      <c r="E292" s="11" t="s">
        <v>281</v>
      </c>
      <c r="F292" s="12">
        <v>17648.95</v>
      </c>
      <c r="G292" s="11">
        <v>0.002533465</v>
      </c>
      <c r="H292" s="13">
        <v>0.0025</v>
      </c>
      <c r="J292" s="15"/>
      <c r="K292" s="11"/>
      <c r="L292" s="11"/>
      <c r="M292" s="11"/>
      <c r="N292" s="11"/>
    </row>
    <row r="293" ht="15.75" customHeight="1">
      <c r="A293" s="11" t="s">
        <v>282</v>
      </c>
      <c r="B293" s="38">
        <v>518.55</v>
      </c>
      <c r="C293" s="11">
        <f t="shared" si="1"/>
        <v>-0.03219484882</v>
      </c>
      <c r="D293" s="13">
        <f t="shared" si="2"/>
        <v>-0.03219484882</v>
      </c>
      <c r="E293" s="11" t="s">
        <v>282</v>
      </c>
      <c r="F293" s="12">
        <v>17604.35</v>
      </c>
      <c r="G293" s="11">
        <v>-0.016074268</v>
      </c>
      <c r="H293" s="13">
        <v>-0.0161</v>
      </c>
      <c r="J293" s="15"/>
      <c r="K293" s="11"/>
      <c r="L293" s="11"/>
      <c r="M293" s="11"/>
      <c r="N293" s="11"/>
    </row>
    <row r="294" ht="15.75" customHeight="1">
      <c r="A294" s="11" t="s">
        <v>283</v>
      </c>
      <c r="B294" s="38">
        <v>535.8</v>
      </c>
      <c r="C294" s="11">
        <f t="shared" si="1"/>
        <v>-0.008236927348</v>
      </c>
      <c r="D294" s="13">
        <f t="shared" si="2"/>
        <v>-0.008236927348</v>
      </c>
      <c r="E294" s="11" t="s">
        <v>283</v>
      </c>
      <c r="F294" s="12">
        <v>17891.95</v>
      </c>
      <c r="G294" s="11">
        <v>-0.012492894</v>
      </c>
      <c r="H294" s="13">
        <v>-0.0125</v>
      </c>
      <c r="J294" s="15"/>
      <c r="K294" s="11"/>
      <c r="L294" s="11"/>
      <c r="M294" s="11"/>
      <c r="N294" s="11"/>
    </row>
    <row r="295" ht="15.75" customHeight="1">
      <c r="A295" s="11" t="s">
        <v>284</v>
      </c>
      <c r="B295" s="38">
        <v>540.25</v>
      </c>
      <c r="C295" s="11">
        <f t="shared" si="1"/>
        <v>0.002226138577</v>
      </c>
      <c r="D295" s="13">
        <f t="shared" si="2"/>
        <v>0.002226138577</v>
      </c>
      <c r="E295" s="11" t="s">
        <v>284</v>
      </c>
      <c r="F295" s="12">
        <v>18118.3</v>
      </c>
      <c r="G295" s="45">
        <v>-1.3798E-5</v>
      </c>
      <c r="H295" s="13">
        <v>0.0</v>
      </c>
      <c r="J295" s="15"/>
      <c r="K295" s="11"/>
      <c r="L295" s="11"/>
      <c r="M295" s="11"/>
      <c r="N295" s="11"/>
    </row>
    <row r="296" ht="15.75" customHeight="1">
      <c r="A296" s="11" t="s">
        <v>285</v>
      </c>
      <c r="B296" s="38">
        <v>539.05</v>
      </c>
      <c r="C296" s="11">
        <f t="shared" si="1"/>
        <v>-0.006634110384</v>
      </c>
      <c r="D296" s="13">
        <f t="shared" si="2"/>
        <v>-0.006634110384</v>
      </c>
      <c r="E296" s="11" t="s">
        <v>285</v>
      </c>
      <c r="F296" s="12">
        <v>18118.55</v>
      </c>
      <c r="G296" s="11">
        <v>0.005042255</v>
      </c>
      <c r="H296" s="13">
        <v>0.005</v>
      </c>
      <c r="J296" s="15"/>
      <c r="K296" s="11"/>
      <c r="L296" s="11"/>
      <c r="M296" s="11"/>
      <c r="N296" s="11"/>
    </row>
    <row r="297" ht="15.75" customHeight="1">
      <c r="A297" s="11" t="s">
        <v>286</v>
      </c>
      <c r="B297" s="38">
        <v>542.65</v>
      </c>
      <c r="C297" s="11">
        <f t="shared" si="1"/>
        <v>-0.01907086045</v>
      </c>
      <c r="D297" s="13">
        <f t="shared" si="2"/>
        <v>-0.01907086045</v>
      </c>
      <c r="E297" s="11" t="s">
        <v>286</v>
      </c>
      <c r="F297" s="12">
        <v>18027.65</v>
      </c>
      <c r="G297" s="11">
        <v>-0.004429018</v>
      </c>
      <c r="H297" s="13">
        <v>-0.0044</v>
      </c>
      <c r="J297" s="15"/>
      <c r="K297" s="11"/>
      <c r="L297" s="11"/>
      <c r="M297" s="11"/>
      <c r="N297" s="11"/>
    </row>
    <row r="298" ht="15.75" customHeight="1">
      <c r="A298" s="11" t="s">
        <v>287</v>
      </c>
      <c r="B298" s="38">
        <v>553.2</v>
      </c>
      <c r="C298" s="11">
        <f t="shared" si="1"/>
        <v>-0.0136400107</v>
      </c>
      <c r="D298" s="13">
        <f t="shared" si="2"/>
        <v>-0.0136400107</v>
      </c>
      <c r="E298" s="11" t="s">
        <v>287</v>
      </c>
      <c r="F298" s="12">
        <v>18107.85</v>
      </c>
      <c r="G298" s="11">
        <v>-0.003165367</v>
      </c>
      <c r="H298" s="13">
        <v>-0.0032</v>
      </c>
      <c r="J298" s="15"/>
      <c r="K298" s="11"/>
      <c r="L298" s="11"/>
      <c r="M298" s="11"/>
      <c r="N298" s="11"/>
    </row>
    <row r="299" ht="15.75" customHeight="1">
      <c r="A299" s="11" t="s">
        <v>288</v>
      </c>
      <c r="B299" s="38">
        <v>560.85</v>
      </c>
      <c r="C299" s="11">
        <f t="shared" si="1"/>
        <v>0.004747402365</v>
      </c>
      <c r="D299" s="13">
        <f t="shared" si="2"/>
        <v>0.004747402365</v>
      </c>
      <c r="E299" s="11" t="s">
        <v>288</v>
      </c>
      <c r="F299" s="12">
        <v>18165.35</v>
      </c>
      <c r="G299" s="11">
        <v>0.006206622</v>
      </c>
      <c r="H299" s="13">
        <v>0.0062</v>
      </c>
      <c r="J299" s="15"/>
      <c r="K299" s="11"/>
      <c r="L299" s="11"/>
      <c r="M299" s="11"/>
      <c r="N299" s="11"/>
    </row>
    <row r="300" ht="15.75" customHeight="1">
      <c r="A300" s="11" t="s">
        <v>289</v>
      </c>
      <c r="B300" s="38">
        <v>558.2</v>
      </c>
      <c r="C300" s="11">
        <f t="shared" si="1"/>
        <v>-0.01089749269</v>
      </c>
      <c r="D300" s="13">
        <f t="shared" si="2"/>
        <v>-0.01089749269</v>
      </c>
      <c r="E300" s="11" t="s">
        <v>289</v>
      </c>
      <c r="F300" s="12">
        <v>18053.3</v>
      </c>
      <c r="G300" s="11">
        <v>0.008854503</v>
      </c>
      <c r="H300" s="13">
        <v>0.0089</v>
      </c>
      <c r="J300" s="15"/>
      <c r="K300" s="11"/>
      <c r="L300" s="11"/>
      <c r="M300" s="11"/>
      <c r="N300" s="11"/>
    </row>
    <row r="301" ht="15.75" customHeight="1">
      <c r="A301" s="11" t="s">
        <v>290</v>
      </c>
      <c r="B301" s="38">
        <v>564.35</v>
      </c>
      <c r="C301" s="11">
        <f t="shared" si="1"/>
        <v>-0.01586886389</v>
      </c>
      <c r="D301" s="13">
        <f t="shared" si="2"/>
        <v>-0.01586886389</v>
      </c>
      <c r="E301" s="11" t="s">
        <v>290</v>
      </c>
      <c r="F301" s="12">
        <v>17894.85</v>
      </c>
      <c r="G301" s="11">
        <v>-0.003438847</v>
      </c>
      <c r="H301" s="13">
        <v>-0.0034</v>
      </c>
      <c r="J301" s="15"/>
      <c r="K301" s="11"/>
      <c r="L301" s="11"/>
      <c r="M301" s="11"/>
      <c r="N301" s="11"/>
    </row>
    <row r="302" ht="15.75" customHeight="1">
      <c r="A302" s="11" t="s">
        <v>291</v>
      </c>
      <c r="B302" s="38">
        <v>573.45</v>
      </c>
      <c r="C302" s="11">
        <f t="shared" si="1"/>
        <v>0.02173719376</v>
      </c>
      <c r="D302" s="13">
        <f t="shared" si="2"/>
        <v>0.02173719376</v>
      </c>
      <c r="E302" s="11" t="s">
        <v>291</v>
      </c>
      <c r="F302" s="12">
        <v>17956.6</v>
      </c>
      <c r="G302" s="11">
        <v>0.005510074</v>
      </c>
      <c r="H302" s="13">
        <v>0.0055</v>
      </c>
      <c r="J302" s="15"/>
      <c r="K302" s="11"/>
      <c r="L302" s="11"/>
      <c r="M302" s="11"/>
      <c r="N302" s="11"/>
    </row>
    <row r="303" ht="15.75" customHeight="1">
      <c r="A303" s="35">
        <v>45261.0</v>
      </c>
      <c r="B303" s="38">
        <v>561.25</v>
      </c>
      <c r="C303" s="11">
        <f t="shared" si="1"/>
        <v>-0.01956502751</v>
      </c>
      <c r="D303" s="13">
        <f t="shared" si="2"/>
        <v>-0.01956502751</v>
      </c>
      <c r="E303" s="35">
        <v>45261.0</v>
      </c>
      <c r="F303" s="12">
        <v>17858.2</v>
      </c>
      <c r="G303" s="11">
        <v>-0.002095475</v>
      </c>
      <c r="H303" s="13">
        <v>-0.0021</v>
      </c>
      <c r="J303" s="15"/>
      <c r="K303" s="11"/>
      <c r="L303" s="11"/>
      <c r="M303" s="11"/>
      <c r="N303" s="11"/>
    </row>
    <row r="304" ht="15.75" customHeight="1">
      <c r="A304" s="35">
        <v>45231.0</v>
      </c>
      <c r="B304" s="38">
        <v>572.45</v>
      </c>
      <c r="C304" s="11">
        <f t="shared" si="1"/>
        <v>-0.04647289081</v>
      </c>
      <c r="D304" s="13">
        <f t="shared" si="2"/>
        <v>-0.04647289081</v>
      </c>
      <c r="E304" s="35">
        <v>45231.0</v>
      </c>
      <c r="F304" s="12">
        <v>17895.7</v>
      </c>
      <c r="G304" s="11">
        <v>-0.001029912</v>
      </c>
      <c r="H304" s="13">
        <v>-0.001</v>
      </c>
      <c r="J304" s="15"/>
      <c r="K304" s="11"/>
      <c r="L304" s="11"/>
      <c r="M304" s="11"/>
      <c r="N304" s="11"/>
    </row>
    <row r="305" ht="15.75" customHeight="1">
      <c r="A305" s="35">
        <v>45200.0</v>
      </c>
      <c r="B305" s="38">
        <v>600.35</v>
      </c>
      <c r="C305" s="11">
        <f t="shared" si="1"/>
        <v>-0.006372062231</v>
      </c>
      <c r="D305" s="13">
        <f t="shared" si="2"/>
        <v>-0.006372062231</v>
      </c>
      <c r="E305" s="35">
        <v>45200.0</v>
      </c>
      <c r="F305" s="12">
        <v>17914.15</v>
      </c>
      <c r="G305" s="11">
        <v>-0.010333569</v>
      </c>
      <c r="H305" s="13">
        <v>-0.0103</v>
      </c>
      <c r="J305" s="15"/>
      <c r="K305" s="11"/>
      <c r="L305" s="11"/>
      <c r="M305" s="11"/>
      <c r="N305" s="11"/>
    </row>
    <row r="306" ht="15.75" customHeight="1">
      <c r="A306" s="35">
        <v>45170.0</v>
      </c>
      <c r="B306" s="38">
        <v>604.2</v>
      </c>
      <c r="C306" s="11">
        <f t="shared" si="1"/>
        <v>0.03752039152</v>
      </c>
      <c r="D306" s="13">
        <f t="shared" si="2"/>
        <v>0.03752039152</v>
      </c>
      <c r="E306" s="35">
        <v>45170.0</v>
      </c>
      <c r="F306" s="12">
        <v>18101.2</v>
      </c>
      <c r="G306" s="11">
        <v>0.013536251</v>
      </c>
      <c r="H306" s="13">
        <v>0.0135</v>
      </c>
      <c r="J306" s="15"/>
      <c r="K306" s="11"/>
      <c r="L306" s="11"/>
      <c r="M306" s="11"/>
      <c r="N306" s="11"/>
    </row>
    <row r="307" ht="15.75" customHeight="1">
      <c r="A307" s="35">
        <v>45078.0</v>
      </c>
      <c r="B307" s="38">
        <v>582.35</v>
      </c>
      <c r="C307" s="11">
        <f t="shared" si="1"/>
        <v>-0.01355128314</v>
      </c>
      <c r="D307" s="13">
        <f t="shared" si="2"/>
        <v>-0.01355128314</v>
      </c>
      <c r="E307" s="35">
        <v>45078.0</v>
      </c>
      <c r="F307" s="12">
        <v>17859.45</v>
      </c>
      <c r="G307" s="11">
        <v>-0.007375439</v>
      </c>
      <c r="H307" s="13">
        <v>-0.0074</v>
      </c>
      <c r="J307" s="15"/>
      <c r="K307" s="11"/>
      <c r="L307" s="11"/>
      <c r="M307" s="11"/>
      <c r="N307" s="11"/>
    </row>
    <row r="308" ht="15.75" customHeight="1">
      <c r="A308" s="35">
        <v>45047.0</v>
      </c>
      <c r="B308" s="38">
        <v>590.35</v>
      </c>
      <c r="C308" s="11">
        <f t="shared" si="1"/>
        <v>-0.00581003705</v>
      </c>
      <c r="D308" s="13">
        <f t="shared" si="2"/>
        <v>-0.00581003705</v>
      </c>
      <c r="E308" s="35">
        <v>45047.0</v>
      </c>
      <c r="F308" s="12">
        <v>17992.15</v>
      </c>
      <c r="G308" s="11">
        <v>-0.002815504</v>
      </c>
      <c r="H308" s="13">
        <v>-0.0028</v>
      </c>
      <c r="J308" s="15"/>
      <c r="K308" s="11"/>
      <c r="L308" s="11"/>
      <c r="M308" s="11"/>
      <c r="N308" s="11"/>
    </row>
    <row r="309" ht="15.75" customHeight="1">
      <c r="A309" s="35">
        <v>45017.0</v>
      </c>
      <c r="B309" s="38">
        <v>593.8</v>
      </c>
      <c r="C309" s="11">
        <f t="shared" si="1"/>
        <v>-0.01329345297</v>
      </c>
      <c r="D309" s="13">
        <f t="shared" si="2"/>
        <v>-0.01329345297</v>
      </c>
      <c r="E309" s="35">
        <v>45017.0</v>
      </c>
      <c r="F309" s="12">
        <v>18042.95</v>
      </c>
      <c r="G309" s="11">
        <v>-0.010398984</v>
      </c>
      <c r="H309" s="13">
        <v>-0.0104</v>
      </c>
      <c r="J309" s="15"/>
      <c r="K309" s="11"/>
      <c r="L309" s="11"/>
      <c r="M309" s="11"/>
      <c r="N309" s="11"/>
    </row>
    <row r="310" ht="15.75" customHeight="1">
      <c r="A310" s="35">
        <v>44986.0</v>
      </c>
      <c r="B310" s="38">
        <v>601.8</v>
      </c>
      <c r="C310" s="11">
        <f t="shared" si="1"/>
        <v>-0.007585751979</v>
      </c>
      <c r="D310" s="13">
        <f t="shared" si="2"/>
        <v>-0.007585751979</v>
      </c>
      <c r="E310" s="35">
        <v>44986.0</v>
      </c>
      <c r="F310" s="12">
        <v>18232.55</v>
      </c>
      <c r="G310" s="11">
        <v>0.001928842</v>
      </c>
      <c r="H310" s="13">
        <v>0.0019</v>
      </c>
      <c r="J310" s="15"/>
      <c r="K310" s="11"/>
      <c r="L310" s="11"/>
      <c r="M310" s="11"/>
      <c r="N310" s="11"/>
    </row>
    <row r="311" ht="15.75" customHeight="1">
      <c r="A311" s="35">
        <v>44958.0</v>
      </c>
      <c r="B311" s="38">
        <v>606.4</v>
      </c>
      <c r="C311" s="11">
        <f t="shared" si="1"/>
        <v>0.04850004323</v>
      </c>
      <c r="D311" s="13">
        <f t="shared" si="2"/>
        <v>0.04850004323</v>
      </c>
      <c r="E311" s="35">
        <v>44958.0</v>
      </c>
      <c r="F311" s="12">
        <v>18197.45</v>
      </c>
      <c r="G311" s="11">
        <v>0.00508967</v>
      </c>
      <c r="H311" s="13">
        <v>0.0051</v>
      </c>
      <c r="J311" s="15"/>
      <c r="K311" s="11"/>
      <c r="L311" s="11"/>
      <c r="M311" s="11"/>
      <c r="N311" s="11"/>
    </row>
    <row r="312" ht="15.75" customHeight="1">
      <c r="A312" s="11" t="s">
        <v>292</v>
      </c>
      <c r="B312" s="38">
        <v>578.35</v>
      </c>
      <c r="C312" s="11">
        <f t="shared" si="1"/>
        <v>0.01714737953</v>
      </c>
      <c r="D312" s="13">
        <f t="shared" si="2"/>
        <v>0.01714737953</v>
      </c>
      <c r="E312" s="11" t="s">
        <v>292</v>
      </c>
      <c r="F312" s="12">
        <v>18105.3</v>
      </c>
      <c r="G312" s="11">
        <v>-0.004711121</v>
      </c>
      <c r="H312" s="13">
        <v>-0.0047</v>
      </c>
      <c r="J312" s="15"/>
      <c r="K312" s="11"/>
      <c r="L312" s="11"/>
      <c r="M312" s="11"/>
      <c r="N312" s="11"/>
    </row>
    <row r="313" ht="15.75" customHeight="1">
      <c r="A313" s="11" t="s">
        <v>293</v>
      </c>
      <c r="B313" s="38">
        <v>568.6</v>
      </c>
      <c r="C313" s="11">
        <f t="shared" si="1"/>
        <v>-0.01753779698</v>
      </c>
      <c r="D313" s="13">
        <f t="shared" si="2"/>
        <v>-0.01753779698</v>
      </c>
      <c r="E313" s="11" t="s">
        <v>293</v>
      </c>
      <c r="F313" s="12">
        <v>18191.0</v>
      </c>
      <c r="G313" s="11">
        <v>0.003779832</v>
      </c>
      <c r="H313" s="13">
        <v>0.0038</v>
      </c>
      <c r="J313" s="15"/>
      <c r="K313" s="11"/>
      <c r="L313" s="11"/>
      <c r="M313" s="11"/>
      <c r="N313" s="11"/>
    </row>
    <row r="314" ht="15.75" customHeight="1">
      <c r="A314" s="11" t="s">
        <v>294</v>
      </c>
      <c r="B314" s="38">
        <v>578.75</v>
      </c>
      <c r="C314" s="11">
        <f t="shared" si="1"/>
        <v>0.003032928943</v>
      </c>
      <c r="D314" s="13">
        <f t="shared" si="2"/>
        <v>0.003032928943</v>
      </c>
      <c r="E314" s="11" t="s">
        <v>294</v>
      </c>
      <c r="F314" s="12">
        <v>18122.5</v>
      </c>
      <c r="G314" s="11">
        <v>-5.40472E-4</v>
      </c>
      <c r="H314" s="13">
        <v>-5.0E-4</v>
      </c>
      <c r="J314" s="15"/>
      <c r="K314" s="11"/>
      <c r="L314" s="11"/>
      <c r="M314" s="11"/>
      <c r="N314" s="11"/>
    </row>
    <row r="315" ht="15.75" customHeight="1">
      <c r="A315" s="11" t="s">
        <v>295</v>
      </c>
      <c r="B315" s="38">
        <v>577.0</v>
      </c>
      <c r="C315" s="11">
        <f t="shared" si="1"/>
        <v>0.02934617786</v>
      </c>
      <c r="D315" s="13">
        <f t="shared" si="2"/>
        <v>0.02934617786</v>
      </c>
      <c r="E315" s="11" t="s">
        <v>295</v>
      </c>
      <c r="F315" s="12">
        <v>18132.3</v>
      </c>
      <c r="G315" s="11">
        <v>0.006533589</v>
      </c>
      <c r="H315" s="13">
        <v>0.0065</v>
      </c>
      <c r="J315" s="15"/>
      <c r="K315" s="11"/>
      <c r="L315" s="11"/>
      <c r="M315" s="11"/>
      <c r="N315" s="11"/>
    </row>
    <row r="316" ht="15.75" customHeight="1">
      <c r="A316" s="11" t="s">
        <v>296</v>
      </c>
      <c r="B316" s="38">
        <v>560.55</v>
      </c>
      <c r="C316" s="11">
        <f t="shared" si="1"/>
        <v>0.06903785639</v>
      </c>
      <c r="D316" s="13">
        <f t="shared" si="2"/>
        <v>0.06903785639</v>
      </c>
      <c r="E316" s="11" t="s">
        <v>296</v>
      </c>
      <c r="F316" s="12">
        <v>18014.6</v>
      </c>
      <c r="G316" s="11">
        <v>0.011669699</v>
      </c>
      <c r="H316" s="13">
        <v>0.0117</v>
      </c>
      <c r="J316" s="15"/>
      <c r="K316" s="11"/>
      <c r="L316" s="11"/>
      <c r="M316" s="11"/>
      <c r="N316" s="11"/>
    </row>
    <row r="317" ht="15.75" customHeight="1">
      <c r="A317" s="11" t="s">
        <v>297</v>
      </c>
      <c r="B317" s="38">
        <v>524.35</v>
      </c>
      <c r="C317" s="11">
        <f t="shared" si="1"/>
        <v>-0.07611664171</v>
      </c>
      <c r="D317" s="13">
        <f t="shared" si="2"/>
        <v>-0.07611664171</v>
      </c>
      <c r="E317" s="11" t="s">
        <v>297</v>
      </c>
      <c r="F317" s="12">
        <v>17806.8</v>
      </c>
      <c r="G317" s="11">
        <v>-0.017683225</v>
      </c>
      <c r="H317" s="13">
        <v>-0.0177</v>
      </c>
      <c r="J317" s="15"/>
      <c r="K317" s="11"/>
      <c r="L317" s="11"/>
      <c r="M317" s="11"/>
      <c r="N317" s="11"/>
    </row>
    <row r="318" ht="15.75" customHeight="1">
      <c r="A318" s="11" t="s">
        <v>298</v>
      </c>
      <c r="B318" s="38">
        <v>567.55</v>
      </c>
      <c r="C318" s="11">
        <f t="shared" si="1"/>
        <v>-0.04725532986</v>
      </c>
      <c r="D318" s="13">
        <f t="shared" si="2"/>
        <v>-0.04725532986</v>
      </c>
      <c r="E318" s="11" t="s">
        <v>298</v>
      </c>
      <c r="F318" s="12">
        <v>18127.35</v>
      </c>
      <c r="G318" s="11">
        <v>-0.003942503</v>
      </c>
      <c r="H318" s="13">
        <v>-0.0039</v>
      </c>
      <c r="J318" s="15"/>
      <c r="K318" s="11"/>
      <c r="L318" s="11"/>
      <c r="M318" s="11"/>
      <c r="N318" s="11"/>
    </row>
    <row r="319" ht="15.75" customHeight="1">
      <c r="A319" s="11" t="s">
        <v>299</v>
      </c>
      <c r="B319" s="38">
        <v>595.7</v>
      </c>
      <c r="C319" s="11">
        <f t="shared" si="1"/>
        <v>-0.0377190857</v>
      </c>
      <c r="D319" s="13">
        <f t="shared" si="2"/>
        <v>-0.0377190857</v>
      </c>
      <c r="E319" s="11" t="s">
        <v>299</v>
      </c>
      <c r="F319" s="12">
        <v>18199.1</v>
      </c>
      <c r="G319" s="11">
        <v>-0.010127656</v>
      </c>
      <c r="H319" s="13">
        <v>-0.0101</v>
      </c>
      <c r="J319" s="15"/>
      <c r="K319" s="11"/>
      <c r="L319" s="11"/>
      <c r="M319" s="11"/>
      <c r="N319" s="11"/>
    </row>
    <row r="320" ht="15.75" customHeight="1">
      <c r="A320" s="11" t="s">
        <v>300</v>
      </c>
      <c r="B320" s="38">
        <v>619.05</v>
      </c>
      <c r="C320" s="11">
        <f t="shared" si="1"/>
        <v>-0.004342581423</v>
      </c>
      <c r="D320" s="13">
        <f t="shared" si="2"/>
        <v>-0.004342581423</v>
      </c>
      <c r="E320" s="11" t="s">
        <v>300</v>
      </c>
      <c r="F320" s="12">
        <v>18385.3</v>
      </c>
      <c r="G320" s="11">
        <v>-0.001908205</v>
      </c>
      <c r="H320" s="13">
        <v>-0.0019</v>
      </c>
      <c r="J320" s="15"/>
      <c r="K320" s="11"/>
      <c r="L320" s="11"/>
      <c r="M320" s="11"/>
      <c r="N320" s="11"/>
    </row>
    <row r="321" ht="15.75" customHeight="1">
      <c r="A321" s="11" t="s">
        <v>301</v>
      </c>
      <c r="B321" s="38">
        <v>621.75</v>
      </c>
      <c r="C321" s="11">
        <f t="shared" si="1"/>
        <v>-0.002566776289</v>
      </c>
      <c r="D321" s="13">
        <f t="shared" si="2"/>
        <v>-0.002566776289</v>
      </c>
      <c r="E321" s="11" t="s">
        <v>301</v>
      </c>
      <c r="F321" s="12">
        <v>18420.45</v>
      </c>
      <c r="G321" s="11">
        <v>0.008289999</v>
      </c>
      <c r="H321" s="13">
        <v>0.0083</v>
      </c>
      <c r="J321" s="15"/>
      <c r="K321" s="11"/>
      <c r="L321" s="11"/>
      <c r="M321" s="11"/>
      <c r="N321" s="11"/>
    </row>
    <row r="322" ht="15.75" customHeight="1">
      <c r="A322" s="11" t="s">
        <v>302</v>
      </c>
      <c r="B322" s="38">
        <v>623.35</v>
      </c>
      <c r="C322" s="11">
        <f t="shared" si="1"/>
        <v>0.0004815022871</v>
      </c>
      <c r="D322" s="13">
        <f t="shared" si="2"/>
        <v>0.0004815022871</v>
      </c>
      <c r="E322" s="11" t="s">
        <v>302</v>
      </c>
      <c r="F322" s="12">
        <v>18269.0</v>
      </c>
      <c r="G322" s="11">
        <v>-0.007922932</v>
      </c>
      <c r="H322" s="13">
        <v>-0.0079</v>
      </c>
      <c r="J322" s="15"/>
      <c r="K322" s="11"/>
      <c r="L322" s="11"/>
      <c r="M322" s="11"/>
      <c r="N322" s="11"/>
    </row>
    <row r="323" ht="15.75" customHeight="1">
      <c r="A323" s="11" t="s">
        <v>303</v>
      </c>
      <c r="B323" s="38">
        <v>623.05</v>
      </c>
      <c r="C323" s="11">
        <f t="shared" si="1"/>
        <v>-0.008119079838</v>
      </c>
      <c r="D323" s="13">
        <f t="shared" si="2"/>
        <v>-0.008119079838</v>
      </c>
      <c r="E323" s="11" t="s">
        <v>303</v>
      </c>
      <c r="F323" s="12">
        <v>18414.9</v>
      </c>
      <c r="G323" s="11">
        <v>-0.013150914</v>
      </c>
      <c r="H323" s="13">
        <v>-0.0132</v>
      </c>
      <c r="J323" s="15"/>
      <c r="K323" s="11"/>
      <c r="L323" s="11"/>
      <c r="M323" s="11"/>
      <c r="N323" s="11"/>
    </row>
    <row r="324" ht="15.75" customHeight="1">
      <c r="A324" s="11" t="s">
        <v>304</v>
      </c>
      <c r="B324" s="38">
        <v>628.15</v>
      </c>
      <c r="C324" s="11">
        <f t="shared" si="1"/>
        <v>-0.01813208284</v>
      </c>
      <c r="D324" s="13">
        <f t="shared" si="2"/>
        <v>-0.01813208284</v>
      </c>
      <c r="E324" s="11" t="s">
        <v>304</v>
      </c>
      <c r="F324" s="12">
        <v>18660.3</v>
      </c>
      <c r="G324" s="11">
        <v>0.002810619</v>
      </c>
      <c r="H324" s="13">
        <v>0.0028</v>
      </c>
      <c r="J324" s="15"/>
      <c r="K324" s="11"/>
      <c r="L324" s="11"/>
      <c r="M324" s="11"/>
      <c r="N324" s="11"/>
    </row>
    <row r="325" ht="15.75" customHeight="1">
      <c r="A325" s="11" t="s">
        <v>305</v>
      </c>
      <c r="B325" s="38">
        <v>639.75</v>
      </c>
      <c r="C325" s="11">
        <f t="shared" si="1"/>
        <v>0.04304230863</v>
      </c>
      <c r="D325" s="13">
        <f t="shared" si="2"/>
        <v>0.04304230863</v>
      </c>
      <c r="E325" s="11" t="s">
        <v>305</v>
      </c>
      <c r="F325" s="12">
        <v>18608.0</v>
      </c>
      <c r="G325" s="11">
        <v>0.005992815</v>
      </c>
      <c r="H325" s="13">
        <v>0.006</v>
      </c>
      <c r="J325" s="15"/>
      <c r="K325" s="11"/>
      <c r="L325" s="11"/>
      <c r="M325" s="11"/>
      <c r="N325" s="11"/>
    </row>
    <row r="326" ht="15.75" customHeight="1">
      <c r="A326" s="55">
        <v>44907.0</v>
      </c>
      <c r="B326" s="38">
        <v>613.35</v>
      </c>
      <c r="C326" s="11">
        <f t="shared" si="1"/>
        <v>-0.01152296535</v>
      </c>
      <c r="D326" s="13">
        <f t="shared" si="2"/>
        <v>-0.01152296535</v>
      </c>
      <c r="E326" s="55">
        <v>44907.0</v>
      </c>
      <c r="F326" s="12">
        <v>18497.15</v>
      </c>
      <c r="G326" s="45">
        <v>2.97352E-5</v>
      </c>
      <c r="H326" s="13">
        <v>0.0</v>
      </c>
      <c r="J326" s="15"/>
      <c r="K326" s="11"/>
      <c r="L326" s="11"/>
      <c r="M326" s="11"/>
      <c r="N326" s="11"/>
    </row>
    <row r="327" ht="15.75" customHeight="1">
      <c r="A327" s="35">
        <v>44816.0</v>
      </c>
      <c r="B327" s="38">
        <v>620.5</v>
      </c>
      <c r="C327" s="11">
        <f t="shared" si="1"/>
        <v>-0.02028893976</v>
      </c>
      <c r="D327" s="13">
        <f t="shared" si="2"/>
        <v>-0.02028893976</v>
      </c>
      <c r="E327" s="35">
        <v>44816.0</v>
      </c>
      <c r="F327" s="12">
        <v>18496.6</v>
      </c>
      <c r="G327" s="11">
        <v>-0.006058782</v>
      </c>
      <c r="H327" s="13">
        <v>-0.0061</v>
      </c>
      <c r="J327" s="15"/>
      <c r="K327" s="11"/>
      <c r="L327" s="11"/>
      <c r="M327" s="11"/>
      <c r="N327" s="11"/>
    </row>
    <row r="328" ht="15.75" customHeight="1">
      <c r="A328" s="35">
        <v>44785.0</v>
      </c>
      <c r="B328" s="38">
        <v>633.35</v>
      </c>
      <c r="C328" s="11">
        <f t="shared" si="1"/>
        <v>0.01109514687</v>
      </c>
      <c r="D328" s="13">
        <f t="shared" si="2"/>
        <v>0.01109514687</v>
      </c>
      <c r="E328" s="35">
        <v>44785.0</v>
      </c>
      <c r="F328" s="12">
        <v>18609.35</v>
      </c>
      <c r="G328" s="11">
        <v>0.002631933</v>
      </c>
      <c r="H328" s="13">
        <v>0.0026</v>
      </c>
      <c r="J328" s="15"/>
      <c r="K328" s="11"/>
      <c r="L328" s="11"/>
      <c r="M328" s="11"/>
      <c r="N328" s="11"/>
    </row>
    <row r="329" ht="15.75" customHeight="1">
      <c r="A329" s="35">
        <v>44754.0</v>
      </c>
      <c r="B329" s="38">
        <v>626.4</v>
      </c>
      <c r="C329" s="11">
        <f t="shared" si="1"/>
        <v>-0.02285313158</v>
      </c>
      <c r="D329" s="13">
        <f t="shared" si="2"/>
        <v>-0.02285313158</v>
      </c>
      <c r="E329" s="35">
        <v>44754.0</v>
      </c>
      <c r="F329" s="12">
        <v>18560.5</v>
      </c>
      <c r="G329" s="11">
        <v>-0.004411903</v>
      </c>
      <c r="H329" s="13">
        <v>-0.0044</v>
      </c>
      <c r="J329" s="15"/>
      <c r="K329" s="11"/>
      <c r="L329" s="11"/>
      <c r="M329" s="11"/>
      <c r="N329" s="11"/>
    </row>
    <row r="330" ht="15.75" customHeight="1">
      <c r="A330" s="35">
        <v>44724.0</v>
      </c>
      <c r="B330" s="38">
        <v>641.05</v>
      </c>
      <c r="C330" s="11">
        <f t="shared" si="1"/>
        <v>0.01335757193</v>
      </c>
      <c r="D330" s="13">
        <f t="shared" si="2"/>
        <v>0.01335757193</v>
      </c>
      <c r="E330" s="35">
        <v>44724.0</v>
      </c>
      <c r="F330" s="12">
        <v>18642.75</v>
      </c>
      <c r="G330" s="11">
        <v>-0.003117472</v>
      </c>
      <c r="H330" s="13">
        <v>-0.0031</v>
      </c>
      <c r="J330" s="15"/>
      <c r="K330" s="11"/>
      <c r="L330" s="11"/>
      <c r="M330" s="11"/>
      <c r="N330" s="11"/>
    </row>
    <row r="331" ht="15.75" customHeight="1">
      <c r="A331" s="35">
        <v>44693.0</v>
      </c>
      <c r="B331" s="38">
        <v>632.6</v>
      </c>
      <c r="C331" s="11">
        <f t="shared" si="1"/>
        <v>-0.01348927875</v>
      </c>
      <c r="D331" s="13">
        <f t="shared" si="2"/>
        <v>-0.01348927875</v>
      </c>
      <c r="E331" s="35">
        <v>44693.0</v>
      </c>
      <c r="F331" s="12">
        <v>18701.05</v>
      </c>
      <c r="G331" s="11">
        <v>2.64761E-4</v>
      </c>
      <c r="H331" s="13">
        <v>3.0E-4</v>
      </c>
      <c r="J331" s="15"/>
      <c r="K331" s="11"/>
      <c r="L331" s="11"/>
      <c r="M331" s="11"/>
      <c r="N331" s="11"/>
    </row>
    <row r="332" ht="15.75" customHeight="1">
      <c r="A332" s="35">
        <v>44604.0</v>
      </c>
      <c r="B332" s="38">
        <v>641.25</v>
      </c>
      <c r="C332" s="11">
        <f t="shared" si="1"/>
        <v>-0.03149071137</v>
      </c>
      <c r="D332" s="13">
        <f t="shared" si="2"/>
        <v>-0.03149071137</v>
      </c>
      <c r="E332" s="35">
        <v>44604.0</v>
      </c>
      <c r="F332" s="12">
        <v>18696.1</v>
      </c>
      <c r="G332" s="11">
        <v>-0.006187375</v>
      </c>
      <c r="H332" s="13">
        <v>-0.0062</v>
      </c>
      <c r="J332" s="15"/>
      <c r="K332" s="11"/>
      <c r="L332" s="11"/>
      <c r="M332" s="11"/>
      <c r="N332" s="11"/>
    </row>
    <row r="333" ht="15.75" customHeight="1">
      <c r="A333" s="35">
        <v>44573.0</v>
      </c>
      <c r="B333" s="38">
        <v>662.1</v>
      </c>
      <c r="C333" s="11">
        <f t="shared" si="1"/>
        <v>0.008760569818</v>
      </c>
      <c r="D333" s="13">
        <f t="shared" si="2"/>
        <v>0.008760569818</v>
      </c>
      <c r="E333" s="35">
        <v>44573.0</v>
      </c>
      <c r="F333" s="12">
        <v>18812.5</v>
      </c>
      <c r="G333" s="11">
        <v>0.002886714</v>
      </c>
      <c r="H333" s="13">
        <v>0.0029</v>
      </c>
      <c r="J333" s="15"/>
      <c r="K333" s="11"/>
      <c r="L333" s="11"/>
      <c r="M333" s="11"/>
      <c r="N333" s="11"/>
    </row>
    <row r="334" ht="15.75" customHeight="1">
      <c r="A334" s="11" t="s">
        <v>306</v>
      </c>
      <c r="B334" s="38">
        <v>656.35</v>
      </c>
      <c r="C334" s="11">
        <f t="shared" si="1"/>
        <v>0.05879980642</v>
      </c>
      <c r="D334" s="13">
        <f t="shared" si="2"/>
        <v>0.05879980642</v>
      </c>
      <c r="E334" s="11" t="s">
        <v>306</v>
      </c>
      <c r="F334" s="12">
        <v>18758.35</v>
      </c>
      <c r="G334" s="11">
        <v>0.007535698</v>
      </c>
      <c r="H334" s="13">
        <v>0.0075</v>
      </c>
      <c r="J334" s="15"/>
      <c r="K334" s="11"/>
      <c r="L334" s="11"/>
      <c r="M334" s="11"/>
      <c r="N334" s="11"/>
    </row>
    <row r="335" ht="15.75" customHeight="1">
      <c r="A335" s="11" t="s">
        <v>307</v>
      </c>
      <c r="B335" s="38">
        <v>619.9</v>
      </c>
      <c r="C335" s="11">
        <f t="shared" si="1"/>
        <v>-0.02630958926</v>
      </c>
      <c r="D335" s="13">
        <f t="shared" si="2"/>
        <v>-0.02630958926</v>
      </c>
      <c r="E335" s="11" t="s">
        <v>307</v>
      </c>
      <c r="F335" s="12">
        <v>18618.05</v>
      </c>
      <c r="G335" s="11">
        <v>0.002979084</v>
      </c>
      <c r="H335" s="13">
        <v>0.003</v>
      </c>
      <c r="J335" s="15"/>
      <c r="K335" s="11"/>
      <c r="L335" s="11"/>
      <c r="M335" s="11"/>
      <c r="N335" s="11"/>
    </row>
    <row r="336" ht="15.75" customHeight="1">
      <c r="A336" s="11" t="s">
        <v>308</v>
      </c>
      <c r="B336" s="38">
        <v>636.65</v>
      </c>
      <c r="C336" s="11">
        <f t="shared" si="1"/>
        <v>0.004655199621</v>
      </c>
      <c r="D336" s="13">
        <f t="shared" si="2"/>
        <v>0.004655199621</v>
      </c>
      <c r="E336" s="11" t="s">
        <v>308</v>
      </c>
      <c r="F336" s="12">
        <v>18562.75</v>
      </c>
      <c r="G336" s="11">
        <v>0.002700841</v>
      </c>
      <c r="H336" s="13">
        <v>0.0027</v>
      </c>
      <c r="J336" s="15"/>
      <c r="K336" s="11"/>
      <c r="L336" s="11"/>
      <c r="M336" s="11"/>
      <c r="N336" s="11"/>
    </row>
    <row r="337" ht="15.75" customHeight="1">
      <c r="A337" s="11" t="s">
        <v>309</v>
      </c>
      <c r="B337" s="38">
        <v>633.7</v>
      </c>
      <c r="C337" s="11">
        <f t="shared" si="1"/>
        <v>0.02532157592</v>
      </c>
      <c r="D337" s="13">
        <f t="shared" si="2"/>
        <v>0.02532157592</v>
      </c>
      <c r="E337" s="11" t="s">
        <v>309</v>
      </c>
      <c r="F337" s="12">
        <v>18512.75</v>
      </c>
      <c r="G337" s="11">
        <v>0.001549981</v>
      </c>
      <c r="H337" s="13">
        <v>0.0016</v>
      </c>
      <c r="J337" s="15"/>
      <c r="K337" s="11"/>
      <c r="L337" s="11"/>
      <c r="M337" s="11"/>
      <c r="N337" s="11"/>
    </row>
    <row r="338" ht="15.75" customHeight="1">
      <c r="A338" s="11" t="s">
        <v>310</v>
      </c>
      <c r="B338" s="38">
        <v>618.05</v>
      </c>
      <c r="C338" s="11">
        <f t="shared" si="1"/>
        <v>0.02368530021</v>
      </c>
      <c r="D338" s="13">
        <f t="shared" si="2"/>
        <v>0.02368530021</v>
      </c>
      <c r="E338" s="11" t="s">
        <v>310</v>
      </c>
      <c r="F338" s="12">
        <v>18484.1</v>
      </c>
      <c r="G338" s="11">
        <v>0.011870971</v>
      </c>
      <c r="H338" s="13">
        <v>0.0119</v>
      </c>
      <c r="J338" s="15"/>
      <c r="K338" s="11"/>
      <c r="L338" s="11"/>
      <c r="M338" s="11"/>
      <c r="N338" s="11"/>
    </row>
    <row r="339" ht="15.75" customHeight="1">
      <c r="A339" s="11" t="s">
        <v>311</v>
      </c>
      <c r="B339" s="38">
        <v>603.75</v>
      </c>
      <c r="C339" s="11">
        <f t="shared" si="1"/>
        <v>-0.001653575858</v>
      </c>
      <c r="D339" s="13">
        <f t="shared" si="2"/>
        <v>-0.001653575858</v>
      </c>
      <c r="E339" s="11" t="s">
        <v>311</v>
      </c>
      <c r="F339" s="12">
        <v>18267.25</v>
      </c>
      <c r="G339" s="11">
        <v>0.001263415</v>
      </c>
      <c r="H339" s="13">
        <v>0.0013</v>
      </c>
      <c r="J339" s="15"/>
      <c r="K339" s="11"/>
      <c r="L339" s="11"/>
      <c r="M339" s="11"/>
      <c r="N339" s="11"/>
    </row>
    <row r="340" ht="15.75" customHeight="1">
      <c r="A340" s="11" t="s">
        <v>312</v>
      </c>
      <c r="B340" s="38">
        <v>604.75</v>
      </c>
      <c r="C340" s="11">
        <f t="shared" si="1"/>
        <v>-0.01882047538</v>
      </c>
      <c r="D340" s="13">
        <f t="shared" si="2"/>
        <v>-0.01882047538</v>
      </c>
      <c r="E340" s="11" t="s">
        <v>312</v>
      </c>
      <c r="F340" s="12">
        <v>18244.2</v>
      </c>
      <c r="G340" s="11">
        <v>0.00463933</v>
      </c>
      <c r="H340" s="13">
        <v>0.0046</v>
      </c>
      <c r="J340" s="15"/>
      <c r="K340" s="11"/>
      <c r="L340" s="11"/>
      <c r="M340" s="11"/>
      <c r="N340" s="11"/>
    </row>
    <row r="341" ht="15.75" customHeight="1">
      <c r="A341" s="11" t="s">
        <v>313</v>
      </c>
      <c r="B341" s="38">
        <v>616.35</v>
      </c>
      <c r="C341" s="11">
        <f t="shared" si="1"/>
        <v>-0.0258416311</v>
      </c>
      <c r="D341" s="13">
        <f t="shared" si="2"/>
        <v>-0.0258416311</v>
      </c>
      <c r="E341" s="11" t="s">
        <v>313</v>
      </c>
      <c r="F341" s="12">
        <v>18159.95</v>
      </c>
      <c r="G341" s="11">
        <v>-0.008067666</v>
      </c>
      <c r="H341" s="13">
        <v>-0.0081</v>
      </c>
      <c r="J341" s="15"/>
      <c r="K341" s="11"/>
      <c r="L341" s="11"/>
      <c r="M341" s="11"/>
      <c r="N341" s="11"/>
    </row>
    <row r="342" ht="15.75" customHeight="1">
      <c r="A342" s="11" t="s">
        <v>314</v>
      </c>
      <c r="B342" s="38">
        <v>632.7</v>
      </c>
      <c r="C342" s="11">
        <f t="shared" si="1"/>
        <v>-0.0003160056881</v>
      </c>
      <c r="D342" s="13">
        <f t="shared" si="2"/>
        <v>-0.0003160056881</v>
      </c>
      <c r="E342" s="11" t="s">
        <v>314</v>
      </c>
      <c r="F342" s="12">
        <v>18307.65</v>
      </c>
      <c r="G342" s="11">
        <v>-0.001976134</v>
      </c>
      <c r="H342" s="13">
        <v>-0.002</v>
      </c>
      <c r="J342" s="15"/>
      <c r="K342" s="11"/>
      <c r="L342" s="11"/>
      <c r="M342" s="11"/>
      <c r="N342" s="11"/>
    </row>
    <row r="343" ht="15.75" customHeight="1">
      <c r="A343" s="11" t="s">
        <v>315</v>
      </c>
      <c r="B343" s="38">
        <v>632.9</v>
      </c>
      <c r="C343" s="11">
        <f t="shared" si="1"/>
        <v>-0.01799844841</v>
      </c>
      <c r="D343" s="13">
        <f t="shared" si="2"/>
        <v>-0.01799844841</v>
      </c>
      <c r="E343" s="11" t="s">
        <v>315</v>
      </c>
      <c r="F343" s="12">
        <v>18343.9</v>
      </c>
      <c r="G343" s="11">
        <v>-0.003571496</v>
      </c>
      <c r="H343" s="13">
        <v>-0.0036</v>
      </c>
      <c r="J343" s="15"/>
      <c r="K343" s="11"/>
      <c r="L343" s="11"/>
      <c r="M343" s="11"/>
      <c r="N343" s="11"/>
    </row>
    <row r="344" ht="15.75" customHeight="1">
      <c r="A344" s="11" t="s">
        <v>316</v>
      </c>
      <c r="B344" s="38">
        <v>644.5</v>
      </c>
      <c r="C344" s="11">
        <f t="shared" si="1"/>
        <v>0.02188045029</v>
      </c>
      <c r="D344" s="13">
        <f t="shared" si="2"/>
        <v>0.02188045029</v>
      </c>
      <c r="E344" s="11" t="s">
        <v>316</v>
      </c>
      <c r="F344" s="12">
        <v>18409.65</v>
      </c>
      <c r="G344" s="11">
        <v>3.39611E-4</v>
      </c>
      <c r="H344" s="13">
        <v>3.0E-4</v>
      </c>
      <c r="J344" s="15"/>
      <c r="K344" s="11"/>
      <c r="L344" s="11"/>
      <c r="M344" s="11"/>
      <c r="N344" s="11"/>
    </row>
    <row r="345" ht="15.75" customHeight="1">
      <c r="A345" s="11" t="s">
        <v>317</v>
      </c>
      <c r="B345" s="38">
        <v>630.7</v>
      </c>
      <c r="C345" s="11">
        <f t="shared" si="1"/>
        <v>0.01227830832</v>
      </c>
      <c r="D345" s="13">
        <f t="shared" si="2"/>
        <v>0.01227830832</v>
      </c>
      <c r="E345" s="11" t="s">
        <v>317</v>
      </c>
      <c r="F345" s="12">
        <v>18403.4</v>
      </c>
      <c r="G345" s="11">
        <v>0.004050924</v>
      </c>
      <c r="H345" s="13">
        <v>0.0041</v>
      </c>
      <c r="J345" s="15"/>
      <c r="K345" s="11"/>
      <c r="L345" s="11"/>
      <c r="M345" s="11"/>
      <c r="N345" s="11"/>
    </row>
    <row r="346" ht="15.75" customHeight="1">
      <c r="A346" s="11" t="s">
        <v>318</v>
      </c>
      <c r="B346" s="38">
        <v>623.05</v>
      </c>
      <c r="C346" s="11">
        <f t="shared" si="1"/>
        <v>-0.01267728389</v>
      </c>
      <c r="D346" s="13">
        <f t="shared" si="2"/>
        <v>-0.01267728389</v>
      </c>
      <c r="E346" s="11" t="s">
        <v>318</v>
      </c>
      <c r="F346" s="12">
        <v>18329.15</v>
      </c>
      <c r="G346" s="11">
        <v>-0.001119909</v>
      </c>
      <c r="H346" s="13">
        <v>-0.0011</v>
      </c>
      <c r="J346" s="15"/>
      <c r="K346" s="11"/>
      <c r="L346" s="11"/>
      <c r="M346" s="11"/>
      <c r="N346" s="11"/>
    </row>
    <row r="347" ht="15.75" customHeight="1">
      <c r="A347" s="55">
        <v>44876.0</v>
      </c>
      <c r="B347" s="38">
        <v>631.05</v>
      </c>
      <c r="C347" s="11">
        <f t="shared" si="1"/>
        <v>-0.005358972338</v>
      </c>
      <c r="D347" s="13">
        <f t="shared" si="2"/>
        <v>-0.005358972338</v>
      </c>
      <c r="E347" s="55">
        <v>44876.0</v>
      </c>
      <c r="F347" s="12">
        <v>18349.7</v>
      </c>
      <c r="G347" s="11">
        <v>0.017833172</v>
      </c>
      <c r="H347" s="13">
        <v>0.0178</v>
      </c>
      <c r="J347" s="15"/>
      <c r="K347" s="11"/>
      <c r="L347" s="11"/>
      <c r="M347" s="11"/>
      <c r="N347" s="11"/>
    </row>
    <row r="348" ht="15.75" customHeight="1">
      <c r="A348" s="55">
        <v>44845.0</v>
      </c>
      <c r="B348" s="38">
        <v>634.45</v>
      </c>
      <c r="C348" s="11">
        <f t="shared" si="1"/>
        <v>0.03020215962</v>
      </c>
      <c r="D348" s="13">
        <f t="shared" si="2"/>
        <v>0.03020215962</v>
      </c>
      <c r="E348" s="55">
        <v>44845.0</v>
      </c>
      <c r="F348" s="12">
        <v>18028.2</v>
      </c>
      <c r="G348" s="11">
        <v>-0.007093683</v>
      </c>
      <c r="H348" s="13">
        <v>-0.0071</v>
      </c>
      <c r="J348" s="15"/>
      <c r="K348" s="11"/>
      <c r="L348" s="11"/>
      <c r="M348" s="11"/>
      <c r="N348" s="11"/>
    </row>
    <row r="349" ht="15.75" customHeight="1">
      <c r="A349" s="35">
        <v>44815.0</v>
      </c>
      <c r="B349" s="38">
        <v>615.85</v>
      </c>
      <c r="C349" s="11">
        <f t="shared" si="1"/>
        <v>-0.0452678087</v>
      </c>
      <c r="D349" s="13">
        <f t="shared" si="2"/>
        <v>-0.0452678087</v>
      </c>
      <c r="E349" s="35">
        <v>44815.0</v>
      </c>
      <c r="F349" s="12">
        <v>18157.0</v>
      </c>
      <c r="G349" s="11">
        <v>-0.002516096</v>
      </c>
      <c r="H349" s="13">
        <v>-0.0025</v>
      </c>
      <c r="J349" s="15"/>
      <c r="K349" s="11"/>
      <c r="L349" s="11"/>
      <c r="M349" s="11"/>
      <c r="N349" s="11"/>
    </row>
    <row r="350" ht="15.75" customHeight="1">
      <c r="A350" s="35">
        <v>44753.0</v>
      </c>
      <c r="B350" s="38">
        <v>645.05</v>
      </c>
      <c r="C350" s="11">
        <f t="shared" si="1"/>
        <v>0.001086366105</v>
      </c>
      <c r="D350" s="13">
        <f t="shared" si="2"/>
        <v>0.001086366105</v>
      </c>
      <c r="E350" s="35">
        <v>44753.0</v>
      </c>
      <c r="F350" s="12">
        <v>18202.8</v>
      </c>
      <c r="G350" s="11">
        <v>0.004727565</v>
      </c>
      <c r="H350" s="13">
        <v>0.0047</v>
      </c>
      <c r="J350" s="15"/>
      <c r="K350" s="11"/>
      <c r="L350" s="11"/>
      <c r="M350" s="11"/>
      <c r="N350" s="11"/>
    </row>
    <row r="351" ht="15.75" customHeight="1">
      <c r="A351" s="35">
        <v>44662.0</v>
      </c>
      <c r="B351" s="38">
        <v>644.35</v>
      </c>
      <c r="C351" s="11">
        <f t="shared" si="1"/>
        <v>-0.01580876737</v>
      </c>
      <c r="D351" s="13">
        <f t="shared" si="2"/>
        <v>-0.01580876737</v>
      </c>
      <c r="E351" s="35">
        <v>44662.0</v>
      </c>
      <c r="F351" s="12">
        <v>18117.15</v>
      </c>
      <c r="G351" s="11">
        <v>0.003570103</v>
      </c>
      <c r="H351" s="13">
        <v>0.0036</v>
      </c>
      <c r="J351" s="15"/>
      <c r="K351" s="11"/>
      <c r="L351" s="11"/>
      <c r="M351" s="11"/>
      <c r="N351" s="11"/>
    </row>
    <row r="352" ht="15.75" customHeight="1">
      <c r="A352" s="35">
        <v>44631.0</v>
      </c>
      <c r="B352" s="38">
        <v>654.7</v>
      </c>
      <c r="C352" s="11">
        <f t="shared" si="1"/>
        <v>-0.04276628409</v>
      </c>
      <c r="D352" s="13">
        <f t="shared" si="2"/>
        <v>-0.04276628409</v>
      </c>
      <c r="E352" s="35">
        <v>44631.0</v>
      </c>
      <c r="F352" s="12">
        <v>18052.7</v>
      </c>
      <c r="G352" s="11">
        <v>-0.001667326</v>
      </c>
      <c r="H352" s="13">
        <v>-0.0017</v>
      </c>
      <c r="J352" s="15"/>
      <c r="K352" s="11"/>
      <c r="L352" s="11"/>
      <c r="M352" s="11"/>
      <c r="N352" s="11"/>
    </row>
    <row r="353" ht="15.75" customHeight="1">
      <c r="A353" s="35">
        <v>44603.0</v>
      </c>
      <c r="B353" s="38">
        <v>683.95</v>
      </c>
      <c r="C353" s="11">
        <f t="shared" si="1"/>
        <v>0.003668647736</v>
      </c>
      <c r="D353" s="13">
        <f t="shared" si="2"/>
        <v>0.003668647736</v>
      </c>
      <c r="E353" s="35">
        <v>44603.0</v>
      </c>
      <c r="F353" s="12">
        <v>18082.85</v>
      </c>
      <c r="G353" s="11">
        <v>-0.003447155</v>
      </c>
      <c r="H353" s="13">
        <v>-0.0034</v>
      </c>
      <c r="J353" s="15"/>
      <c r="K353" s="11"/>
      <c r="L353" s="11"/>
      <c r="M353" s="11"/>
      <c r="N353" s="11"/>
    </row>
    <row r="354" ht="15.75" customHeight="1">
      <c r="A354" s="35">
        <v>44572.0</v>
      </c>
      <c r="B354" s="38">
        <v>681.45</v>
      </c>
      <c r="C354" s="11">
        <f t="shared" si="1"/>
        <v>-0.006922180122</v>
      </c>
      <c r="D354" s="13">
        <f t="shared" si="2"/>
        <v>-0.006922180122</v>
      </c>
      <c r="E354" s="35">
        <v>44572.0</v>
      </c>
      <c r="F354" s="12">
        <v>18145.4</v>
      </c>
      <c r="G354" s="11">
        <v>0.007394988</v>
      </c>
      <c r="H354" s="13">
        <v>0.0074</v>
      </c>
      <c r="J354" s="15"/>
      <c r="K354" s="11"/>
      <c r="L354" s="11"/>
      <c r="M354" s="11"/>
      <c r="N354" s="11"/>
    </row>
    <row r="355" ht="15.75" customHeight="1">
      <c r="A355" s="11" t="s">
        <v>319</v>
      </c>
      <c r="B355" s="38">
        <v>686.2</v>
      </c>
      <c r="C355" s="11">
        <f t="shared" si="1"/>
        <v>0.01306562339</v>
      </c>
      <c r="D355" s="13">
        <f t="shared" si="2"/>
        <v>0.01306562339</v>
      </c>
      <c r="E355" s="11" t="s">
        <v>319</v>
      </c>
      <c r="F355" s="12">
        <v>18012.2</v>
      </c>
      <c r="G355" s="11">
        <v>0.012672319</v>
      </c>
      <c r="H355" s="13">
        <v>0.0127</v>
      </c>
      <c r="J355" s="15"/>
      <c r="K355" s="11"/>
      <c r="L355" s="11"/>
      <c r="M355" s="11"/>
      <c r="N355" s="11"/>
    </row>
    <row r="356" ht="15.75" customHeight="1">
      <c r="A356" s="11" t="s">
        <v>320</v>
      </c>
      <c r="B356" s="38">
        <v>677.35</v>
      </c>
      <c r="C356" s="11">
        <f t="shared" si="1"/>
        <v>-0.01598024261</v>
      </c>
      <c r="D356" s="13">
        <f t="shared" si="2"/>
        <v>-0.01598024261</v>
      </c>
      <c r="E356" s="11" t="s">
        <v>320</v>
      </c>
      <c r="F356" s="12">
        <v>17786.8</v>
      </c>
      <c r="G356" s="11">
        <v>0.002810517</v>
      </c>
      <c r="H356" s="13">
        <v>0.0028</v>
      </c>
      <c r="J356" s="15"/>
      <c r="K356" s="11"/>
      <c r="L356" s="11"/>
      <c r="M356" s="11"/>
      <c r="N356" s="11"/>
    </row>
    <row r="357" ht="15.75" customHeight="1">
      <c r="A357" s="11" t="s">
        <v>321</v>
      </c>
      <c r="B357" s="38">
        <v>688.35</v>
      </c>
      <c r="C357" s="11">
        <f t="shared" si="1"/>
        <v>0.02273233786</v>
      </c>
      <c r="D357" s="13">
        <f t="shared" si="2"/>
        <v>0.02273233786</v>
      </c>
      <c r="E357" s="11" t="s">
        <v>321</v>
      </c>
      <c r="F357" s="12">
        <v>17736.95</v>
      </c>
      <c r="G357" s="11">
        <v>0.00456493</v>
      </c>
      <c r="H357" s="13">
        <v>0.0046</v>
      </c>
      <c r="J357" s="15"/>
      <c r="K357" s="11"/>
      <c r="L357" s="11"/>
      <c r="M357" s="11"/>
      <c r="N357" s="11"/>
    </row>
    <row r="358" ht="15.75" customHeight="1">
      <c r="A358" s="11" t="s">
        <v>322</v>
      </c>
      <c r="B358" s="38">
        <v>673.05</v>
      </c>
      <c r="C358" s="11">
        <f t="shared" si="1"/>
        <v>-0.02717352027</v>
      </c>
      <c r="D358" s="13">
        <f t="shared" si="2"/>
        <v>-0.02717352027</v>
      </c>
      <c r="E358" s="11" t="s">
        <v>322</v>
      </c>
      <c r="F358" s="12">
        <v>17656.35</v>
      </c>
      <c r="G358" s="11">
        <v>-0.0041961</v>
      </c>
      <c r="H358" s="13">
        <v>-0.0042</v>
      </c>
      <c r="J358" s="15"/>
      <c r="K358" s="11"/>
      <c r="L358" s="11"/>
      <c r="M358" s="11"/>
      <c r="N358" s="11"/>
    </row>
    <row r="359" ht="15.75" customHeight="1">
      <c r="A359" s="11" t="s">
        <v>323</v>
      </c>
      <c r="B359" s="38">
        <v>691.85</v>
      </c>
      <c r="C359" s="11">
        <f t="shared" si="1"/>
        <v>0.0512041328</v>
      </c>
      <c r="D359" s="13">
        <f t="shared" si="2"/>
        <v>0.0512041328</v>
      </c>
      <c r="E359" s="11" t="s">
        <v>323</v>
      </c>
      <c r="F359" s="12">
        <v>17730.75</v>
      </c>
      <c r="G359" s="11">
        <v>0.008787401</v>
      </c>
      <c r="H359" s="13">
        <v>0.0088</v>
      </c>
      <c r="J359" s="15"/>
      <c r="K359" s="11"/>
      <c r="L359" s="11"/>
      <c r="M359" s="11"/>
      <c r="N359" s="11"/>
    </row>
    <row r="360" ht="15.75" customHeight="1">
      <c r="A360" s="11" t="s">
        <v>324</v>
      </c>
      <c r="B360" s="38">
        <v>658.15</v>
      </c>
      <c r="C360" s="11">
        <f t="shared" si="1"/>
        <v>-0.04719507781</v>
      </c>
      <c r="D360" s="13">
        <f t="shared" si="2"/>
        <v>-0.04719507781</v>
      </c>
      <c r="E360" s="11" t="s">
        <v>324</v>
      </c>
      <c r="F360" s="12">
        <v>17576.3</v>
      </c>
      <c r="G360" s="11">
        <v>7.03145E-4</v>
      </c>
      <c r="H360" s="13">
        <v>7.0E-4</v>
      </c>
      <c r="J360" s="15"/>
      <c r="K360" s="11"/>
      <c r="L360" s="11"/>
      <c r="M360" s="11"/>
      <c r="N360" s="11"/>
    </row>
    <row r="361" ht="15.75" customHeight="1">
      <c r="A361" s="11" t="s">
        <v>325</v>
      </c>
      <c r="B361" s="38">
        <v>690.75</v>
      </c>
      <c r="C361" s="11">
        <f t="shared" si="1"/>
        <v>-0.006829618979</v>
      </c>
      <c r="D361" s="13">
        <f t="shared" si="2"/>
        <v>-0.006829618979</v>
      </c>
      <c r="E361" s="11" t="s">
        <v>325</v>
      </c>
      <c r="F361" s="12">
        <v>17563.95</v>
      </c>
      <c r="G361" s="11">
        <v>0.002952219</v>
      </c>
      <c r="H361" s="13">
        <v>0.003</v>
      </c>
      <c r="J361" s="15"/>
      <c r="K361" s="11"/>
      <c r="L361" s="11"/>
      <c r="M361" s="11"/>
      <c r="N361" s="11"/>
    </row>
    <row r="362" ht="15.75" customHeight="1">
      <c r="A362" s="11" t="s">
        <v>326</v>
      </c>
      <c r="B362" s="38">
        <v>695.5</v>
      </c>
      <c r="C362" s="11">
        <f t="shared" si="1"/>
        <v>-0.02186906687</v>
      </c>
      <c r="D362" s="13">
        <f t="shared" si="2"/>
        <v>-0.02186906687</v>
      </c>
      <c r="E362" s="11" t="s">
        <v>326</v>
      </c>
      <c r="F362" s="12">
        <v>17512.25</v>
      </c>
      <c r="G362" s="11">
        <v>0.001446793</v>
      </c>
      <c r="H362" s="13">
        <v>0.0014</v>
      </c>
      <c r="J362" s="15"/>
      <c r="K362" s="11"/>
      <c r="L362" s="11"/>
      <c r="M362" s="11"/>
      <c r="N362" s="11"/>
    </row>
    <row r="363" ht="15.75" customHeight="1">
      <c r="A363" s="11" t="s">
        <v>327</v>
      </c>
      <c r="B363" s="38">
        <v>711.05</v>
      </c>
      <c r="C363" s="11">
        <f t="shared" si="1"/>
        <v>0.02375638903</v>
      </c>
      <c r="D363" s="13">
        <f t="shared" si="2"/>
        <v>0.02375638903</v>
      </c>
      <c r="E363" s="11" t="s">
        <v>327</v>
      </c>
      <c r="F363" s="12">
        <v>17486.95</v>
      </c>
      <c r="G363" s="11">
        <v>0.010117377</v>
      </c>
      <c r="H363" s="13">
        <v>0.0101</v>
      </c>
      <c r="J363" s="15"/>
      <c r="K363" s="11"/>
      <c r="L363" s="11"/>
      <c r="M363" s="11"/>
      <c r="N363" s="11"/>
    </row>
    <row r="364" ht="15.75" customHeight="1">
      <c r="A364" s="11" t="s">
        <v>328</v>
      </c>
      <c r="B364" s="38">
        <v>694.55</v>
      </c>
      <c r="C364" s="11">
        <f t="shared" si="1"/>
        <v>-0.02485082485</v>
      </c>
      <c r="D364" s="13">
        <f t="shared" si="2"/>
        <v>-0.02485082485</v>
      </c>
      <c r="E364" s="11" t="s">
        <v>328</v>
      </c>
      <c r="F364" s="12">
        <v>17311.8</v>
      </c>
      <c r="G364" s="11">
        <v>0.007337496</v>
      </c>
      <c r="H364" s="13">
        <v>0.0073</v>
      </c>
      <c r="J364" s="15"/>
      <c r="K364" s="11"/>
      <c r="L364" s="11"/>
      <c r="M364" s="11"/>
      <c r="N364" s="11"/>
    </row>
    <row r="365" ht="15.75" customHeight="1">
      <c r="A365" s="11" t="s">
        <v>329</v>
      </c>
      <c r="B365" s="38">
        <v>712.25</v>
      </c>
      <c r="C365" s="11">
        <f t="shared" si="1"/>
        <v>-0.01028277635</v>
      </c>
      <c r="D365" s="13">
        <f t="shared" si="2"/>
        <v>-0.01028277635</v>
      </c>
      <c r="E365" s="11" t="s">
        <v>329</v>
      </c>
      <c r="F365" s="12">
        <v>17185.7</v>
      </c>
      <c r="G365" s="11">
        <v>0.010070911</v>
      </c>
      <c r="H365" s="13">
        <v>0.0101</v>
      </c>
      <c r="J365" s="15"/>
      <c r="K365" s="11"/>
      <c r="L365" s="11"/>
      <c r="M365" s="11"/>
      <c r="N365" s="11"/>
    </row>
    <row r="366" ht="15.75" customHeight="1">
      <c r="A366" s="11" t="s">
        <v>330</v>
      </c>
      <c r="B366" s="38">
        <v>719.65</v>
      </c>
      <c r="C366" s="11">
        <f t="shared" si="1"/>
        <v>0.006644285914</v>
      </c>
      <c r="D366" s="13">
        <f t="shared" si="2"/>
        <v>0.006644285914</v>
      </c>
      <c r="E366" s="11" t="s">
        <v>330</v>
      </c>
      <c r="F366" s="12">
        <v>17014.35</v>
      </c>
      <c r="G366" s="11">
        <v>-0.006380084</v>
      </c>
      <c r="H366" s="13">
        <v>-0.0064</v>
      </c>
      <c r="J366" s="15"/>
      <c r="K366" s="11"/>
      <c r="L366" s="11"/>
      <c r="M366" s="11"/>
      <c r="N366" s="11"/>
    </row>
    <row r="367" ht="15.75" customHeight="1">
      <c r="A367" s="55">
        <v>44905.0</v>
      </c>
      <c r="B367" s="38">
        <v>714.9</v>
      </c>
      <c r="C367" s="11">
        <f t="shared" si="1"/>
        <v>-0.002789789371</v>
      </c>
      <c r="D367" s="13">
        <f t="shared" si="2"/>
        <v>-0.002789789371</v>
      </c>
      <c r="E367" s="55">
        <v>44905.0</v>
      </c>
      <c r="F367" s="12">
        <v>17123.6</v>
      </c>
      <c r="G367" s="11">
        <v>0.008246215</v>
      </c>
      <c r="H367" s="13">
        <v>0.0082</v>
      </c>
      <c r="J367" s="15"/>
      <c r="K367" s="11"/>
      <c r="L367" s="11"/>
      <c r="M367" s="11"/>
      <c r="N367" s="11"/>
    </row>
    <row r="368" ht="15.75" customHeight="1">
      <c r="A368" s="55">
        <v>44875.0</v>
      </c>
      <c r="B368" s="38">
        <v>716.9</v>
      </c>
      <c r="C368" s="11">
        <f t="shared" si="1"/>
        <v>-0.05627591654</v>
      </c>
      <c r="D368" s="13">
        <f t="shared" si="2"/>
        <v>-0.05627591654</v>
      </c>
      <c r="E368" s="55">
        <v>44875.0</v>
      </c>
      <c r="F368" s="12">
        <v>16983.55</v>
      </c>
      <c r="G368" s="11">
        <v>-0.014932429</v>
      </c>
      <c r="H368" s="13">
        <v>-0.0149</v>
      </c>
      <c r="J368" s="15"/>
      <c r="K368" s="11"/>
      <c r="L368" s="11"/>
      <c r="M368" s="11"/>
      <c r="N368" s="11"/>
    </row>
    <row r="369" ht="15.75" customHeight="1">
      <c r="A369" s="55">
        <v>44844.0</v>
      </c>
      <c r="B369" s="38">
        <v>759.65</v>
      </c>
      <c r="C369" s="11">
        <f t="shared" si="1"/>
        <v>0.02898747037</v>
      </c>
      <c r="D369" s="13">
        <f t="shared" si="2"/>
        <v>0.02898747037</v>
      </c>
      <c r="E369" s="55">
        <v>44844.0</v>
      </c>
      <c r="F369" s="12">
        <v>17241.0</v>
      </c>
      <c r="G369" s="11">
        <v>-0.004253623</v>
      </c>
      <c r="H369" s="13">
        <v>-0.0043</v>
      </c>
      <c r="J369" s="15"/>
      <c r="K369" s="11"/>
      <c r="L369" s="11"/>
      <c r="M369" s="11"/>
      <c r="N369" s="11"/>
    </row>
    <row r="370" ht="15.75" customHeight="1">
      <c r="A370" s="35">
        <v>44752.0</v>
      </c>
      <c r="B370" s="38">
        <v>738.25</v>
      </c>
      <c r="C370" s="11">
        <f t="shared" si="1"/>
        <v>0.04420084866</v>
      </c>
      <c r="D370" s="13">
        <f t="shared" si="2"/>
        <v>0.04420084866</v>
      </c>
      <c r="E370" s="35">
        <v>44752.0</v>
      </c>
      <c r="F370" s="12">
        <v>17314.65</v>
      </c>
      <c r="G370" s="11">
        <v>-9.89511E-4</v>
      </c>
      <c r="H370" s="13">
        <v>-0.001</v>
      </c>
      <c r="J370" s="15"/>
      <c r="K370" s="11"/>
      <c r="L370" s="11"/>
      <c r="M370" s="11"/>
      <c r="N370" s="11"/>
    </row>
    <row r="371" ht="15.75" customHeight="1">
      <c r="A371" s="35">
        <v>44722.0</v>
      </c>
      <c r="B371" s="38">
        <v>707.0</v>
      </c>
      <c r="C371" s="11">
        <f t="shared" si="1"/>
        <v>0.041543901</v>
      </c>
      <c r="D371" s="13">
        <f t="shared" si="2"/>
        <v>0.041543901</v>
      </c>
      <c r="E371" s="35">
        <v>44722.0</v>
      </c>
      <c r="F371" s="12">
        <v>17331.8</v>
      </c>
      <c r="G371" s="11">
        <v>0.003328644</v>
      </c>
      <c r="H371" s="13">
        <v>0.0033</v>
      </c>
      <c r="J371" s="15"/>
      <c r="K371" s="11"/>
      <c r="L371" s="11"/>
      <c r="M371" s="11"/>
      <c r="N371" s="11"/>
    </row>
    <row r="372" ht="15.75" customHeight="1">
      <c r="A372" s="35">
        <v>44661.0</v>
      </c>
      <c r="B372" s="38">
        <v>678.8</v>
      </c>
      <c r="C372" s="11">
        <f t="shared" si="1"/>
        <v>-0.006658374186</v>
      </c>
      <c r="D372" s="13">
        <f t="shared" si="2"/>
        <v>-0.006658374186</v>
      </c>
      <c r="E372" s="35">
        <v>44661.0</v>
      </c>
      <c r="F372" s="12">
        <v>17274.3</v>
      </c>
      <c r="G372" s="11">
        <v>0.022913601</v>
      </c>
      <c r="H372" s="13">
        <v>0.0229</v>
      </c>
      <c r="J372" s="15"/>
      <c r="K372" s="11"/>
      <c r="L372" s="11"/>
      <c r="M372" s="11"/>
      <c r="N372" s="11"/>
    </row>
    <row r="373" ht="15.75" customHeight="1">
      <c r="A373" s="35">
        <v>44630.0</v>
      </c>
      <c r="B373" s="38">
        <v>683.35</v>
      </c>
      <c r="C373" s="11">
        <f t="shared" si="1"/>
        <v>0.01394762223</v>
      </c>
      <c r="D373" s="13">
        <f t="shared" si="2"/>
        <v>0.01394762223</v>
      </c>
      <c r="E373" s="35">
        <v>44630.0</v>
      </c>
      <c r="F373" s="12">
        <v>16887.35</v>
      </c>
      <c r="G373" s="11">
        <v>-0.012109264</v>
      </c>
      <c r="H373" s="13">
        <v>-0.0121</v>
      </c>
      <c r="J373" s="15"/>
      <c r="K373" s="11"/>
      <c r="L373" s="11"/>
      <c r="M373" s="11"/>
      <c r="N373" s="11"/>
    </row>
    <row r="374" ht="15.75" customHeight="1">
      <c r="A374" s="11" t="s">
        <v>331</v>
      </c>
      <c r="B374" s="38">
        <v>673.95</v>
      </c>
      <c r="C374" s="11">
        <f t="shared" si="1"/>
        <v>0.01851292126</v>
      </c>
      <c r="D374" s="13">
        <f t="shared" si="2"/>
        <v>0.01851292126</v>
      </c>
      <c r="E374" s="11" t="s">
        <v>331</v>
      </c>
      <c r="F374" s="12">
        <v>17094.35</v>
      </c>
      <c r="G374" s="11">
        <v>0.016425756</v>
      </c>
      <c r="H374" s="13">
        <v>0.0164</v>
      </c>
      <c r="J374" s="15"/>
      <c r="K374" s="11"/>
      <c r="L374" s="11"/>
      <c r="M374" s="11"/>
      <c r="N374" s="11"/>
    </row>
    <row r="375" ht="15.75" customHeight="1">
      <c r="A375" s="11" t="s">
        <v>332</v>
      </c>
      <c r="B375" s="38">
        <v>661.7</v>
      </c>
      <c r="C375" s="11">
        <f t="shared" si="1"/>
        <v>0.0162801413</v>
      </c>
      <c r="D375" s="13">
        <f t="shared" si="2"/>
        <v>0.0162801413</v>
      </c>
      <c r="E375" s="11" t="s">
        <v>332</v>
      </c>
      <c r="F375" s="12">
        <v>16818.1</v>
      </c>
      <c r="G375" s="11">
        <v>-0.002402335</v>
      </c>
      <c r="H375" s="13">
        <v>-0.0024</v>
      </c>
      <c r="J375" s="15"/>
      <c r="K375" s="11"/>
      <c r="L375" s="11"/>
      <c r="M375" s="11"/>
      <c r="N375" s="11"/>
    </row>
    <row r="376" ht="15.75" customHeight="1">
      <c r="A376" s="11" t="s">
        <v>333</v>
      </c>
      <c r="B376" s="38">
        <v>651.1</v>
      </c>
      <c r="C376" s="11">
        <f t="shared" si="1"/>
        <v>0.04636400161</v>
      </c>
      <c r="D376" s="13">
        <f t="shared" si="2"/>
        <v>0.04636400161</v>
      </c>
      <c r="E376" s="11" t="s">
        <v>333</v>
      </c>
      <c r="F376" s="12">
        <v>16858.6</v>
      </c>
      <c r="G376" s="11">
        <v>-0.008749133</v>
      </c>
      <c r="H376" s="13">
        <v>-0.0087</v>
      </c>
      <c r="J376" s="15"/>
      <c r="K376" s="11"/>
      <c r="L376" s="11"/>
      <c r="M376" s="11"/>
      <c r="N376" s="11"/>
    </row>
    <row r="377" ht="15.75" customHeight="1">
      <c r="A377" s="11" t="s">
        <v>334</v>
      </c>
      <c r="B377" s="38">
        <v>622.25</v>
      </c>
      <c r="C377" s="11">
        <f t="shared" si="1"/>
        <v>0.04055183946</v>
      </c>
      <c r="D377" s="13">
        <f t="shared" si="2"/>
        <v>0.04055183946</v>
      </c>
      <c r="E377" s="11" t="s">
        <v>334</v>
      </c>
      <c r="F377" s="12">
        <v>17007.4</v>
      </c>
      <c r="G377" s="11">
        <v>-5.23028E-4</v>
      </c>
      <c r="H377" s="13">
        <v>-5.0E-4</v>
      </c>
      <c r="J377" s="15"/>
      <c r="K377" s="11"/>
      <c r="L377" s="11"/>
      <c r="M377" s="11"/>
      <c r="N377" s="11"/>
    </row>
    <row r="378" ht="15.75" customHeight="1">
      <c r="A378" s="11" t="s">
        <v>335</v>
      </c>
      <c r="B378" s="38">
        <v>598.0</v>
      </c>
      <c r="C378" s="11">
        <f t="shared" si="1"/>
        <v>-0.03150052636</v>
      </c>
      <c r="D378" s="13">
        <f t="shared" si="2"/>
        <v>-0.03150052636</v>
      </c>
      <c r="E378" s="11" t="s">
        <v>335</v>
      </c>
      <c r="F378" s="12">
        <v>17016.3</v>
      </c>
      <c r="G378" s="11">
        <v>-0.017951389</v>
      </c>
      <c r="H378" s="13">
        <v>-0.018</v>
      </c>
      <c r="J378" s="15"/>
      <c r="K378" s="11"/>
      <c r="L378" s="11"/>
      <c r="M378" s="11"/>
      <c r="N378" s="11"/>
    </row>
    <row r="379" ht="15.75" customHeight="1">
      <c r="A379" s="11" t="s">
        <v>336</v>
      </c>
      <c r="B379" s="38">
        <v>617.45</v>
      </c>
      <c r="C379" s="11">
        <f t="shared" si="1"/>
        <v>-0.03666432639</v>
      </c>
      <c r="D379" s="13">
        <f t="shared" si="2"/>
        <v>-0.03666432639</v>
      </c>
      <c r="E379" s="11" t="s">
        <v>336</v>
      </c>
      <c r="F379" s="12">
        <v>17327.35</v>
      </c>
      <c r="G379" s="11">
        <v>-0.017155612</v>
      </c>
      <c r="H379" s="13">
        <v>-0.0172</v>
      </c>
      <c r="J379" s="15"/>
      <c r="K379" s="11"/>
      <c r="L379" s="11"/>
      <c r="M379" s="11"/>
      <c r="N379" s="11"/>
    </row>
    <row r="380" ht="15.75" customHeight="1">
      <c r="A380" s="11" t="s">
        <v>337</v>
      </c>
      <c r="B380" s="38">
        <v>640.95</v>
      </c>
      <c r="C380" s="11">
        <f t="shared" si="1"/>
        <v>0.01112162802</v>
      </c>
      <c r="D380" s="13">
        <f t="shared" si="2"/>
        <v>0.01112162802</v>
      </c>
      <c r="E380" s="11" t="s">
        <v>337</v>
      </c>
      <c r="F380" s="12">
        <v>17629.8</v>
      </c>
      <c r="G380" s="11">
        <v>-0.004997644</v>
      </c>
      <c r="H380" s="13">
        <v>-0.005</v>
      </c>
      <c r="J380" s="15"/>
      <c r="K380" s="11"/>
      <c r="L380" s="11"/>
      <c r="M380" s="11"/>
      <c r="N380" s="11"/>
    </row>
    <row r="381" ht="15.75" customHeight="1">
      <c r="A381" s="11" t="s">
        <v>338</v>
      </c>
      <c r="B381" s="38">
        <v>633.9</v>
      </c>
      <c r="C381" s="11">
        <f t="shared" si="1"/>
        <v>0.02217205515</v>
      </c>
      <c r="D381" s="13">
        <f t="shared" si="2"/>
        <v>0.02217205515</v>
      </c>
      <c r="E381" s="11" t="s">
        <v>338</v>
      </c>
      <c r="F381" s="12">
        <v>17718.35</v>
      </c>
      <c r="G381" s="11">
        <v>-0.005494984</v>
      </c>
      <c r="H381" s="13">
        <v>-0.0055</v>
      </c>
      <c r="J381" s="15"/>
      <c r="K381" s="11"/>
      <c r="L381" s="11"/>
      <c r="M381" s="11"/>
      <c r="N381" s="11"/>
    </row>
    <row r="382" ht="15.75" customHeight="1">
      <c r="A382" s="11" t="s">
        <v>339</v>
      </c>
      <c r="B382" s="38">
        <v>620.15</v>
      </c>
      <c r="C382" s="11">
        <f t="shared" si="1"/>
        <v>0.04358435002</v>
      </c>
      <c r="D382" s="13">
        <f t="shared" si="2"/>
        <v>0.04358435002</v>
      </c>
      <c r="E382" s="11" t="s">
        <v>339</v>
      </c>
      <c r="F382" s="12">
        <v>17816.25</v>
      </c>
      <c r="G382" s="11">
        <v>0.01100881</v>
      </c>
      <c r="H382" s="13">
        <v>0.011</v>
      </c>
      <c r="J382" s="15"/>
      <c r="K382" s="11"/>
      <c r="L382" s="11"/>
      <c r="M382" s="11"/>
      <c r="N382" s="11"/>
    </row>
    <row r="383" ht="15.75" customHeight="1">
      <c r="A383" s="11" t="s">
        <v>340</v>
      </c>
      <c r="B383" s="38">
        <v>594.25</v>
      </c>
      <c r="C383" s="11">
        <f t="shared" si="1"/>
        <v>-0.0262985417</v>
      </c>
      <c r="D383" s="13">
        <f t="shared" si="2"/>
        <v>-0.0262985417</v>
      </c>
      <c r="E383" s="11" t="s">
        <v>340</v>
      </c>
      <c r="F383" s="12">
        <v>17622.25</v>
      </c>
      <c r="G383" s="11">
        <v>0.005213666</v>
      </c>
      <c r="H383" s="13">
        <v>0.0052</v>
      </c>
      <c r="J383" s="15"/>
      <c r="K383" s="11"/>
      <c r="L383" s="11"/>
      <c r="M383" s="11"/>
      <c r="N383" s="11"/>
    </row>
    <row r="384" ht="15.75" customHeight="1">
      <c r="A384" s="11" t="s">
        <v>341</v>
      </c>
      <c r="B384" s="38">
        <v>610.3</v>
      </c>
      <c r="C384" s="11">
        <f t="shared" si="1"/>
        <v>-0.03624161074</v>
      </c>
      <c r="D384" s="13">
        <f t="shared" si="2"/>
        <v>-0.03624161074</v>
      </c>
      <c r="E384" s="11" t="s">
        <v>341</v>
      </c>
      <c r="F384" s="12">
        <v>17530.85</v>
      </c>
      <c r="G384" s="11">
        <v>-0.01938481</v>
      </c>
      <c r="H384" s="13">
        <v>-0.0194</v>
      </c>
      <c r="J384" s="15"/>
      <c r="K384" s="11"/>
      <c r="L384" s="11"/>
      <c r="M384" s="11"/>
      <c r="N384" s="11"/>
    </row>
    <row r="385" ht="15.75" customHeight="1">
      <c r="A385" s="11" t="s">
        <v>342</v>
      </c>
      <c r="B385" s="38">
        <v>633.25</v>
      </c>
      <c r="C385" s="11">
        <f t="shared" si="1"/>
        <v>0.02967479675</v>
      </c>
      <c r="D385" s="13">
        <f t="shared" si="2"/>
        <v>0.02967479675</v>
      </c>
      <c r="E385" s="11" t="s">
        <v>342</v>
      </c>
      <c r="F385" s="12">
        <v>17877.4</v>
      </c>
      <c r="G385" s="11">
        <v>-0.007017982</v>
      </c>
      <c r="H385" s="13">
        <v>-0.007</v>
      </c>
      <c r="J385" s="15"/>
      <c r="K385" s="11"/>
      <c r="L385" s="11"/>
      <c r="M385" s="11"/>
      <c r="N385" s="11"/>
    </row>
    <row r="386" ht="15.75" customHeight="1">
      <c r="A386" s="11" t="s">
        <v>343</v>
      </c>
      <c r="B386" s="38">
        <v>615.0</v>
      </c>
      <c r="C386" s="11">
        <f t="shared" si="1"/>
        <v>-0.007744433688</v>
      </c>
      <c r="D386" s="13">
        <f t="shared" si="2"/>
        <v>-0.007744433688</v>
      </c>
      <c r="E386" s="11" t="s">
        <v>343</v>
      </c>
      <c r="F386" s="12">
        <v>18003.75</v>
      </c>
      <c r="G386" s="11">
        <v>-0.003669055</v>
      </c>
      <c r="H386" s="13">
        <v>-0.0037</v>
      </c>
      <c r="J386" s="15"/>
      <c r="K386" s="11"/>
      <c r="L386" s="11"/>
      <c r="M386" s="11"/>
      <c r="N386" s="11"/>
    </row>
    <row r="387" ht="15.75" customHeight="1">
      <c r="A387" s="11" t="s">
        <v>344</v>
      </c>
      <c r="B387" s="38">
        <v>619.8</v>
      </c>
      <c r="C387" s="11">
        <f t="shared" si="1"/>
        <v>-0.01171968429</v>
      </c>
      <c r="D387" s="13">
        <f t="shared" si="2"/>
        <v>-0.01171968429</v>
      </c>
      <c r="E387" s="11" t="s">
        <v>344</v>
      </c>
      <c r="F387" s="12">
        <v>18070.05</v>
      </c>
      <c r="G387" s="11">
        <v>0.007454136</v>
      </c>
      <c r="H387" s="13">
        <v>0.0075</v>
      </c>
      <c r="J387" s="15"/>
      <c r="K387" s="11"/>
      <c r="L387" s="11"/>
      <c r="M387" s="11"/>
      <c r="N387" s="11"/>
    </row>
    <row r="388" ht="15.75" customHeight="1">
      <c r="A388" s="35">
        <v>44904.0</v>
      </c>
      <c r="B388" s="38">
        <v>627.15</v>
      </c>
      <c r="C388" s="11">
        <f t="shared" si="1"/>
        <v>0.003119001919</v>
      </c>
      <c r="D388" s="13">
        <f t="shared" si="2"/>
        <v>0.003119001919</v>
      </c>
      <c r="E388" s="35">
        <v>44904.0</v>
      </c>
      <c r="F388" s="12">
        <v>17936.35</v>
      </c>
      <c r="G388" s="11">
        <v>0.005775696</v>
      </c>
      <c r="H388" s="13">
        <v>0.0058</v>
      </c>
      <c r="J388" s="15"/>
      <c r="K388" s="11"/>
      <c r="L388" s="11"/>
      <c r="M388" s="11"/>
      <c r="N388" s="11"/>
    </row>
    <row r="389" ht="15.75" customHeight="1">
      <c r="A389" s="35">
        <v>44813.0</v>
      </c>
      <c r="B389" s="38">
        <v>625.2</v>
      </c>
      <c r="C389" s="11">
        <f t="shared" si="1"/>
        <v>-0.01240028434</v>
      </c>
      <c r="D389" s="13">
        <f t="shared" si="2"/>
        <v>-0.01240028434</v>
      </c>
      <c r="E389" s="35">
        <v>44813.0</v>
      </c>
      <c r="F389" s="12">
        <v>17833.35</v>
      </c>
      <c r="G389" s="11">
        <v>0.001943957</v>
      </c>
      <c r="H389" s="13">
        <v>0.0019</v>
      </c>
      <c r="J389" s="15"/>
      <c r="K389" s="11"/>
      <c r="L389" s="11"/>
      <c r="M389" s="11"/>
      <c r="N389" s="11"/>
    </row>
    <row r="390" ht="15.75" customHeight="1">
      <c r="A390" s="35">
        <v>44782.0</v>
      </c>
      <c r="B390" s="38">
        <v>633.05</v>
      </c>
      <c r="C390" s="11">
        <f t="shared" si="1"/>
        <v>-0.01186295169</v>
      </c>
      <c r="D390" s="13">
        <f t="shared" si="2"/>
        <v>-0.01186295169</v>
      </c>
      <c r="E390" s="35">
        <v>44782.0</v>
      </c>
      <c r="F390" s="12">
        <v>17798.75</v>
      </c>
      <c r="G390" s="11">
        <v>0.009892535</v>
      </c>
      <c r="H390" s="13">
        <v>0.0099</v>
      </c>
      <c r="J390" s="15"/>
      <c r="K390" s="11"/>
      <c r="L390" s="11"/>
      <c r="M390" s="11"/>
      <c r="N390" s="11"/>
    </row>
    <row r="391" ht="15.75" customHeight="1">
      <c r="A391" s="35">
        <v>44751.0</v>
      </c>
      <c r="B391" s="38">
        <v>640.65</v>
      </c>
      <c r="C391" s="11">
        <f t="shared" si="1"/>
        <v>0.02438439399</v>
      </c>
      <c r="D391" s="13">
        <f t="shared" si="2"/>
        <v>0.02438439399</v>
      </c>
      <c r="E391" s="35">
        <v>44751.0</v>
      </c>
      <c r="F391" s="12">
        <v>17624.4</v>
      </c>
      <c r="G391" s="11">
        <v>-0.001767145</v>
      </c>
      <c r="H391" s="13">
        <v>-0.0018</v>
      </c>
      <c r="J391" s="15"/>
      <c r="K391" s="11"/>
      <c r="L391" s="11"/>
      <c r="M391" s="11"/>
      <c r="N391" s="11"/>
    </row>
    <row r="392" ht="15.75" customHeight="1">
      <c r="A392" s="35">
        <v>44721.0</v>
      </c>
      <c r="B392" s="38">
        <v>625.4</v>
      </c>
      <c r="C392" s="11">
        <f t="shared" si="1"/>
        <v>-0.04329202998</v>
      </c>
      <c r="D392" s="13">
        <f t="shared" si="2"/>
        <v>-0.04329202998</v>
      </c>
      <c r="E392" s="35">
        <v>44721.0</v>
      </c>
      <c r="F392" s="12">
        <v>17655.6</v>
      </c>
      <c r="G392" s="11">
        <v>-5.77387E-4</v>
      </c>
      <c r="H392" s="13">
        <v>-6.0E-4</v>
      </c>
      <c r="J392" s="15"/>
      <c r="K392" s="11"/>
      <c r="L392" s="11"/>
      <c r="M392" s="11"/>
      <c r="N392" s="11"/>
    </row>
    <row r="393" ht="15.75" customHeight="1">
      <c r="A393" s="35">
        <v>44690.0</v>
      </c>
      <c r="B393" s="38">
        <v>653.7</v>
      </c>
      <c r="C393" s="11">
        <f t="shared" si="1"/>
        <v>-0.001069682152</v>
      </c>
      <c r="D393" s="13">
        <f t="shared" si="2"/>
        <v>-0.001069682152</v>
      </c>
      <c r="E393" s="35">
        <v>44690.0</v>
      </c>
      <c r="F393" s="12">
        <v>17665.8</v>
      </c>
      <c r="G393" s="11">
        <v>0.007203761</v>
      </c>
      <c r="H393" s="13">
        <v>0.0072</v>
      </c>
      <c r="J393" s="15"/>
      <c r="K393" s="11"/>
      <c r="L393" s="11"/>
      <c r="M393" s="11"/>
      <c r="N393" s="11"/>
    </row>
    <row r="394" ht="15.75" customHeight="1">
      <c r="A394" s="35">
        <v>44601.0</v>
      </c>
      <c r="B394" s="38">
        <v>654.4</v>
      </c>
      <c r="C394" s="11">
        <f t="shared" si="1"/>
        <v>-0.004487715829</v>
      </c>
      <c r="D394" s="13">
        <f t="shared" si="2"/>
        <v>-0.004487715829</v>
      </c>
      <c r="E394" s="35">
        <v>44601.0</v>
      </c>
      <c r="F394" s="12">
        <v>17539.45</v>
      </c>
      <c r="G394" s="11">
        <v>-1.90962E-4</v>
      </c>
      <c r="H394" s="13">
        <v>-2.0E-4</v>
      </c>
      <c r="J394" s="15"/>
      <c r="K394" s="11"/>
      <c r="L394" s="11"/>
      <c r="M394" s="11"/>
      <c r="N394" s="11"/>
    </row>
    <row r="395" ht="15.75" customHeight="1">
      <c r="A395" s="35">
        <v>44570.0</v>
      </c>
      <c r="B395" s="38">
        <v>657.35</v>
      </c>
      <c r="C395" s="11">
        <f t="shared" si="1"/>
        <v>0.06773329002</v>
      </c>
      <c r="D395" s="13">
        <f t="shared" si="2"/>
        <v>0.06773329002</v>
      </c>
      <c r="E395" s="35">
        <v>44570.0</v>
      </c>
      <c r="F395" s="12">
        <v>17542.8</v>
      </c>
      <c r="G395" s="11">
        <v>-0.012190796</v>
      </c>
      <c r="H395" s="13">
        <v>-0.0122</v>
      </c>
      <c r="J395" s="15"/>
      <c r="K395" s="11"/>
      <c r="L395" s="11"/>
      <c r="M395" s="11"/>
      <c r="N395" s="11"/>
    </row>
    <row r="396" ht="15.75" customHeight="1">
      <c r="A396" s="11" t="s">
        <v>345</v>
      </c>
      <c r="B396" s="38">
        <v>615.65</v>
      </c>
      <c r="C396" s="11">
        <f t="shared" si="1"/>
        <v>0.0100073825</v>
      </c>
      <c r="D396" s="13">
        <f t="shared" si="2"/>
        <v>0.0100073825</v>
      </c>
      <c r="E396" s="11" t="s">
        <v>345</v>
      </c>
      <c r="F396" s="12">
        <v>17759.3</v>
      </c>
      <c r="G396" s="11">
        <v>0.025784242</v>
      </c>
      <c r="H396" s="13">
        <v>0.0258</v>
      </c>
      <c r="J396" s="15"/>
      <c r="K396" s="11"/>
      <c r="L396" s="11"/>
      <c r="M396" s="11"/>
      <c r="N396" s="11"/>
    </row>
    <row r="397" ht="15.75" customHeight="1">
      <c r="A397" s="11" t="s">
        <v>346</v>
      </c>
      <c r="B397" s="38">
        <v>609.55</v>
      </c>
      <c r="C397" s="11">
        <f t="shared" si="1"/>
        <v>0.1162897171</v>
      </c>
      <c r="D397" s="13">
        <f t="shared" si="2"/>
        <v>0.1162897171</v>
      </c>
      <c r="E397" s="11" t="s">
        <v>346</v>
      </c>
      <c r="F397" s="12">
        <v>17312.9</v>
      </c>
      <c r="G397" s="11">
        <v>-0.014009989</v>
      </c>
      <c r="H397" s="13">
        <v>-0.014</v>
      </c>
      <c r="J397" s="15"/>
      <c r="K397" s="11"/>
      <c r="L397" s="11"/>
      <c r="M397" s="11"/>
      <c r="N397" s="11"/>
    </row>
    <row r="398" ht="15.75" customHeight="1">
      <c r="A398" s="11" t="s">
        <v>347</v>
      </c>
      <c r="B398" s="38">
        <v>546.05</v>
      </c>
      <c r="C398" s="11">
        <f t="shared" si="1"/>
        <v>0.03920449139</v>
      </c>
      <c r="D398" s="13">
        <f t="shared" si="2"/>
        <v>0.03920449139</v>
      </c>
      <c r="E398" s="11" t="s">
        <v>347</v>
      </c>
      <c r="F398" s="12">
        <v>17558.9</v>
      </c>
      <c r="G398" s="11">
        <v>0.002080189</v>
      </c>
      <c r="H398" s="13">
        <v>0.0021</v>
      </c>
      <c r="J398" s="15"/>
      <c r="K398" s="11"/>
      <c r="L398" s="11"/>
      <c r="M398" s="11"/>
      <c r="N398" s="11"/>
    </row>
    <row r="399" ht="15.75" customHeight="1">
      <c r="A399" s="11" t="s">
        <v>348</v>
      </c>
      <c r="B399" s="38">
        <v>525.45</v>
      </c>
      <c r="C399" s="11">
        <f t="shared" si="1"/>
        <v>0.001333968556</v>
      </c>
      <c r="D399" s="13">
        <f t="shared" si="2"/>
        <v>0.001333968556</v>
      </c>
      <c r="E399" s="11" t="s">
        <v>348</v>
      </c>
      <c r="F399" s="12">
        <v>17522.45</v>
      </c>
      <c r="G399" s="11">
        <v>-0.004686182</v>
      </c>
      <c r="H399" s="13">
        <v>-0.0047</v>
      </c>
      <c r="J399" s="15"/>
      <c r="K399" s="11"/>
      <c r="L399" s="11"/>
      <c r="M399" s="11"/>
      <c r="N399" s="11"/>
    </row>
    <row r="400" ht="15.75" customHeight="1">
      <c r="A400" s="11" t="s">
        <v>349</v>
      </c>
      <c r="B400" s="38">
        <v>524.75</v>
      </c>
      <c r="C400" s="11">
        <f t="shared" si="1"/>
        <v>0.06128021033</v>
      </c>
      <c r="D400" s="13">
        <f t="shared" si="2"/>
        <v>0.06128021033</v>
      </c>
      <c r="E400" s="11" t="s">
        <v>349</v>
      </c>
      <c r="F400" s="12">
        <v>17604.95</v>
      </c>
      <c r="G400" s="11">
        <v>0.001561656</v>
      </c>
      <c r="H400" s="13">
        <v>0.0016</v>
      </c>
      <c r="J400" s="15"/>
      <c r="K400" s="11"/>
      <c r="L400" s="11"/>
      <c r="M400" s="11"/>
      <c r="N400" s="11"/>
    </row>
    <row r="401" ht="15.75" customHeight="1">
      <c r="A401" s="11" t="s">
        <v>350</v>
      </c>
      <c r="B401" s="38">
        <v>494.45</v>
      </c>
      <c r="C401" s="11">
        <f t="shared" si="1"/>
        <v>0.002331238597</v>
      </c>
      <c r="D401" s="13">
        <f t="shared" si="2"/>
        <v>0.002331238597</v>
      </c>
      <c r="E401" s="11" t="s">
        <v>350</v>
      </c>
      <c r="F401" s="12">
        <v>17577.5</v>
      </c>
      <c r="G401" s="11">
        <v>0.004962637</v>
      </c>
      <c r="H401" s="13">
        <v>0.005</v>
      </c>
      <c r="J401" s="15"/>
      <c r="K401" s="11"/>
      <c r="L401" s="11"/>
      <c r="M401" s="11"/>
      <c r="N401" s="11"/>
    </row>
    <row r="402" ht="15.75" customHeight="1">
      <c r="A402" s="11" t="s">
        <v>351</v>
      </c>
      <c r="B402" s="38">
        <v>493.3</v>
      </c>
      <c r="C402" s="11">
        <f t="shared" si="1"/>
        <v>0.00992936841</v>
      </c>
      <c r="D402" s="13">
        <f t="shared" si="2"/>
        <v>0.00992936841</v>
      </c>
      <c r="E402" s="11" t="s">
        <v>351</v>
      </c>
      <c r="F402" s="12">
        <v>17490.7</v>
      </c>
      <c r="G402" s="11">
        <v>-0.015077329</v>
      </c>
      <c r="H402" s="13">
        <v>-0.0151</v>
      </c>
      <c r="J402" s="15"/>
      <c r="K402" s="11"/>
      <c r="L402" s="11"/>
      <c r="M402" s="11"/>
      <c r="N402" s="11"/>
    </row>
    <row r="403" ht="15.75" customHeight="1">
      <c r="A403" s="11" t="s">
        <v>352</v>
      </c>
      <c r="B403" s="38">
        <v>488.45</v>
      </c>
      <c r="C403" s="11">
        <f t="shared" si="1"/>
        <v>0.01222671226</v>
      </c>
      <c r="D403" s="13">
        <f t="shared" si="2"/>
        <v>0.01222671226</v>
      </c>
      <c r="E403" s="11" t="s">
        <v>352</v>
      </c>
      <c r="F403" s="12">
        <v>17758.45</v>
      </c>
      <c r="G403" s="11">
        <v>-0.011029432</v>
      </c>
      <c r="H403" s="13">
        <v>-0.011</v>
      </c>
      <c r="J403" s="15"/>
      <c r="K403" s="11"/>
      <c r="L403" s="11"/>
      <c r="M403" s="11"/>
      <c r="N403" s="11"/>
    </row>
    <row r="404" ht="15.75" customHeight="1">
      <c r="A404" s="11" t="s">
        <v>353</v>
      </c>
      <c r="B404" s="38">
        <v>482.55</v>
      </c>
      <c r="C404" s="11">
        <f t="shared" si="1"/>
        <v>-0.0006213109661</v>
      </c>
      <c r="D404" s="13">
        <f t="shared" si="2"/>
        <v>-0.0006213109661</v>
      </c>
      <c r="E404" s="11" t="s">
        <v>353</v>
      </c>
      <c r="F404" s="12">
        <v>17956.5</v>
      </c>
      <c r="G404" s="11">
        <v>6.8267E-4</v>
      </c>
      <c r="H404" s="13">
        <v>7.0E-4</v>
      </c>
      <c r="J404" s="15"/>
      <c r="K404" s="11"/>
      <c r="L404" s="11"/>
      <c r="M404" s="11"/>
      <c r="N404" s="11"/>
    </row>
    <row r="405" ht="15.75" customHeight="1">
      <c r="A405" s="11" t="s">
        <v>354</v>
      </c>
      <c r="B405" s="38">
        <v>482.85</v>
      </c>
      <c r="C405" s="11">
        <f t="shared" si="1"/>
        <v>-0.002376033058</v>
      </c>
      <c r="D405" s="13">
        <f t="shared" si="2"/>
        <v>-0.002376033058</v>
      </c>
      <c r="E405" s="11" t="s">
        <v>354</v>
      </c>
      <c r="F405" s="12">
        <v>17944.25</v>
      </c>
      <c r="G405" s="11">
        <v>0.006675923</v>
      </c>
      <c r="H405" s="13">
        <v>0.0067</v>
      </c>
      <c r="J405" s="15"/>
      <c r="K405" s="11"/>
      <c r="L405" s="11"/>
      <c r="M405" s="11"/>
      <c r="N405" s="11"/>
    </row>
    <row r="406" ht="15.75" customHeight="1">
      <c r="A406" s="11" t="s">
        <v>355</v>
      </c>
      <c r="B406" s="38">
        <v>484.0</v>
      </c>
      <c r="C406" s="11">
        <f t="shared" si="1"/>
        <v>0.03684661525</v>
      </c>
      <c r="D406" s="13">
        <f t="shared" si="2"/>
        <v>0.03684661525</v>
      </c>
      <c r="E406" s="11" t="s">
        <v>355</v>
      </c>
      <c r="F406" s="12">
        <v>17825.25</v>
      </c>
      <c r="G406" s="11">
        <v>0.007181542</v>
      </c>
      <c r="H406" s="13">
        <v>0.0072</v>
      </c>
      <c r="J406" s="15"/>
      <c r="K406" s="11"/>
      <c r="L406" s="11"/>
      <c r="M406" s="11"/>
      <c r="N406" s="11"/>
    </row>
    <row r="407" ht="15.75" customHeight="1">
      <c r="A407" s="35">
        <v>44903.0</v>
      </c>
      <c r="B407" s="38">
        <v>466.8</v>
      </c>
      <c r="C407" s="11">
        <f t="shared" si="1"/>
        <v>-0.01362916006</v>
      </c>
      <c r="D407" s="13">
        <f t="shared" si="2"/>
        <v>-0.01362916006</v>
      </c>
      <c r="E407" s="35">
        <v>44903.0</v>
      </c>
      <c r="F407" s="12">
        <v>17698.15</v>
      </c>
      <c r="G407" s="11">
        <v>0.002217</v>
      </c>
      <c r="H407" s="13">
        <v>0.0022</v>
      </c>
      <c r="J407" s="15"/>
      <c r="K407" s="11"/>
      <c r="L407" s="11"/>
      <c r="M407" s="11"/>
      <c r="N407" s="11"/>
    </row>
    <row r="408" ht="15.75" customHeight="1">
      <c r="A408" s="35">
        <v>44873.0</v>
      </c>
      <c r="B408" s="38">
        <v>473.25</v>
      </c>
      <c r="C408" s="11">
        <f t="shared" si="1"/>
        <v>-0.006924771797</v>
      </c>
      <c r="D408" s="13">
        <f t="shared" si="2"/>
        <v>-0.006924771797</v>
      </c>
      <c r="E408" s="35">
        <v>44873.0</v>
      </c>
      <c r="F408" s="12">
        <v>17659.0</v>
      </c>
      <c r="G408" s="11">
        <v>0.007085929</v>
      </c>
      <c r="H408" s="13">
        <v>0.0071</v>
      </c>
      <c r="J408" s="15"/>
      <c r="K408" s="11"/>
      <c r="L408" s="11"/>
      <c r="M408" s="11"/>
      <c r="N408" s="11"/>
    </row>
    <row r="409" ht="15.75" customHeight="1">
      <c r="A409" s="35">
        <v>44842.0</v>
      </c>
      <c r="B409" s="38">
        <v>476.55</v>
      </c>
      <c r="C409" s="11">
        <f t="shared" si="1"/>
        <v>-0.01772647635</v>
      </c>
      <c r="D409" s="13">
        <f t="shared" si="2"/>
        <v>-0.01772647635</v>
      </c>
      <c r="E409" s="35">
        <v>44842.0</v>
      </c>
      <c r="F409" s="12">
        <v>17534.75</v>
      </c>
      <c r="G409" s="11">
        <v>5.50639E-4</v>
      </c>
      <c r="H409" s="13">
        <v>6.0E-4</v>
      </c>
      <c r="J409" s="15"/>
      <c r="K409" s="11"/>
      <c r="L409" s="11"/>
      <c r="M409" s="11"/>
      <c r="N409" s="11"/>
    </row>
    <row r="410" ht="15.75" customHeight="1">
      <c r="A410" s="35">
        <v>44781.0</v>
      </c>
      <c r="B410" s="38">
        <v>485.15</v>
      </c>
      <c r="C410" s="11">
        <f t="shared" si="1"/>
        <v>-0.02560755172</v>
      </c>
      <c r="D410" s="13">
        <f t="shared" si="2"/>
        <v>-0.02560755172</v>
      </c>
      <c r="E410" s="35">
        <v>44781.0</v>
      </c>
      <c r="F410" s="12">
        <v>17525.1</v>
      </c>
      <c r="G410" s="11">
        <v>0.007334387</v>
      </c>
      <c r="H410" s="13">
        <v>0.0073</v>
      </c>
      <c r="J410" s="15"/>
      <c r="K410" s="11"/>
      <c r="L410" s="11"/>
      <c r="M410" s="11"/>
      <c r="N410" s="11"/>
    </row>
    <row r="411" ht="15.75" customHeight="1">
      <c r="A411" s="35">
        <v>44689.0</v>
      </c>
      <c r="B411" s="38">
        <v>497.9</v>
      </c>
      <c r="C411" s="11">
        <f t="shared" si="1"/>
        <v>0.0003013561025</v>
      </c>
      <c r="D411" s="13">
        <f t="shared" si="2"/>
        <v>0.0003013561025</v>
      </c>
      <c r="E411" s="35">
        <v>44689.0</v>
      </c>
      <c r="F411" s="12">
        <v>17397.5</v>
      </c>
      <c r="G411" s="11">
        <v>8.91727E-4</v>
      </c>
      <c r="H411" s="13">
        <v>9.0E-4</v>
      </c>
      <c r="J411" s="15"/>
      <c r="K411" s="11"/>
      <c r="L411" s="11"/>
      <c r="M411" s="11"/>
      <c r="N411" s="11"/>
    </row>
    <row r="412" ht="15.75" customHeight="1">
      <c r="A412" s="35">
        <v>44659.0</v>
      </c>
      <c r="B412" s="38">
        <v>497.75</v>
      </c>
      <c r="C412" s="11">
        <f t="shared" si="1"/>
        <v>-0.02258222877</v>
      </c>
      <c r="D412" s="13">
        <f t="shared" si="2"/>
        <v>-0.02258222877</v>
      </c>
      <c r="E412" s="35">
        <v>44659.0</v>
      </c>
      <c r="F412" s="12">
        <v>17382.0</v>
      </c>
      <c r="G412" s="11">
        <v>-3.53689E-4</v>
      </c>
      <c r="H412" s="13">
        <v>-4.0E-4</v>
      </c>
      <c r="J412" s="15"/>
      <c r="K412" s="11"/>
      <c r="L412" s="11"/>
      <c r="M412" s="11"/>
      <c r="N412" s="11"/>
    </row>
    <row r="413" ht="15.75" customHeight="1">
      <c r="A413" s="35">
        <v>44628.0</v>
      </c>
      <c r="B413" s="38">
        <v>509.25</v>
      </c>
      <c r="C413" s="11">
        <f t="shared" si="1"/>
        <v>0.02619647355</v>
      </c>
      <c r="D413" s="13">
        <f t="shared" si="2"/>
        <v>0.02619647355</v>
      </c>
      <c r="E413" s="35">
        <v>44628.0</v>
      </c>
      <c r="F413" s="12">
        <v>17388.15</v>
      </c>
      <c r="G413" s="11">
        <v>0.002461741</v>
      </c>
      <c r="H413" s="13">
        <v>0.0025</v>
      </c>
      <c r="J413" s="15"/>
      <c r="K413" s="11"/>
      <c r="L413" s="11"/>
      <c r="M413" s="11"/>
      <c r="N413" s="11"/>
    </row>
    <row r="414" ht="15.75" customHeight="1">
      <c r="A414" s="35">
        <v>44600.0</v>
      </c>
      <c r="B414" s="38">
        <v>496.25</v>
      </c>
      <c r="C414" s="11">
        <f t="shared" si="1"/>
        <v>0.04374802818</v>
      </c>
      <c r="D414" s="13">
        <f t="shared" si="2"/>
        <v>0.04374802818</v>
      </c>
      <c r="E414" s="35">
        <v>44600.0</v>
      </c>
      <c r="F414" s="12">
        <v>17345.45</v>
      </c>
      <c r="G414" s="11">
        <v>3.11418E-4</v>
      </c>
      <c r="H414" s="13">
        <v>3.0E-4</v>
      </c>
      <c r="J414" s="15"/>
      <c r="K414" s="11"/>
      <c r="L414" s="11"/>
      <c r="M414" s="11"/>
      <c r="N414" s="11"/>
    </row>
    <row r="415" ht="15.75" customHeight="1">
      <c r="A415" s="35">
        <v>44569.0</v>
      </c>
      <c r="B415" s="38">
        <v>475.45</v>
      </c>
      <c r="C415" s="11">
        <f t="shared" si="1"/>
        <v>0.01256522202</v>
      </c>
      <c r="D415" s="13">
        <f t="shared" si="2"/>
        <v>0.01256522202</v>
      </c>
      <c r="E415" s="35">
        <v>44569.0</v>
      </c>
      <c r="F415" s="12">
        <v>17340.05</v>
      </c>
      <c r="G415" s="11">
        <v>0.010595486</v>
      </c>
      <c r="H415" s="13">
        <v>0.0106</v>
      </c>
      <c r="J415" s="15"/>
      <c r="K415" s="11"/>
      <c r="L415" s="11"/>
      <c r="M415" s="11"/>
      <c r="N415" s="11"/>
    </row>
    <row r="416" ht="15.75" customHeight="1">
      <c r="A416" s="11" t="s">
        <v>356</v>
      </c>
      <c r="B416" s="38">
        <v>469.55</v>
      </c>
      <c r="C416" s="11">
        <f t="shared" si="1"/>
        <v>-0.004030119843</v>
      </c>
      <c r="D416" s="13">
        <f t="shared" si="2"/>
        <v>-0.004030119843</v>
      </c>
      <c r="E416" s="11" t="s">
        <v>356</v>
      </c>
      <c r="F416" s="12">
        <v>17158.25</v>
      </c>
      <c r="G416" s="11">
        <v>0.01350593</v>
      </c>
      <c r="H416" s="13">
        <v>0.0135</v>
      </c>
      <c r="J416" s="15"/>
      <c r="K416" s="11"/>
      <c r="L416" s="11"/>
      <c r="M416" s="11"/>
      <c r="N416" s="11"/>
    </row>
    <row r="417" ht="15.75" customHeight="1">
      <c r="A417" s="11" t="s">
        <v>357</v>
      </c>
      <c r="B417" s="38">
        <v>471.45</v>
      </c>
      <c r="C417" s="11">
        <f t="shared" si="1"/>
        <v>0.002232142857</v>
      </c>
      <c r="D417" s="13">
        <f t="shared" si="2"/>
        <v>0.002232142857</v>
      </c>
      <c r="E417" s="11" t="s">
        <v>357</v>
      </c>
      <c r="F417" s="12">
        <v>16929.6</v>
      </c>
      <c r="G417" s="11">
        <v>0.017293802</v>
      </c>
      <c r="H417" s="13">
        <v>0.0173</v>
      </c>
      <c r="J417" s="15"/>
      <c r="K417" s="11"/>
      <c r="L417" s="11"/>
      <c r="M417" s="11"/>
      <c r="N417" s="11"/>
    </row>
    <row r="418" ht="15.75" customHeight="1">
      <c r="A418" s="11" t="s">
        <v>358</v>
      </c>
      <c r="B418" s="38">
        <v>470.4</v>
      </c>
      <c r="C418" s="11">
        <f t="shared" si="1"/>
        <v>0.01161290323</v>
      </c>
      <c r="D418" s="13">
        <f t="shared" si="2"/>
        <v>0.01161290323</v>
      </c>
      <c r="E418" s="11" t="s">
        <v>358</v>
      </c>
      <c r="F418" s="12">
        <v>16641.8</v>
      </c>
      <c r="G418" s="11">
        <v>0.009582106</v>
      </c>
      <c r="H418" s="13">
        <v>0.0096</v>
      </c>
      <c r="J418" s="15"/>
      <c r="K418" s="11"/>
      <c r="L418" s="11"/>
      <c r="M418" s="11"/>
      <c r="N418" s="11"/>
    </row>
    <row r="419" ht="15.75" customHeight="1">
      <c r="A419" s="11" t="s">
        <v>359</v>
      </c>
      <c r="B419" s="38">
        <v>465.0</v>
      </c>
      <c r="C419" s="11">
        <f t="shared" si="1"/>
        <v>-0.01649746193</v>
      </c>
      <c r="D419" s="13">
        <f t="shared" si="2"/>
        <v>-0.01649746193</v>
      </c>
      <c r="E419" s="11" t="s">
        <v>359</v>
      </c>
      <c r="F419" s="12">
        <v>16483.85</v>
      </c>
      <c r="G419" s="11">
        <v>-0.008847935</v>
      </c>
      <c r="H419" s="13">
        <v>-0.0088</v>
      </c>
      <c r="J419" s="15"/>
      <c r="K419" s="11"/>
      <c r="L419" s="11"/>
      <c r="M419" s="11"/>
      <c r="N419" s="11"/>
    </row>
    <row r="420" ht="15.75" customHeight="1">
      <c r="A420" s="11" t="s">
        <v>360</v>
      </c>
      <c r="B420" s="38">
        <v>472.8</v>
      </c>
      <c r="C420" s="11">
        <f t="shared" si="1"/>
        <v>-0.01510259348</v>
      </c>
      <c r="D420" s="13">
        <f t="shared" si="2"/>
        <v>-0.01510259348</v>
      </c>
      <c r="E420" s="11" t="s">
        <v>360</v>
      </c>
      <c r="F420" s="12">
        <v>16631.0</v>
      </c>
      <c r="G420" s="11">
        <v>-0.005290246</v>
      </c>
      <c r="H420" s="13">
        <v>-0.0053</v>
      </c>
      <c r="J420" s="15"/>
      <c r="K420" s="11"/>
      <c r="L420" s="11"/>
      <c r="M420" s="11"/>
      <c r="N420" s="11"/>
    </row>
    <row r="421" ht="15.75" customHeight="1">
      <c r="A421" s="11" t="s">
        <v>361</v>
      </c>
      <c r="B421" s="38">
        <v>480.05</v>
      </c>
      <c r="C421" s="11">
        <f t="shared" si="1"/>
        <v>-0.03157151503</v>
      </c>
      <c r="D421" s="13">
        <f t="shared" si="2"/>
        <v>-0.03157151503</v>
      </c>
      <c r="E421" s="11" t="s">
        <v>361</v>
      </c>
      <c r="F421" s="12">
        <v>16719.45</v>
      </c>
      <c r="G421" s="11">
        <v>0.006877343</v>
      </c>
      <c r="H421" s="13">
        <v>0.0069</v>
      </c>
      <c r="J421" s="15"/>
      <c r="K421" s="11"/>
      <c r="L421" s="11"/>
      <c r="M421" s="11"/>
      <c r="N421" s="11"/>
    </row>
    <row r="422" ht="15.75" customHeight="1">
      <c r="A422" s="11" t="s">
        <v>362</v>
      </c>
      <c r="B422" s="38">
        <v>495.7</v>
      </c>
      <c r="C422" s="11">
        <f t="shared" si="1"/>
        <v>0.00926397231</v>
      </c>
      <c r="D422" s="13">
        <f t="shared" si="2"/>
        <v>0.00926397231</v>
      </c>
      <c r="E422" s="11" t="s">
        <v>362</v>
      </c>
      <c r="F422" s="12">
        <v>16605.25</v>
      </c>
      <c r="G422" s="11">
        <v>0.005108696</v>
      </c>
      <c r="H422" s="13">
        <v>0.0051</v>
      </c>
      <c r="J422" s="15"/>
      <c r="K422" s="11"/>
      <c r="L422" s="11"/>
      <c r="M422" s="11"/>
      <c r="N422" s="11"/>
    </row>
    <row r="423" ht="15.75" customHeight="1">
      <c r="A423" s="11" t="s">
        <v>363</v>
      </c>
      <c r="B423" s="38">
        <v>491.15</v>
      </c>
      <c r="C423" s="11">
        <f t="shared" si="1"/>
        <v>0.002858601327</v>
      </c>
      <c r="D423" s="13">
        <f t="shared" si="2"/>
        <v>0.002858601327</v>
      </c>
      <c r="E423" s="11" t="s">
        <v>363</v>
      </c>
      <c r="F423" s="12">
        <v>16520.85</v>
      </c>
      <c r="G423" s="11">
        <v>0.0110339</v>
      </c>
      <c r="H423" s="13">
        <v>0.011</v>
      </c>
      <c r="J423" s="15"/>
      <c r="K423" s="11"/>
      <c r="L423" s="11"/>
      <c r="M423" s="11"/>
      <c r="N423" s="11"/>
    </row>
    <row r="424" ht="15.75" customHeight="1">
      <c r="A424" s="11" t="s">
        <v>364</v>
      </c>
      <c r="B424" s="38">
        <v>489.75</v>
      </c>
      <c r="C424" s="11">
        <f t="shared" si="1"/>
        <v>0.02856242781</v>
      </c>
      <c r="D424" s="13">
        <f t="shared" si="2"/>
        <v>0.02856242781</v>
      </c>
      <c r="E424" s="11" t="s">
        <v>364</v>
      </c>
      <c r="F424" s="12">
        <v>16340.55</v>
      </c>
      <c r="G424" s="11">
        <v>0.003811776</v>
      </c>
      <c r="H424" s="13">
        <v>0.0038</v>
      </c>
      <c r="J424" s="15"/>
      <c r="K424" s="11"/>
      <c r="L424" s="11"/>
      <c r="M424" s="11"/>
      <c r="N424" s="11"/>
    </row>
    <row r="425" ht="15.75" customHeight="1">
      <c r="A425" s="11" t="s">
        <v>365</v>
      </c>
      <c r="B425" s="38">
        <v>476.15</v>
      </c>
      <c r="C425" s="11">
        <f t="shared" si="1"/>
        <v>0.007085448393</v>
      </c>
      <c r="D425" s="13">
        <f t="shared" si="2"/>
        <v>0.007085448393</v>
      </c>
      <c r="E425" s="11" t="s">
        <v>365</v>
      </c>
      <c r="F425" s="12">
        <v>16278.5</v>
      </c>
      <c r="G425" s="11">
        <v>0.014287317</v>
      </c>
      <c r="H425" s="13">
        <v>0.0143</v>
      </c>
      <c r="J425" s="15"/>
      <c r="K425" s="11"/>
      <c r="L425" s="11"/>
      <c r="M425" s="11"/>
      <c r="N425" s="11"/>
    </row>
    <row r="426" ht="15.75" customHeight="1">
      <c r="A426" s="11" t="s">
        <v>366</v>
      </c>
      <c r="B426" s="38">
        <v>472.8</v>
      </c>
      <c r="C426" s="11">
        <f t="shared" si="1"/>
        <v>0.01470114819</v>
      </c>
      <c r="D426" s="13">
        <f t="shared" si="2"/>
        <v>0.01470114819</v>
      </c>
      <c r="E426" s="11" t="s">
        <v>366</v>
      </c>
      <c r="F426" s="12">
        <v>16049.2</v>
      </c>
      <c r="G426" s="11">
        <v>0.00693597</v>
      </c>
      <c r="H426" s="13">
        <v>0.0069</v>
      </c>
      <c r="J426" s="15"/>
      <c r="K426" s="11"/>
      <c r="L426" s="11"/>
      <c r="M426" s="11"/>
      <c r="N426" s="11"/>
    </row>
    <row r="427" ht="15.75" customHeight="1">
      <c r="A427" s="11" t="s">
        <v>367</v>
      </c>
      <c r="B427" s="38">
        <v>465.95</v>
      </c>
      <c r="C427" s="11">
        <f t="shared" si="1"/>
        <v>-0.03098679422</v>
      </c>
      <c r="D427" s="13">
        <f t="shared" si="2"/>
        <v>-0.03098679422</v>
      </c>
      <c r="E427" s="11" t="s">
        <v>367</v>
      </c>
      <c r="F427" s="12">
        <v>15938.65</v>
      </c>
      <c r="G427" s="11">
        <v>-0.001753655</v>
      </c>
      <c r="H427" s="13">
        <v>-0.0018</v>
      </c>
      <c r="J427" s="15"/>
      <c r="K427" s="11"/>
      <c r="L427" s="11"/>
      <c r="M427" s="11"/>
      <c r="N427" s="11"/>
    </row>
    <row r="428" ht="15.75" customHeight="1">
      <c r="A428" s="11" t="s">
        <v>368</v>
      </c>
      <c r="B428" s="38">
        <v>480.85</v>
      </c>
      <c r="C428" s="11">
        <f t="shared" si="1"/>
        <v>-0.01323619947</v>
      </c>
      <c r="D428" s="13">
        <f t="shared" si="2"/>
        <v>-0.01323619947</v>
      </c>
      <c r="E428" s="11" t="s">
        <v>368</v>
      </c>
      <c r="F428" s="12">
        <v>15966.65</v>
      </c>
      <c r="G428" s="11">
        <v>-0.005707329</v>
      </c>
      <c r="H428" s="13">
        <v>-0.0057</v>
      </c>
      <c r="J428" s="15"/>
      <c r="K428" s="11"/>
      <c r="L428" s="11"/>
      <c r="M428" s="11"/>
      <c r="N428" s="11"/>
    </row>
    <row r="429" ht="15.75" customHeight="1">
      <c r="A429" s="35">
        <v>44902.0</v>
      </c>
      <c r="B429" s="38">
        <v>487.3</v>
      </c>
      <c r="C429" s="11">
        <f t="shared" si="1"/>
        <v>0.0617714348</v>
      </c>
      <c r="D429" s="13">
        <f t="shared" si="2"/>
        <v>0.0617714348</v>
      </c>
      <c r="E429" s="35">
        <v>44902.0</v>
      </c>
      <c r="F429" s="12">
        <v>16058.3</v>
      </c>
      <c r="G429" s="11">
        <v>-0.009724963</v>
      </c>
      <c r="H429" s="13">
        <v>-0.0097</v>
      </c>
      <c r="J429" s="15"/>
      <c r="K429" s="11"/>
      <c r="L429" s="11"/>
      <c r="M429" s="11"/>
      <c r="N429" s="11"/>
    </row>
    <row r="430" ht="15.75" customHeight="1">
      <c r="A430" s="35">
        <v>44872.0</v>
      </c>
      <c r="B430" s="38">
        <v>458.95</v>
      </c>
      <c r="C430" s="11">
        <f t="shared" si="1"/>
        <v>0.024327642</v>
      </c>
      <c r="D430" s="13">
        <f t="shared" si="2"/>
        <v>0.024327642</v>
      </c>
      <c r="E430" s="35">
        <v>44872.0</v>
      </c>
      <c r="F430" s="12">
        <v>16216.0</v>
      </c>
      <c r="G430" s="11">
        <v>-2.8359E-4</v>
      </c>
      <c r="H430" s="13">
        <v>-3.0E-4</v>
      </c>
      <c r="J430" s="15"/>
      <c r="K430" s="11"/>
      <c r="L430" s="11"/>
      <c r="M430" s="11"/>
      <c r="N430" s="11"/>
    </row>
    <row r="431" ht="15.75" customHeight="1">
      <c r="A431" s="35">
        <v>44780.0</v>
      </c>
      <c r="B431" s="38">
        <v>448.05</v>
      </c>
      <c r="C431" s="11">
        <f t="shared" si="1"/>
        <v>0.002461125406</v>
      </c>
      <c r="D431" s="13">
        <f t="shared" si="2"/>
        <v>0.002461125406</v>
      </c>
      <c r="E431" s="35">
        <v>44780.0</v>
      </c>
      <c r="F431" s="12">
        <v>16220.6</v>
      </c>
      <c r="G431" s="11">
        <v>0.005436096</v>
      </c>
      <c r="H431" s="13">
        <v>0.0054</v>
      </c>
      <c r="J431" s="15"/>
      <c r="K431" s="11"/>
      <c r="L431" s="11"/>
      <c r="M431" s="11"/>
      <c r="N431" s="11"/>
    </row>
    <row r="432" ht="15.75" customHeight="1">
      <c r="A432" s="35">
        <v>44749.0</v>
      </c>
      <c r="B432" s="38">
        <v>446.95</v>
      </c>
      <c r="C432" s="11">
        <f t="shared" si="1"/>
        <v>0.001232078853</v>
      </c>
      <c r="D432" s="13">
        <f t="shared" si="2"/>
        <v>0.001232078853</v>
      </c>
      <c r="E432" s="35">
        <v>44749.0</v>
      </c>
      <c r="F432" s="12">
        <v>16132.9</v>
      </c>
      <c r="G432" s="11">
        <v>0.008949455</v>
      </c>
      <c r="H432" s="13">
        <v>0.0089</v>
      </c>
      <c r="J432" s="15"/>
      <c r="K432" s="11"/>
      <c r="L432" s="11"/>
      <c r="M432" s="11"/>
      <c r="N432" s="11"/>
    </row>
    <row r="433" ht="15.75" customHeight="1">
      <c r="A433" s="35">
        <v>44719.0</v>
      </c>
      <c r="B433" s="38">
        <v>446.4</v>
      </c>
      <c r="C433" s="11">
        <f t="shared" si="1"/>
        <v>-0.006233303651</v>
      </c>
      <c r="D433" s="13">
        <f t="shared" si="2"/>
        <v>-0.006233303651</v>
      </c>
      <c r="E433" s="35">
        <v>44719.0</v>
      </c>
      <c r="F433" s="12">
        <v>15989.8</v>
      </c>
      <c r="G433" s="11">
        <v>0.011318177</v>
      </c>
      <c r="H433" s="13">
        <v>0.0113</v>
      </c>
      <c r="J433" s="15"/>
      <c r="K433" s="11"/>
      <c r="L433" s="11"/>
      <c r="M433" s="11"/>
      <c r="N433" s="11"/>
    </row>
    <row r="434" ht="15.75" customHeight="1">
      <c r="A434" s="35">
        <v>44688.0</v>
      </c>
      <c r="B434" s="38">
        <v>449.2</v>
      </c>
      <c r="C434" s="11">
        <f t="shared" si="1"/>
        <v>0.01148390002</v>
      </c>
      <c r="D434" s="13">
        <f t="shared" si="2"/>
        <v>0.01148390002</v>
      </c>
      <c r="E434" s="35">
        <v>44688.0</v>
      </c>
      <c r="F434" s="12">
        <v>15810.85</v>
      </c>
      <c r="G434" s="11">
        <v>-0.001547171</v>
      </c>
      <c r="H434" s="13">
        <v>-0.0015</v>
      </c>
      <c r="J434" s="15"/>
      <c r="K434" s="11"/>
      <c r="L434" s="11"/>
      <c r="M434" s="11"/>
      <c r="N434" s="11"/>
    </row>
    <row r="435" ht="15.75" customHeight="1">
      <c r="A435" s="35">
        <v>44658.0</v>
      </c>
      <c r="B435" s="38">
        <v>444.1</v>
      </c>
      <c r="C435" s="11">
        <f t="shared" si="1"/>
        <v>-0.006709908298</v>
      </c>
      <c r="D435" s="13">
        <f t="shared" si="2"/>
        <v>-0.006709908298</v>
      </c>
      <c r="E435" s="35">
        <v>44658.0</v>
      </c>
      <c r="F435" s="12">
        <v>15835.35</v>
      </c>
      <c r="G435" s="11">
        <v>0.005288201</v>
      </c>
      <c r="H435" s="13">
        <v>0.0053</v>
      </c>
      <c r="J435" s="15"/>
      <c r="K435" s="11"/>
      <c r="L435" s="11"/>
      <c r="M435" s="11"/>
      <c r="N435" s="11"/>
    </row>
    <row r="436" ht="15.75" customHeight="1">
      <c r="A436" s="35">
        <v>44568.0</v>
      </c>
      <c r="B436" s="38">
        <v>447.1</v>
      </c>
      <c r="C436" s="11">
        <f t="shared" si="1"/>
        <v>-0.008427589266</v>
      </c>
      <c r="D436" s="13">
        <f t="shared" si="2"/>
        <v>-0.008427589266</v>
      </c>
      <c r="E436" s="35">
        <v>44568.0</v>
      </c>
      <c r="F436" s="12">
        <v>15752.05</v>
      </c>
      <c r="G436" s="11">
        <v>-0.001787044</v>
      </c>
      <c r="H436" s="13">
        <v>-0.0018</v>
      </c>
      <c r="J436" s="15"/>
      <c r="K436" s="11"/>
      <c r="L436" s="11"/>
      <c r="M436" s="11"/>
      <c r="N436" s="11"/>
    </row>
    <row r="437" ht="15.75" customHeight="1">
      <c r="A437" s="11" t="s">
        <v>369</v>
      </c>
      <c r="B437" s="38">
        <v>450.9</v>
      </c>
      <c r="C437" s="11">
        <f t="shared" si="1"/>
        <v>-0.01539469374</v>
      </c>
      <c r="D437" s="13">
        <f t="shared" si="2"/>
        <v>-0.01539469374</v>
      </c>
      <c r="E437" s="11" t="s">
        <v>369</v>
      </c>
      <c r="F437" s="12">
        <v>15780.25</v>
      </c>
      <c r="G437" s="11">
        <v>-0.001193106</v>
      </c>
      <c r="H437" s="13">
        <v>-0.0012</v>
      </c>
      <c r="J437" s="15"/>
      <c r="K437" s="11"/>
      <c r="L437" s="11"/>
      <c r="M437" s="11"/>
      <c r="N437" s="11"/>
    </row>
    <row r="438" ht="15.75" customHeight="1">
      <c r="A438" s="11" t="s">
        <v>370</v>
      </c>
      <c r="B438" s="38">
        <v>457.95</v>
      </c>
      <c r="C438" s="11">
        <f t="shared" si="1"/>
        <v>0.03926018382</v>
      </c>
      <c r="D438" s="13">
        <f t="shared" si="2"/>
        <v>0.03926018382</v>
      </c>
      <c r="E438" s="11" t="s">
        <v>370</v>
      </c>
      <c r="F438" s="12">
        <v>15799.1</v>
      </c>
      <c r="G438" s="11">
        <v>-0.003223934</v>
      </c>
      <c r="H438" s="13">
        <v>-0.0032</v>
      </c>
      <c r="J438" s="15"/>
      <c r="K438" s="11"/>
      <c r="L438" s="11"/>
      <c r="M438" s="11"/>
      <c r="N438" s="11"/>
    </row>
    <row r="439" ht="15.75" customHeight="1">
      <c r="A439" s="11" t="s">
        <v>371</v>
      </c>
      <c r="B439" s="38">
        <v>440.65</v>
      </c>
      <c r="C439" s="11">
        <f t="shared" si="1"/>
        <v>-0.001586042823</v>
      </c>
      <c r="D439" s="13">
        <f t="shared" si="2"/>
        <v>-0.001586042823</v>
      </c>
      <c r="E439" s="11" t="s">
        <v>371</v>
      </c>
      <c r="F439" s="12">
        <v>15850.2</v>
      </c>
      <c r="G439" s="11">
        <v>0.001146409</v>
      </c>
      <c r="H439" s="13">
        <v>0.0011</v>
      </c>
      <c r="J439" s="15"/>
      <c r="K439" s="11"/>
      <c r="L439" s="11"/>
      <c r="M439" s="11"/>
      <c r="N439" s="11"/>
    </row>
    <row r="440" ht="15.75" customHeight="1">
      <c r="A440" s="11" t="s">
        <v>372</v>
      </c>
      <c r="B440" s="38">
        <v>441.35</v>
      </c>
      <c r="C440" s="11">
        <f t="shared" si="1"/>
        <v>0.001474926254</v>
      </c>
      <c r="D440" s="13">
        <f t="shared" si="2"/>
        <v>0.001474926254</v>
      </c>
      <c r="E440" s="11" t="s">
        <v>372</v>
      </c>
      <c r="F440" s="12">
        <v>15832.05</v>
      </c>
      <c r="G440" s="11">
        <v>0.008459003</v>
      </c>
      <c r="H440" s="13">
        <v>0.0085</v>
      </c>
      <c r="J440" s="15"/>
      <c r="K440" s="11"/>
      <c r="L440" s="11"/>
      <c r="M440" s="11"/>
      <c r="N440" s="11"/>
    </row>
    <row r="441" ht="15.75" customHeight="1">
      <c r="A441" s="11" t="s">
        <v>373</v>
      </c>
      <c r="B441" s="38">
        <v>440.7</v>
      </c>
      <c r="C441" s="11">
        <f t="shared" si="1"/>
        <v>0.02286178484</v>
      </c>
      <c r="D441" s="13">
        <f t="shared" si="2"/>
        <v>0.02286178484</v>
      </c>
      <c r="E441" s="11" t="s">
        <v>373</v>
      </c>
      <c r="F441" s="12">
        <v>15699.25</v>
      </c>
      <c r="G441" s="11">
        <v>0.009166498</v>
      </c>
      <c r="H441" s="13">
        <v>0.0092</v>
      </c>
      <c r="J441" s="15"/>
      <c r="K441" s="11"/>
      <c r="L441" s="11"/>
      <c r="M441" s="11"/>
      <c r="N441" s="11"/>
    </row>
    <row r="442" ht="15.75" customHeight="1">
      <c r="A442" s="11" t="s">
        <v>374</v>
      </c>
      <c r="B442" s="38">
        <v>430.85</v>
      </c>
      <c r="C442" s="11">
        <f t="shared" si="1"/>
        <v>0.01364545348</v>
      </c>
      <c r="D442" s="13">
        <f t="shared" si="2"/>
        <v>0.01364545348</v>
      </c>
      <c r="E442" s="11" t="s">
        <v>374</v>
      </c>
      <c r="F442" s="12">
        <v>15556.65</v>
      </c>
      <c r="G442" s="11">
        <v>0.009300409</v>
      </c>
      <c r="H442" s="13">
        <v>0.0093</v>
      </c>
      <c r="J442" s="15"/>
      <c r="K442" s="11"/>
      <c r="L442" s="11"/>
      <c r="M442" s="11"/>
      <c r="N442" s="11"/>
    </row>
    <row r="443" ht="15.75" customHeight="1">
      <c r="A443" s="11" t="s">
        <v>375</v>
      </c>
      <c r="B443" s="38">
        <v>425.05</v>
      </c>
      <c r="C443" s="11">
        <f t="shared" si="1"/>
        <v>-0.01151162791</v>
      </c>
      <c r="D443" s="13">
        <f t="shared" si="2"/>
        <v>-0.01151162791</v>
      </c>
      <c r="E443" s="11" t="s">
        <v>375</v>
      </c>
      <c r="F443" s="12">
        <v>15413.3</v>
      </c>
      <c r="G443" s="11">
        <v>-0.014419265</v>
      </c>
      <c r="H443" s="13">
        <v>-0.0144</v>
      </c>
      <c r="J443" s="15"/>
      <c r="K443" s="11"/>
      <c r="L443" s="11"/>
      <c r="M443" s="11"/>
      <c r="N443" s="11"/>
    </row>
    <row r="444" ht="15.75" customHeight="1">
      <c r="A444" s="11" t="s">
        <v>376</v>
      </c>
      <c r="B444" s="38">
        <v>430.0</v>
      </c>
      <c r="C444" s="11">
        <f t="shared" si="1"/>
        <v>0.02613053335</v>
      </c>
      <c r="D444" s="13">
        <f t="shared" si="2"/>
        <v>0.02613053335</v>
      </c>
      <c r="E444" s="11" t="s">
        <v>376</v>
      </c>
      <c r="F444" s="12">
        <v>15638.8</v>
      </c>
      <c r="G444" s="11">
        <v>0.018804377</v>
      </c>
      <c r="H444" s="13">
        <v>0.0188</v>
      </c>
      <c r="J444" s="15"/>
      <c r="K444" s="11"/>
      <c r="L444" s="11"/>
      <c r="M444" s="11"/>
      <c r="N444" s="11"/>
    </row>
    <row r="445" ht="15.75" customHeight="1">
      <c r="A445" s="11" t="s">
        <v>377</v>
      </c>
      <c r="B445" s="38">
        <v>419.05</v>
      </c>
      <c r="C445" s="11">
        <f t="shared" si="1"/>
        <v>-0.003803637228</v>
      </c>
      <c r="D445" s="13">
        <f t="shared" si="2"/>
        <v>-0.003803637228</v>
      </c>
      <c r="E445" s="11" t="s">
        <v>377</v>
      </c>
      <c r="F445" s="12">
        <v>15350.15</v>
      </c>
      <c r="G445" s="11">
        <v>0.003704188</v>
      </c>
      <c r="H445" s="13">
        <v>0.0037</v>
      </c>
      <c r="J445" s="15"/>
      <c r="K445" s="11"/>
      <c r="L445" s="11"/>
      <c r="M445" s="11"/>
      <c r="N445" s="11"/>
    </row>
    <row r="446" ht="15.75" customHeight="1">
      <c r="A446" s="11" t="s">
        <v>378</v>
      </c>
      <c r="B446" s="38">
        <v>420.65</v>
      </c>
      <c r="C446" s="11">
        <f t="shared" si="1"/>
        <v>-0.01866324507</v>
      </c>
      <c r="D446" s="13">
        <f t="shared" si="2"/>
        <v>-0.01866324507</v>
      </c>
      <c r="E446" s="11" t="s">
        <v>378</v>
      </c>
      <c r="F446" s="12">
        <v>15293.5</v>
      </c>
      <c r="G446" s="11">
        <v>-0.004368319</v>
      </c>
      <c r="H446" s="13">
        <v>-0.0044</v>
      </c>
      <c r="J446" s="15"/>
      <c r="K446" s="11"/>
      <c r="L446" s="11"/>
      <c r="M446" s="11"/>
      <c r="N446" s="11"/>
    </row>
    <row r="447" ht="15.75" customHeight="1">
      <c r="A447" s="11" t="s">
        <v>379</v>
      </c>
      <c r="B447" s="38">
        <v>428.65</v>
      </c>
      <c r="C447" s="11">
        <f t="shared" si="1"/>
        <v>-0.04691495275</v>
      </c>
      <c r="D447" s="13">
        <f t="shared" si="2"/>
        <v>-0.04691495275</v>
      </c>
      <c r="E447" s="11" t="s">
        <v>379</v>
      </c>
      <c r="F447" s="12">
        <v>15360.6</v>
      </c>
      <c r="G447" s="11">
        <v>-0.021128399</v>
      </c>
      <c r="H447" s="13">
        <v>-0.0211</v>
      </c>
      <c r="J447" s="15"/>
      <c r="K447" s="11"/>
      <c r="L447" s="11"/>
      <c r="M447" s="11"/>
      <c r="N447" s="11"/>
    </row>
    <row r="448" ht="15.75" customHeight="1">
      <c r="A448" s="11" t="s">
        <v>380</v>
      </c>
      <c r="B448" s="38">
        <v>449.75</v>
      </c>
      <c r="C448" s="11">
        <f t="shared" si="1"/>
        <v>0.009766502021</v>
      </c>
      <c r="D448" s="13">
        <f t="shared" si="2"/>
        <v>0.009766502021</v>
      </c>
      <c r="E448" s="11" t="s">
        <v>380</v>
      </c>
      <c r="F448" s="12">
        <v>15692.15</v>
      </c>
      <c r="G448" s="11">
        <v>-0.002539394</v>
      </c>
      <c r="H448" s="13">
        <v>-0.0025</v>
      </c>
      <c r="J448" s="15"/>
      <c r="K448" s="11"/>
      <c r="L448" s="11"/>
      <c r="M448" s="11"/>
      <c r="N448" s="11"/>
    </row>
    <row r="449" ht="15.75" customHeight="1">
      <c r="A449" s="11" t="s">
        <v>381</v>
      </c>
      <c r="B449" s="38">
        <v>445.4</v>
      </c>
      <c r="C449" s="11">
        <f t="shared" si="1"/>
        <v>0.03365049896</v>
      </c>
      <c r="D449" s="13">
        <f t="shared" si="2"/>
        <v>0.03365049896</v>
      </c>
      <c r="E449" s="11" t="s">
        <v>381</v>
      </c>
      <c r="F449" s="12">
        <v>15732.1</v>
      </c>
      <c r="G449" s="11">
        <v>-0.00268156</v>
      </c>
      <c r="H449" s="13">
        <v>-0.0027</v>
      </c>
      <c r="J449" s="15"/>
      <c r="K449" s="11"/>
      <c r="L449" s="11"/>
      <c r="M449" s="11"/>
      <c r="N449" s="11"/>
    </row>
    <row r="450" ht="15.75" customHeight="1">
      <c r="A450" s="11" t="s">
        <v>382</v>
      </c>
      <c r="B450" s="38">
        <v>430.9</v>
      </c>
      <c r="C450" s="11">
        <f t="shared" si="1"/>
        <v>-0.04805037004</v>
      </c>
      <c r="D450" s="13">
        <f t="shared" si="2"/>
        <v>-0.04805037004</v>
      </c>
      <c r="E450" s="11" t="s">
        <v>382</v>
      </c>
      <c r="F450" s="12">
        <v>15774.4</v>
      </c>
      <c r="G450" s="11">
        <v>-0.026379785</v>
      </c>
      <c r="H450" s="13">
        <v>-0.0264</v>
      </c>
      <c r="J450" s="15"/>
      <c r="K450" s="11"/>
      <c r="L450" s="11"/>
      <c r="M450" s="11"/>
      <c r="N450" s="11"/>
    </row>
    <row r="451" ht="15.75" customHeight="1">
      <c r="A451" s="35">
        <v>44840.0</v>
      </c>
      <c r="B451" s="38">
        <v>452.65</v>
      </c>
      <c r="C451" s="11">
        <f t="shared" si="1"/>
        <v>-0.01811279826</v>
      </c>
      <c r="D451" s="13">
        <f t="shared" si="2"/>
        <v>-0.01811279826</v>
      </c>
      <c r="E451" s="35">
        <v>44840.0</v>
      </c>
      <c r="F451" s="12">
        <v>16201.8</v>
      </c>
      <c r="G451" s="11">
        <v>-0.01676771</v>
      </c>
      <c r="H451" s="13">
        <v>-0.0168</v>
      </c>
      <c r="J451" s="15"/>
      <c r="K451" s="11"/>
      <c r="L451" s="11"/>
      <c r="M451" s="11"/>
      <c r="N451" s="11"/>
    </row>
    <row r="452" ht="15.75" customHeight="1">
      <c r="A452" s="35">
        <v>44810.0</v>
      </c>
      <c r="B452" s="38">
        <v>461.0</v>
      </c>
      <c r="C452" s="11">
        <f t="shared" si="1"/>
        <v>0.01833443782</v>
      </c>
      <c r="D452" s="13">
        <f t="shared" si="2"/>
        <v>0.01833443782</v>
      </c>
      <c r="E452" s="35">
        <v>44810.0</v>
      </c>
      <c r="F452" s="12">
        <v>16478.1</v>
      </c>
      <c r="G452" s="11">
        <v>0.007449752</v>
      </c>
      <c r="H452" s="13">
        <v>0.0074</v>
      </c>
      <c r="J452" s="15"/>
      <c r="K452" s="11"/>
      <c r="L452" s="11"/>
      <c r="M452" s="11"/>
      <c r="N452" s="11"/>
    </row>
    <row r="453" ht="15.75" customHeight="1">
      <c r="A453" s="35">
        <v>44779.0</v>
      </c>
      <c r="B453" s="38">
        <v>452.7</v>
      </c>
      <c r="C453" s="11">
        <f t="shared" si="1"/>
        <v>-0.01243455497</v>
      </c>
      <c r="D453" s="13">
        <f t="shared" si="2"/>
        <v>-0.01243455497</v>
      </c>
      <c r="E453" s="35">
        <v>44779.0</v>
      </c>
      <c r="F453" s="12">
        <v>16356.25</v>
      </c>
      <c r="G453" s="11">
        <v>-0.003660984</v>
      </c>
      <c r="H453" s="13">
        <v>-0.0037</v>
      </c>
      <c r="J453" s="15"/>
      <c r="K453" s="11"/>
      <c r="L453" s="11"/>
      <c r="M453" s="11"/>
      <c r="N453" s="11"/>
    </row>
    <row r="454" ht="15.75" customHeight="1">
      <c r="A454" s="35">
        <v>44748.0</v>
      </c>
      <c r="B454" s="38">
        <v>458.4</v>
      </c>
      <c r="C454" s="11">
        <f t="shared" si="1"/>
        <v>-0.0227054685</v>
      </c>
      <c r="D454" s="13">
        <f t="shared" si="2"/>
        <v>-0.0227054685</v>
      </c>
      <c r="E454" s="35">
        <v>44748.0</v>
      </c>
      <c r="F454" s="12">
        <v>16416.35</v>
      </c>
      <c r="G454" s="11">
        <v>-0.009245876</v>
      </c>
      <c r="H454" s="13">
        <v>-0.0092</v>
      </c>
      <c r="J454" s="15"/>
      <c r="K454" s="11"/>
      <c r="L454" s="11"/>
      <c r="M454" s="11"/>
      <c r="N454" s="11"/>
    </row>
    <row r="455" ht="15.75" customHeight="1">
      <c r="A455" s="35">
        <v>44718.0</v>
      </c>
      <c r="B455" s="38">
        <v>469.05</v>
      </c>
      <c r="C455" s="11">
        <f t="shared" si="1"/>
        <v>0.02122795558</v>
      </c>
      <c r="D455" s="13">
        <f t="shared" si="2"/>
        <v>0.02122795558</v>
      </c>
      <c r="E455" s="35">
        <v>44718.0</v>
      </c>
      <c r="F455" s="12">
        <v>16569.55</v>
      </c>
      <c r="G455" s="11">
        <v>-8.89395E-4</v>
      </c>
      <c r="H455" s="13">
        <v>-9.0E-4</v>
      </c>
      <c r="J455" s="15"/>
      <c r="K455" s="11"/>
      <c r="L455" s="11"/>
      <c r="M455" s="11"/>
      <c r="N455" s="11"/>
    </row>
    <row r="456" ht="15.75" customHeight="1">
      <c r="A456" s="35">
        <v>44626.0</v>
      </c>
      <c r="B456" s="38">
        <v>459.3</v>
      </c>
      <c r="C456" s="11">
        <f t="shared" si="1"/>
        <v>-0.02700985065</v>
      </c>
      <c r="D456" s="13">
        <f t="shared" si="2"/>
        <v>-0.02700985065</v>
      </c>
      <c r="E456" s="35">
        <v>44626.0</v>
      </c>
      <c r="F456" s="12">
        <v>16584.3</v>
      </c>
      <c r="G456" s="11">
        <v>-0.002628097</v>
      </c>
      <c r="H456" s="13">
        <v>-0.0026</v>
      </c>
      <c r="J456" s="15"/>
      <c r="K456" s="11"/>
      <c r="L456" s="11"/>
      <c r="M456" s="11"/>
      <c r="N456" s="11"/>
    </row>
    <row r="457" ht="15.75" customHeight="1">
      <c r="A457" s="35">
        <v>44598.0</v>
      </c>
      <c r="B457" s="38">
        <v>472.05</v>
      </c>
      <c r="C457" s="11">
        <f t="shared" si="1"/>
        <v>0.04969979987</v>
      </c>
      <c r="D457" s="13">
        <f t="shared" si="2"/>
        <v>0.04969979987</v>
      </c>
      <c r="E457" s="35">
        <v>44598.0</v>
      </c>
      <c r="F457" s="12">
        <v>16628.0</v>
      </c>
      <c r="G457" s="11">
        <v>0.006370005</v>
      </c>
      <c r="H457" s="13">
        <v>0.0064</v>
      </c>
      <c r="J457" s="15"/>
      <c r="K457" s="11"/>
      <c r="L457" s="11"/>
      <c r="M457" s="11"/>
      <c r="N457" s="11"/>
    </row>
    <row r="458" ht="15.75" customHeight="1">
      <c r="A458" s="35">
        <v>44567.0</v>
      </c>
      <c r="B458" s="38">
        <v>449.7</v>
      </c>
      <c r="C458" s="11">
        <f t="shared" si="1"/>
        <v>0.04996497782</v>
      </c>
      <c r="D458" s="13">
        <f t="shared" si="2"/>
        <v>0.04996497782</v>
      </c>
      <c r="E458" s="35">
        <v>44567.0</v>
      </c>
      <c r="F458" s="12">
        <v>16522.75</v>
      </c>
      <c r="G458" s="11">
        <v>-0.00372636</v>
      </c>
      <c r="H458" s="13">
        <v>-0.0037</v>
      </c>
      <c r="J458" s="15"/>
      <c r="K458" s="11"/>
      <c r="L458" s="11"/>
      <c r="M458" s="11"/>
      <c r="N458" s="11"/>
    </row>
    <row r="459" ht="15.75" customHeight="1">
      <c r="A459" s="11" t="s">
        <v>383</v>
      </c>
      <c r="B459" s="38">
        <v>428.3</v>
      </c>
      <c r="C459" s="11">
        <f t="shared" si="1"/>
        <v>-0.01210932995</v>
      </c>
      <c r="D459" s="13">
        <f t="shared" si="2"/>
        <v>-0.01210932995</v>
      </c>
      <c r="E459" s="11" t="s">
        <v>383</v>
      </c>
      <c r="F459" s="12">
        <v>16584.55</v>
      </c>
      <c r="G459" s="11">
        <v>-0.004612458</v>
      </c>
      <c r="H459" s="13">
        <v>-0.0046</v>
      </c>
      <c r="J459" s="15"/>
      <c r="K459" s="11"/>
      <c r="L459" s="11"/>
      <c r="M459" s="11"/>
      <c r="N459" s="11"/>
    </row>
    <row r="460" ht="15.75" customHeight="1">
      <c r="A460" s="11" t="s">
        <v>384</v>
      </c>
      <c r="B460" s="38">
        <v>433.55</v>
      </c>
      <c r="C460" s="11">
        <f t="shared" si="1"/>
        <v>0.02095843636</v>
      </c>
      <c r="D460" s="13">
        <f t="shared" si="2"/>
        <v>0.02095843636</v>
      </c>
      <c r="E460" s="11" t="s">
        <v>384</v>
      </c>
      <c r="F460" s="12">
        <v>16661.4</v>
      </c>
      <c r="G460" s="11">
        <v>0.018893193</v>
      </c>
      <c r="H460" s="13">
        <v>0.0189</v>
      </c>
      <c r="J460" s="15"/>
      <c r="K460" s="11"/>
      <c r="L460" s="11"/>
      <c r="M460" s="11"/>
      <c r="N460" s="11"/>
    </row>
    <row r="461" ht="15.75" customHeight="1">
      <c r="A461" s="11" t="s">
        <v>385</v>
      </c>
      <c r="B461" s="38">
        <v>424.65</v>
      </c>
      <c r="C461" s="11">
        <f t="shared" si="1"/>
        <v>0.01336356043</v>
      </c>
      <c r="D461" s="13">
        <f t="shared" si="2"/>
        <v>0.01336356043</v>
      </c>
      <c r="E461" s="11" t="s">
        <v>385</v>
      </c>
      <c r="F461" s="12">
        <v>16352.45</v>
      </c>
      <c r="G461" s="11">
        <v>0.01127386</v>
      </c>
      <c r="H461" s="13">
        <v>0.0113</v>
      </c>
      <c r="J461" s="15"/>
      <c r="K461" s="11"/>
      <c r="L461" s="11"/>
      <c r="M461" s="11"/>
      <c r="N461" s="11"/>
    </row>
    <row r="462" ht="15.75" customHeight="1">
      <c r="A462" s="11" t="s">
        <v>386</v>
      </c>
      <c r="B462" s="38">
        <v>419.05</v>
      </c>
      <c r="C462" s="11">
        <f t="shared" si="1"/>
        <v>0.04215369311</v>
      </c>
      <c r="D462" s="13">
        <f t="shared" si="2"/>
        <v>0.04215369311</v>
      </c>
      <c r="E462" s="11" t="s">
        <v>386</v>
      </c>
      <c r="F462" s="12">
        <v>16170.15</v>
      </c>
      <c r="G462" s="11">
        <v>0.009007351</v>
      </c>
      <c r="H462" s="13">
        <v>0.009</v>
      </c>
      <c r="J462" s="15"/>
      <c r="K462" s="11"/>
      <c r="L462" s="11"/>
      <c r="M462" s="11"/>
      <c r="N462" s="11"/>
    </row>
    <row r="463" ht="15.75" customHeight="1">
      <c r="A463" s="11" t="s">
        <v>387</v>
      </c>
      <c r="B463" s="38">
        <v>402.1</v>
      </c>
      <c r="C463" s="11">
        <f t="shared" si="1"/>
        <v>-0.04204883859</v>
      </c>
      <c r="D463" s="13">
        <f t="shared" si="2"/>
        <v>-0.04204883859</v>
      </c>
      <c r="E463" s="11" t="s">
        <v>387</v>
      </c>
      <c r="F463" s="12">
        <v>16025.8</v>
      </c>
      <c r="G463" s="11">
        <v>-0.006161183</v>
      </c>
      <c r="H463" s="13">
        <v>-0.0062</v>
      </c>
      <c r="J463" s="15"/>
      <c r="K463" s="11"/>
      <c r="L463" s="11"/>
      <c r="M463" s="11"/>
      <c r="N463" s="11"/>
    </row>
    <row r="464" ht="15.75" customHeight="1">
      <c r="A464" s="11" t="s">
        <v>388</v>
      </c>
      <c r="B464" s="38">
        <v>419.75</v>
      </c>
      <c r="C464" s="11">
        <f t="shared" si="1"/>
        <v>-0.02508419463</v>
      </c>
      <c r="D464" s="13">
        <f t="shared" si="2"/>
        <v>-0.02508419463</v>
      </c>
      <c r="E464" s="11" t="s">
        <v>388</v>
      </c>
      <c r="F464" s="12">
        <v>16125.15</v>
      </c>
      <c r="G464" s="11">
        <v>-0.005522766</v>
      </c>
      <c r="H464" s="13">
        <v>-0.0055</v>
      </c>
      <c r="J464" s="15"/>
      <c r="K464" s="11"/>
      <c r="L464" s="11"/>
      <c r="M464" s="11"/>
      <c r="N464" s="11"/>
    </row>
    <row r="465" ht="15.75" customHeight="1">
      <c r="A465" s="11" t="s">
        <v>389</v>
      </c>
      <c r="B465" s="38">
        <v>430.55</v>
      </c>
      <c r="C465" s="11">
        <f t="shared" si="1"/>
        <v>-0.0201411015</v>
      </c>
      <c r="D465" s="13">
        <f t="shared" si="2"/>
        <v>-0.0201411015</v>
      </c>
      <c r="E465" s="11" t="s">
        <v>389</v>
      </c>
      <c r="F465" s="12">
        <v>16214.7</v>
      </c>
      <c r="G465" s="11">
        <v>-0.00316301</v>
      </c>
      <c r="H465" s="13">
        <v>-0.0032</v>
      </c>
      <c r="J465" s="15"/>
      <c r="K465" s="11"/>
      <c r="L465" s="11"/>
      <c r="M465" s="11"/>
      <c r="N465" s="11"/>
    </row>
    <row r="466" ht="15.75" customHeight="1">
      <c r="A466" s="11" t="s">
        <v>390</v>
      </c>
      <c r="B466" s="38">
        <v>439.4</v>
      </c>
      <c r="C466" s="11">
        <f t="shared" si="1"/>
        <v>0.02008125363</v>
      </c>
      <c r="D466" s="13">
        <f t="shared" si="2"/>
        <v>0.02008125363</v>
      </c>
      <c r="E466" s="11" t="s">
        <v>390</v>
      </c>
      <c r="F466" s="12">
        <v>16266.15</v>
      </c>
      <c r="G466" s="11">
        <v>0.02889104</v>
      </c>
      <c r="H466" s="13">
        <v>0.0289</v>
      </c>
      <c r="J466" s="15"/>
      <c r="K466" s="11"/>
      <c r="L466" s="11"/>
      <c r="M466" s="11"/>
      <c r="N466" s="11"/>
    </row>
    <row r="467" ht="15.75" customHeight="1">
      <c r="A467" s="11" t="s">
        <v>391</v>
      </c>
      <c r="B467" s="38">
        <v>430.75</v>
      </c>
      <c r="C467" s="11">
        <f t="shared" si="1"/>
        <v>-0.03979045921</v>
      </c>
      <c r="D467" s="13">
        <f t="shared" si="2"/>
        <v>-0.03979045921</v>
      </c>
      <c r="E467" s="11" t="s">
        <v>391</v>
      </c>
      <c r="F467" s="12">
        <v>15809.4</v>
      </c>
      <c r="G467" s="11">
        <v>-0.026532761</v>
      </c>
      <c r="H467" s="13">
        <v>-0.0265</v>
      </c>
      <c r="J467" s="15"/>
      <c r="K467" s="11"/>
      <c r="L467" s="11"/>
      <c r="M467" s="11"/>
      <c r="N467" s="11"/>
    </row>
    <row r="468" ht="15.75" customHeight="1">
      <c r="A468" s="11" t="s">
        <v>392</v>
      </c>
      <c r="B468" s="38">
        <v>448.6</v>
      </c>
      <c r="C468" s="11">
        <f t="shared" si="1"/>
        <v>0.04886602759</v>
      </c>
      <c r="D468" s="13">
        <f t="shared" si="2"/>
        <v>0.04886602759</v>
      </c>
      <c r="E468" s="11" t="s">
        <v>392</v>
      </c>
      <c r="F468" s="12">
        <v>16240.3</v>
      </c>
      <c r="G468" s="11">
        <v>-0.001168562</v>
      </c>
      <c r="H468" s="13">
        <v>-0.0012</v>
      </c>
      <c r="J468" s="15"/>
      <c r="K468" s="11"/>
      <c r="L468" s="11"/>
      <c r="M468" s="11"/>
      <c r="N468" s="11"/>
    </row>
    <row r="469" ht="15.75" customHeight="1">
      <c r="A469" s="11" t="s">
        <v>393</v>
      </c>
      <c r="B469" s="38">
        <v>427.7</v>
      </c>
      <c r="C469" s="11">
        <f t="shared" si="1"/>
        <v>0.0499570394</v>
      </c>
      <c r="D469" s="13">
        <f t="shared" si="2"/>
        <v>0.0499570394</v>
      </c>
      <c r="E469" s="11" t="s">
        <v>393</v>
      </c>
      <c r="F469" s="12">
        <v>16259.3</v>
      </c>
      <c r="G469" s="11">
        <v>0.026321936</v>
      </c>
      <c r="H469" s="13">
        <v>0.0263</v>
      </c>
      <c r="J469" s="15"/>
      <c r="K469" s="11"/>
      <c r="L469" s="11"/>
      <c r="M469" s="11"/>
      <c r="N469" s="11"/>
    </row>
    <row r="470" ht="15.75" customHeight="1">
      <c r="A470" s="11" t="s">
        <v>394</v>
      </c>
      <c r="B470" s="38">
        <v>407.35</v>
      </c>
      <c r="C470" s="11">
        <f t="shared" si="1"/>
        <v>0.01004215224</v>
      </c>
      <c r="D470" s="13">
        <f t="shared" si="2"/>
        <v>0.01004215224</v>
      </c>
      <c r="E470" s="11" t="s">
        <v>394</v>
      </c>
      <c r="F470" s="12">
        <v>15842.3</v>
      </c>
      <c r="G470" s="11">
        <v>0.003811268</v>
      </c>
      <c r="H470" s="13">
        <v>0.0038</v>
      </c>
      <c r="J470" s="15"/>
      <c r="K470" s="11"/>
      <c r="L470" s="11"/>
      <c r="M470" s="11"/>
      <c r="N470" s="11"/>
    </row>
    <row r="471" ht="15.75" customHeight="1">
      <c r="A471" s="11" t="s">
        <v>395</v>
      </c>
      <c r="B471" s="38">
        <v>403.3</v>
      </c>
      <c r="C471" s="11">
        <f t="shared" si="1"/>
        <v>0.02882653061</v>
      </c>
      <c r="D471" s="13">
        <f t="shared" si="2"/>
        <v>0.02882653061</v>
      </c>
      <c r="E471" s="11" t="s">
        <v>395</v>
      </c>
      <c r="F471" s="12">
        <v>15782.15</v>
      </c>
      <c r="G471" s="11">
        <v>-0.001635248</v>
      </c>
      <c r="H471" s="13">
        <v>-0.0016</v>
      </c>
      <c r="J471" s="15"/>
      <c r="K471" s="11"/>
      <c r="L471" s="11"/>
      <c r="M471" s="11"/>
      <c r="N471" s="11"/>
    </row>
    <row r="472" ht="15.75" customHeight="1">
      <c r="A472" s="35">
        <v>44900.0</v>
      </c>
      <c r="B472" s="38">
        <v>392.0</v>
      </c>
      <c r="C472" s="11">
        <f t="shared" si="1"/>
        <v>-0.02280942291</v>
      </c>
      <c r="D472" s="13">
        <f t="shared" si="2"/>
        <v>-0.02280942291</v>
      </c>
      <c r="E472" s="35">
        <v>44900.0</v>
      </c>
      <c r="F472" s="12">
        <v>15808.0</v>
      </c>
      <c r="G472" s="11">
        <v>-0.022211776</v>
      </c>
      <c r="H472" s="13">
        <v>-0.0222</v>
      </c>
      <c r="J472" s="15"/>
      <c r="K472" s="11"/>
      <c r="L472" s="11"/>
      <c r="M472" s="11"/>
      <c r="N472" s="11"/>
    </row>
    <row r="473" ht="15.75" customHeight="1">
      <c r="A473" s="35">
        <v>44870.0</v>
      </c>
      <c r="B473" s="38">
        <v>401.15</v>
      </c>
      <c r="C473" s="11">
        <f t="shared" si="1"/>
        <v>-0.03893148059</v>
      </c>
      <c r="D473" s="13">
        <f t="shared" si="2"/>
        <v>-0.03893148059</v>
      </c>
      <c r="E473" s="35">
        <v>44870.0</v>
      </c>
      <c r="F473" s="12">
        <v>16167.1</v>
      </c>
      <c r="G473" s="11">
        <v>-0.004491981</v>
      </c>
      <c r="H473" s="13">
        <v>-0.0045</v>
      </c>
      <c r="J473" s="15"/>
      <c r="K473" s="11"/>
      <c r="L473" s="11"/>
      <c r="M473" s="11"/>
      <c r="N473" s="11"/>
    </row>
    <row r="474" ht="15.75" customHeight="1">
      <c r="A474" s="35">
        <v>44839.0</v>
      </c>
      <c r="B474" s="38">
        <v>417.4</v>
      </c>
      <c r="C474" s="11">
        <f t="shared" si="1"/>
        <v>-0.01915168605</v>
      </c>
      <c r="D474" s="13">
        <f t="shared" si="2"/>
        <v>-0.01915168605</v>
      </c>
      <c r="E474" s="35">
        <v>44839.0</v>
      </c>
      <c r="F474" s="12">
        <v>16240.05</v>
      </c>
      <c r="G474" s="11">
        <v>-0.003790981</v>
      </c>
      <c r="H474" s="13">
        <v>-0.0038</v>
      </c>
      <c r="J474" s="15"/>
      <c r="K474" s="11"/>
      <c r="L474" s="11"/>
      <c r="M474" s="11"/>
      <c r="N474" s="11"/>
    </row>
    <row r="475" ht="15.75" customHeight="1">
      <c r="A475" s="35">
        <v>44809.0</v>
      </c>
      <c r="B475" s="38">
        <v>425.55</v>
      </c>
      <c r="C475" s="11">
        <f t="shared" si="1"/>
        <v>-0.02908966461</v>
      </c>
      <c r="D475" s="13">
        <f t="shared" si="2"/>
        <v>-0.02908966461</v>
      </c>
      <c r="E475" s="35">
        <v>44809.0</v>
      </c>
      <c r="F475" s="12">
        <v>16301.85</v>
      </c>
      <c r="G475" s="11">
        <v>-0.006666159</v>
      </c>
      <c r="H475" s="13">
        <v>-0.0067</v>
      </c>
      <c r="J475" s="15"/>
      <c r="K475" s="11"/>
      <c r="L475" s="11"/>
      <c r="M475" s="11"/>
      <c r="N475" s="11"/>
    </row>
    <row r="476" ht="15.75" customHeight="1">
      <c r="A476" s="35">
        <v>44717.0</v>
      </c>
      <c r="B476" s="38">
        <v>438.3</v>
      </c>
      <c r="C476" s="11">
        <f t="shared" si="1"/>
        <v>-0.02718899123</v>
      </c>
      <c r="D476" s="13">
        <f t="shared" si="2"/>
        <v>-0.02718899123</v>
      </c>
      <c r="E476" s="35">
        <v>44717.0</v>
      </c>
      <c r="F476" s="12">
        <v>16411.25</v>
      </c>
      <c r="G476" s="11">
        <v>-0.016268399</v>
      </c>
      <c r="H476" s="13">
        <v>-0.0163</v>
      </c>
      <c r="J476" s="15"/>
      <c r="K476" s="11"/>
      <c r="L476" s="11"/>
      <c r="M476" s="11"/>
      <c r="N476" s="11"/>
    </row>
    <row r="477" ht="15.75" customHeight="1">
      <c r="A477" s="35">
        <v>44686.0</v>
      </c>
      <c r="B477" s="38">
        <v>450.55</v>
      </c>
      <c r="C477" s="11">
        <f t="shared" si="1"/>
        <v>0.01269948303</v>
      </c>
      <c r="D477" s="13">
        <f t="shared" si="2"/>
        <v>0.01269948303</v>
      </c>
      <c r="E477" s="35">
        <v>44686.0</v>
      </c>
      <c r="F477" s="12">
        <v>16682.65</v>
      </c>
      <c r="G477" s="11">
        <v>3.02801E-4</v>
      </c>
      <c r="H477" s="13">
        <v>3.0E-4</v>
      </c>
      <c r="J477" s="15"/>
      <c r="K477" s="11"/>
      <c r="L477" s="11"/>
      <c r="M477" s="11"/>
      <c r="N477" s="11"/>
    </row>
    <row r="478" ht="15.75" customHeight="1">
      <c r="A478" s="35">
        <v>44656.0</v>
      </c>
      <c r="B478" s="38">
        <v>444.9</v>
      </c>
      <c r="C478" s="11">
        <f t="shared" si="1"/>
        <v>-0.03029642546</v>
      </c>
      <c r="D478" s="13">
        <f t="shared" si="2"/>
        <v>-0.03029642546</v>
      </c>
      <c r="E478" s="35">
        <v>44656.0</v>
      </c>
      <c r="F478" s="12">
        <v>16677.6</v>
      </c>
      <c r="G478" s="11">
        <v>-0.022936183</v>
      </c>
      <c r="H478" s="13">
        <v>-0.0229</v>
      </c>
      <c r="J478" s="15"/>
      <c r="K478" s="11"/>
      <c r="L478" s="11"/>
      <c r="M478" s="11"/>
      <c r="N478" s="11"/>
    </row>
    <row r="479" ht="15.75" customHeight="1">
      <c r="A479" s="35">
        <v>44597.0</v>
      </c>
      <c r="B479" s="38">
        <v>458.8</v>
      </c>
      <c r="C479" s="11">
        <f t="shared" si="1"/>
        <v>-0.02445247714</v>
      </c>
      <c r="D479" s="13">
        <f t="shared" si="2"/>
        <v>-0.02445247714</v>
      </c>
      <c r="E479" s="35">
        <v>44597.0</v>
      </c>
      <c r="F479" s="12">
        <v>17069.1</v>
      </c>
      <c r="G479" s="11">
        <v>-0.001955849</v>
      </c>
      <c r="H479" s="13">
        <v>-0.002</v>
      </c>
      <c r="J479" s="15"/>
      <c r="K479" s="11"/>
      <c r="L479" s="11"/>
      <c r="M479" s="11"/>
      <c r="N479" s="11"/>
    </row>
    <row r="480" ht="15.75" customHeight="1">
      <c r="A480" s="11" t="s">
        <v>396</v>
      </c>
      <c r="B480" s="38">
        <v>470.3</v>
      </c>
      <c r="C480" s="11">
        <f t="shared" si="1"/>
        <v>-0.008955852913</v>
      </c>
      <c r="D480" s="13">
        <f t="shared" si="2"/>
        <v>-0.008955852913</v>
      </c>
      <c r="E480" s="11" t="s">
        <v>396</v>
      </c>
      <c r="F480" s="12">
        <v>17102.55</v>
      </c>
      <c r="G480" s="11">
        <v>-0.008263241</v>
      </c>
      <c r="H480" s="13">
        <v>-0.0083</v>
      </c>
      <c r="J480" s="15"/>
      <c r="K480" s="11"/>
      <c r="L480" s="11"/>
      <c r="M480" s="11"/>
      <c r="N480" s="11"/>
    </row>
    <row r="481" ht="15.75" customHeight="1">
      <c r="A481" s="11" t="s">
        <v>397</v>
      </c>
      <c r="B481" s="38">
        <v>474.55</v>
      </c>
      <c r="C481" s="11">
        <f t="shared" si="1"/>
        <v>-0.02984769498</v>
      </c>
      <c r="D481" s="13">
        <f t="shared" si="2"/>
        <v>-0.02984769498</v>
      </c>
      <c r="E481" s="11" t="s">
        <v>397</v>
      </c>
      <c r="F481" s="12">
        <v>17245.05</v>
      </c>
      <c r="G481" s="11">
        <v>0.012128486</v>
      </c>
      <c r="H481" s="13">
        <v>0.0121</v>
      </c>
      <c r="J481" s="15"/>
      <c r="K481" s="11"/>
      <c r="L481" s="11"/>
      <c r="M481" s="11"/>
      <c r="N481" s="11"/>
    </row>
    <row r="482" ht="15.75" customHeight="1">
      <c r="A482" s="11" t="s">
        <v>398</v>
      </c>
      <c r="B482" s="38">
        <v>489.15</v>
      </c>
      <c r="C482" s="11">
        <f t="shared" si="1"/>
        <v>-0.02898263027</v>
      </c>
      <c r="D482" s="13">
        <f t="shared" si="2"/>
        <v>-0.02898263027</v>
      </c>
      <c r="E482" s="11" t="s">
        <v>398</v>
      </c>
      <c r="F482" s="12">
        <v>17038.4</v>
      </c>
      <c r="G482" s="11">
        <v>-0.009441421</v>
      </c>
      <c r="H482" s="13">
        <v>-0.0094</v>
      </c>
      <c r="J482" s="15"/>
      <c r="K482" s="11"/>
      <c r="L482" s="11"/>
      <c r="M482" s="11"/>
      <c r="N482" s="11"/>
    </row>
    <row r="483" ht="15.75" customHeight="1">
      <c r="A483" s="11" t="s">
        <v>399</v>
      </c>
      <c r="B483" s="38">
        <v>503.75</v>
      </c>
      <c r="C483" s="11">
        <f t="shared" si="1"/>
        <v>0.04991663193</v>
      </c>
      <c r="D483" s="13">
        <f t="shared" si="2"/>
        <v>0.04991663193</v>
      </c>
      <c r="E483" s="11" t="s">
        <v>399</v>
      </c>
      <c r="F483" s="12">
        <v>17200.8</v>
      </c>
      <c r="G483" s="11">
        <v>0.014560029</v>
      </c>
      <c r="H483" s="13">
        <v>0.0146</v>
      </c>
      <c r="J483" s="15"/>
      <c r="K483" s="11"/>
      <c r="L483" s="11"/>
      <c r="M483" s="11"/>
      <c r="N483" s="11"/>
    </row>
    <row r="484" ht="15.75" customHeight="1">
      <c r="A484" s="11" t="s">
        <v>400</v>
      </c>
      <c r="B484" s="38">
        <v>479.8</v>
      </c>
      <c r="C484" s="11">
        <f t="shared" si="1"/>
        <v>-0.04999505</v>
      </c>
      <c r="D484" s="13">
        <f t="shared" si="2"/>
        <v>-0.04999505</v>
      </c>
      <c r="E484" s="11" t="s">
        <v>400</v>
      </c>
      <c r="F484" s="12">
        <v>16953.95</v>
      </c>
      <c r="G484" s="11">
        <v>-0.012695122</v>
      </c>
      <c r="H484" s="13">
        <v>-0.0127</v>
      </c>
      <c r="J484" s="15"/>
      <c r="K484" s="11"/>
      <c r="L484" s="11"/>
      <c r="M484" s="11"/>
      <c r="N484" s="11"/>
    </row>
    <row r="485" ht="15.75" customHeight="1">
      <c r="A485" s="11" t="s">
        <v>401</v>
      </c>
      <c r="B485" s="38">
        <v>505.05</v>
      </c>
      <c r="C485" s="11">
        <f t="shared" si="1"/>
        <v>0.01131357629</v>
      </c>
      <c r="D485" s="13">
        <f t="shared" si="2"/>
        <v>0.01131357629</v>
      </c>
      <c r="E485" s="11" t="s">
        <v>401</v>
      </c>
      <c r="F485" s="12">
        <v>17171.95</v>
      </c>
      <c r="G485" s="11">
        <v>-0.01268643</v>
      </c>
      <c r="H485" s="13">
        <v>-0.0127</v>
      </c>
      <c r="J485" s="15"/>
      <c r="K485" s="11"/>
      <c r="L485" s="11"/>
      <c r="M485" s="11"/>
      <c r="N485" s="11"/>
    </row>
    <row r="486" ht="15.75" customHeight="1">
      <c r="A486" s="11" t="s">
        <v>402</v>
      </c>
      <c r="B486" s="38">
        <v>499.4</v>
      </c>
      <c r="C486" s="11">
        <f t="shared" si="1"/>
        <v>0.04993167245</v>
      </c>
      <c r="D486" s="13">
        <f t="shared" si="2"/>
        <v>0.04993167245</v>
      </c>
      <c r="E486" s="11" t="s">
        <v>402</v>
      </c>
      <c r="F486" s="12">
        <v>17392.6</v>
      </c>
      <c r="G486" s="11">
        <v>0.014941747</v>
      </c>
      <c r="H486" s="13">
        <v>0.0149</v>
      </c>
      <c r="J486" s="15"/>
      <c r="K486" s="11"/>
      <c r="L486" s="11"/>
      <c r="M486" s="11"/>
      <c r="N486" s="11"/>
    </row>
    <row r="487" ht="15.75" customHeight="1">
      <c r="A487" s="11" t="s">
        <v>403</v>
      </c>
      <c r="B487" s="38">
        <v>475.65</v>
      </c>
      <c r="C487" s="11">
        <f t="shared" si="1"/>
        <v>0.04664979646</v>
      </c>
      <c r="D487" s="13">
        <f t="shared" si="2"/>
        <v>0.04664979646</v>
      </c>
      <c r="E487" s="11" t="s">
        <v>403</v>
      </c>
      <c r="F487" s="12">
        <v>17136.55</v>
      </c>
      <c r="G487" s="11">
        <v>0.010490222</v>
      </c>
      <c r="H487" s="13">
        <v>0.0105</v>
      </c>
      <c r="J487" s="15"/>
      <c r="K487" s="11"/>
      <c r="L487" s="11"/>
      <c r="M487" s="11"/>
      <c r="N487" s="11"/>
    </row>
    <row r="488" ht="15.75" customHeight="1">
      <c r="A488" s="11" t="s">
        <v>404</v>
      </c>
      <c r="B488" s="38">
        <v>454.45</v>
      </c>
      <c r="C488" s="11">
        <f t="shared" si="1"/>
        <v>-0.02833012615</v>
      </c>
      <c r="D488" s="13">
        <f t="shared" si="2"/>
        <v>-0.02833012615</v>
      </c>
      <c r="E488" s="11" t="s">
        <v>404</v>
      </c>
      <c r="F488" s="12">
        <v>16958.65</v>
      </c>
      <c r="G488" s="11">
        <v>-0.012519179</v>
      </c>
      <c r="H488" s="13">
        <v>-0.0125</v>
      </c>
      <c r="J488" s="15"/>
      <c r="K488" s="11"/>
      <c r="L488" s="11"/>
      <c r="M488" s="11"/>
      <c r="N488" s="11"/>
    </row>
    <row r="489" ht="15.75" customHeight="1">
      <c r="A489" s="11" t="s">
        <v>405</v>
      </c>
      <c r="B489" s="38">
        <v>467.7</v>
      </c>
      <c r="C489" s="11">
        <f t="shared" si="1"/>
        <v>-0.04996953077</v>
      </c>
      <c r="D489" s="13">
        <f t="shared" si="2"/>
        <v>-0.04996953077</v>
      </c>
      <c r="E489" s="11" t="s">
        <v>405</v>
      </c>
      <c r="F489" s="12">
        <v>17173.65</v>
      </c>
      <c r="G489" s="11">
        <v>-0.017281188</v>
      </c>
      <c r="H489" s="13">
        <v>-0.0173</v>
      </c>
      <c r="J489" s="15"/>
      <c r="K489" s="11"/>
      <c r="L489" s="11"/>
      <c r="M489" s="11"/>
      <c r="N489" s="11"/>
    </row>
    <row r="490" ht="15.75" customHeight="1">
      <c r="A490" s="11" t="s">
        <v>406</v>
      </c>
      <c r="B490" s="38">
        <v>492.3</v>
      </c>
      <c r="C490" s="11">
        <f t="shared" si="1"/>
        <v>-0.02736342981</v>
      </c>
      <c r="D490" s="13">
        <f t="shared" si="2"/>
        <v>-0.02736342981</v>
      </c>
      <c r="E490" s="11" t="s">
        <v>406</v>
      </c>
      <c r="F490" s="12">
        <v>17475.65</v>
      </c>
      <c r="G490" s="11">
        <v>-0.003117459</v>
      </c>
      <c r="H490" s="13">
        <v>-0.0031</v>
      </c>
      <c r="J490" s="15"/>
      <c r="K490" s="11"/>
      <c r="L490" s="11"/>
      <c r="M490" s="11"/>
      <c r="N490" s="11"/>
    </row>
    <row r="491" ht="15.75" customHeight="1">
      <c r="A491" s="35">
        <v>44899.0</v>
      </c>
      <c r="B491" s="38">
        <v>506.15</v>
      </c>
      <c r="C491" s="11">
        <f t="shared" si="1"/>
        <v>-0.04992961051</v>
      </c>
      <c r="D491" s="13">
        <f t="shared" si="2"/>
        <v>-0.04992961051</v>
      </c>
      <c r="E491" s="35">
        <v>44899.0</v>
      </c>
      <c r="F491" s="12">
        <v>17530.3</v>
      </c>
      <c r="G491" s="11">
        <v>-0.008183899</v>
      </c>
      <c r="H491" s="13">
        <v>-0.0082</v>
      </c>
      <c r="J491" s="15"/>
      <c r="K491" s="11"/>
      <c r="L491" s="11"/>
      <c r="M491" s="11"/>
      <c r="N491" s="11"/>
    </row>
    <row r="492" ht="15.75" customHeight="1">
      <c r="A492" s="35">
        <v>44869.0</v>
      </c>
      <c r="B492" s="38">
        <v>532.75</v>
      </c>
      <c r="C492" s="11">
        <f t="shared" si="1"/>
        <v>-0.04993312528</v>
      </c>
      <c r="D492" s="13">
        <f t="shared" si="2"/>
        <v>-0.04993312528</v>
      </c>
      <c r="E492" s="35">
        <v>44869.0</v>
      </c>
      <c r="F492" s="12">
        <v>17674.95</v>
      </c>
      <c r="G492" s="11">
        <v>-0.006151476</v>
      </c>
      <c r="H492" s="13">
        <v>-0.0062</v>
      </c>
      <c r="J492" s="15"/>
      <c r="K492" s="11"/>
      <c r="L492" s="11"/>
      <c r="M492" s="11"/>
      <c r="N492" s="11"/>
    </row>
    <row r="493" ht="15.75" customHeight="1">
      <c r="A493" s="35">
        <v>44777.0</v>
      </c>
      <c r="B493" s="38">
        <v>560.75</v>
      </c>
      <c r="C493" s="11">
        <f t="shared" si="1"/>
        <v>0.03126436782</v>
      </c>
      <c r="D493" s="13">
        <f t="shared" si="2"/>
        <v>0.03126436782</v>
      </c>
      <c r="E493" s="35">
        <v>44777.0</v>
      </c>
      <c r="F493" s="12">
        <v>17784.35</v>
      </c>
      <c r="G493" s="11">
        <v>0.008208826</v>
      </c>
      <c r="H493" s="13">
        <v>0.0082</v>
      </c>
      <c r="J493" s="15"/>
      <c r="K493" s="11"/>
      <c r="L493" s="11"/>
      <c r="M493" s="11"/>
      <c r="N493" s="11"/>
    </row>
    <row r="494" ht="15.75" customHeight="1">
      <c r="A494" s="35">
        <v>44746.0</v>
      </c>
      <c r="B494" s="38">
        <v>543.75</v>
      </c>
      <c r="C494" s="11">
        <f t="shared" si="1"/>
        <v>0.04849595064</v>
      </c>
      <c r="D494" s="13">
        <f t="shared" si="2"/>
        <v>0.04849595064</v>
      </c>
      <c r="E494" s="35">
        <v>44746.0</v>
      </c>
      <c r="F494" s="12">
        <v>17639.55</v>
      </c>
      <c r="G494" s="11">
        <v>-0.009439763</v>
      </c>
      <c r="H494" s="13">
        <v>-0.0094</v>
      </c>
      <c r="J494" s="15"/>
      <c r="K494" s="11"/>
      <c r="L494" s="11"/>
      <c r="M494" s="11"/>
      <c r="N494" s="11"/>
    </row>
    <row r="495" ht="15.75" customHeight="1">
      <c r="A495" s="35">
        <v>44716.0</v>
      </c>
      <c r="B495" s="38">
        <v>518.6</v>
      </c>
      <c r="C495" s="11">
        <f t="shared" si="1"/>
        <v>0.04990383642</v>
      </c>
      <c r="D495" s="13">
        <f t="shared" si="2"/>
        <v>0.04990383642</v>
      </c>
      <c r="E495" s="35">
        <v>44716.0</v>
      </c>
      <c r="F495" s="12">
        <v>17807.65</v>
      </c>
      <c r="G495" s="11">
        <v>-0.008339181</v>
      </c>
      <c r="H495" s="13">
        <v>-0.0083</v>
      </c>
      <c r="J495" s="15"/>
      <c r="K495" s="11"/>
      <c r="L495" s="11"/>
      <c r="M495" s="11"/>
      <c r="N495" s="11"/>
    </row>
    <row r="496" ht="15.75" customHeight="1">
      <c r="A496" s="35">
        <v>44685.0</v>
      </c>
      <c r="B496" s="38">
        <v>493.95</v>
      </c>
      <c r="C496" s="11">
        <f t="shared" si="1"/>
        <v>0.04995217345</v>
      </c>
      <c r="D496" s="13">
        <f t="shared" si="2"/>
        <v>0.04995217345</v>
      </c>
      <c r="E496" s="35">
        <v>44685.0</v>
      </c>
      <c r="F496" s="12">
        <v>17957.4</v>
      </c>
      <c r="G496" s="11">
        <v>-0.005317558</v>
      </c>
      <c r="H496" s="13">
        <v>-0.0053</v>
      </c>
      <c r="J496" s="15"/>
      <c r="K496" s="11"/>
      <c r="L496" s="11"/>
      <c r="M496" s="11"/>
      <c r="N496" s="11"/>
    </row>
    <row r="497" ht="15.75" customHeight="1">
      <c r="A497" s="35">
        <v>44655.0</v>
      </c>
      <c r="B497" s="38">
        <v>470.45</v>
      </c>
      <c r="C497" s="11">
        <f t="shared" si="1"/>
        <v>0.04999442027</v>
      </c>
      <c r="D497" s="13">
        <f t="shared" si="2"/>
        <v>0.04999442027</v>
      </c>
      <c r="E497" s="35">
        <v>44655.0</v>
      </c>
      <c r="F497" s="12">
        <v>18053.4</v>
      </c>
      <c r="G497" s="11">
        <v>0.021671774</v>
      </c>
      <c r="H497" s="13">
        <v>0.0217</v>
      </c>
      <c r="J497" s="15"/>
      <c r="K497" s="11"/>
      <c r="L497" s="11"/>
      <c r="M497" s="11"/>
      <c r="N497" s="11"/>
    </row>
    <row r="498" ht="15.75" customHeight="1">
      <c r="A498" s="35">
        <v>44565.0</v>
      </c>
      <c r="B498" s="38">
        <v>448.05</v>
      </c>
      <c r="C498" s="11">
        <f t="shared" si="1"/>
        <v>0.04991212654</v>
      </c>
      <c r="D498" s="13">
        <f t="shared" si="2"/>
        <v>0.04991212654</v>
      </c>
      <c r="E498" s="35">
        <v>44565.0</v>
      </c>
      <c r="F498" s="12">
        <v>17670.45</v>
      </c>
      <c r="G498" s="11">
        <v>0.01177801</v>
      </c>
      <c r="H498" s="13">
        <v>0.0118</v>
      </c>
      <c r="J498" s="15"/>
      <c r="K498" s="11"/>
      <c r="L498" s="11"/>
      <c r="M498" s="11"/>
      <c r="N498" s="11"/>
    </row>
    <row r="499" ht="15.75" customHeight="1">
      <c r="A499" s="11" t="s">
        <v>407</v>
      </c>
      <c r="B499" s="38">
        <v>426.75</v>
      </c>
      <c r="C499" s="11">
        <f t="shared" si="1"/>
        <v>0.04994464264</v>
      </c>
      <c r="D499" s="13">
        <f t="shared" si="2"/>
        <v>0.04994464264</v>
      </c>
      <c r="E499" s="11" t="s">
        <v>407</v>
      </c>
      <c r="F499" s="12">
        <v>17464.75</v>
      </c>
      <c r="G499" s="11">
        <v>-0.001914477</v>
      </c>
      <c r="H499" s="13">
        <v>-0.0019</v>
      </c>
      <c r="J499" s="15"/>
      <c r="K499" s="11"/>
      <c r="L499" s="11"/>
      <c r="M499" s="11"/>
      <c r="N499" s="11"/>
    </row>
    <row r="500" ht="15.75" customHeight="1">
      <c r="A500" s="11" t="s">
        <v>408</v>
      </c>
      <c r="B500" s="38">
        <v>406.45</v>
      </c>
      <c r="C500" s="11">
        <f t="shared" si="1"/>
        <v>0.04998708344</v>
      </c>
      <c r="D500" s="13">
        <f t="shared" si="2"/>
        <v>0.04998708344</v>
      </c>
      <c r="E500" s="11" t="s">
        <v>408</v>
      </c>
      <c r="F500" s="12">
        <v>17498.25</v>
      </c>
      <c r="G500" s="11">
        <v>0.009982511</v>
      </c>
      <c r="H500" s="13">
        <v>0.01</v>
      </c>
      <c r="J500" s="15"/>
      <c r="K500" s="11"/>
      <c r="L500" s="11"/>
      <c r="M500" s="11"/>
      <c r="N500" s="11"/>
    </row>
    <row r="501" ht="15.75" customHeight="1">
      <c r="A501" s="11" t="s">
        <v>409</v>
      </c>
      <c r="B501" s="38">
        <v>387.1</v>
      </c>
      <c r="C501" s="11">
        <f t="shared" si="1"/>
        <v>0.01667760998</v>
      </c>
      <c r="D501" s="13">
        <f t="shared" si="2"/>
        <v>0.01667760998</v>
      </c>
      <c r="E501" s="11" t="s">
        <v>409</v>
      </c>
      <c r="F501" s="12">
        <v>17325.3</v>
      </c>
      <c r="G501" s="11">
        <v>0.005998142</v>
      </c>
      <c r="H501" s="13">
        <v>0.006</v>
      </c>
      <c r="J501" s="15"/>
      <c r="K501" s="11"/>
      <c r="L501" s="11"/>
      <c r="M501" s="11"/>
      <c r="N501" s="11"/>
    </row>
    <row r="502" ht="15.75" customHeight="1">
      <c r="A502" s="11" t="s">
        <v>410</v>
      </c>
      <c r="B502" s="38">
        <v>380.75</v>
      </c>
      <c r="C502" s="11">
        <f t="shared" si="1"/>
        <v>-0.008592631168</v>
      </c>
      <c r="D502" s="13">
        <f t="shared" si="2"/>
        <v>-0.008592631168</v>
      </c>
      <c r="E502" s="11" t="s">
        <v>410</v>
      </c>
      <c r="F502" s="12">
        <v>17222.0</v>
      </c>
      <c r="G502" s="11">
        <v>0.00402262</v>
      </c>
      <c r="H502" s="13">
        <v>0.004</v>
      </c>
      <c r="J502" s="15"/>
      <c r="K502" s="11"/>
      <c r="L502" s="11"/>
      <c r="M502" s="11"/>
      <c r="N502" s="11"/>
    </row>
    <row r="503" ht="15.75" customHeight="1">
      <c r="A503" s="11" t="s">
        <v>411</v>
      </c>
      <c r="B503" s="38">
        <v>384.05</v>
      </c>
      <c r="C503" s="11">
        <f t="shared" si="1"/>
        <v>0.007476390346</v>
      </c>
      <c r="D503" s="13">
        <f t="shared" si="2"/>
        <v>0.007476390346</v>
      </c>
      <c r="E503" s="11" t="s">
        <v>411</v>
      </c>
      <c r="F503" s="12">
        <v>17153.0</v>
      </c>
      <c r="G503" s="11">
        <v>-0.004049876</v>
      </c>
      <c r="H503" s="13">
        <v>-0.004</v>
      </c>
      <c r="J503" s="15"/>
      <c r="K503" s="11"/>
      <c r="L503" s="11"/>
      <c r="M503" s="11"/>
      <c r="N503" s="11"/>
    </row>
    <row r="504" ht="15.75" customHeight="1">
      <c r="A504" s="11" t="s">
        <v>412</v>
      </c>
      <c r="B504" s="38">
        <v>381.2</v>
      </c>
      <c r="C504" s="11">
        <f t="shared" si="1"/>
        <v>-0.006256517205</v>
      </c>
      <c r="D504" s="13">
        <f t="shared" si="2"/>
        <v>-0.006256517205</v>
      </c>
      <c r="E504" s="11" t="s">
        <v>412</v>
      </c>
      <c r="F504" s="12">
        <v>17222.75</v>
      </c>
      <c r="G504" s="11">
        <v>-0.001327871</v>
      </c>
      <c r="H504" s="13">
        <v>-0.0013</v>
      </c>
      <c r="J504" s="15"/>
      <c r="K504" s="11"/>
      <c r="L504" s="11"/>
      <c r="M504" s="11"/>
      <c r="N504" s="11"/>
    </row>
    <row r="505" ht="15.75" customHeight="1">
      <c r="A505" s="11" t="s">
        <v>413</v>
      </c>
      <c r="B505" s="38">
        <v>383.6</v>
      </c>
      <c r="C505" s="11">
        <f t="shared" si="1"/>
        <v>-0.01476820342</v>
      </c>
      <c r="D505" s="13">
        <f t="shared" si="2"/>
        <v>-0.01476820342</v>
      </c>
      <c r="E505" s="11" t="s">
        <v>413</v>
      </c>
      <c r="F505" s="12">
        <v>17245.65</v>
      </c>
      <c r="G505" s="11">
        <v>-0.004033958</v>
      </c>
      <c r="H505" s="13">
        <v>-0.004</v>
      </c>
      <c r="J505" s="15"/>
      <c r="K505" s="11"/>
      <c r="L505" s="11"/>
      <c r="M505" s="11"/>
      <c r="N505" s="11"/>
    </row>
    <row r="506" ht="15.75" customHeight="1">
      <c r="A506" s="11" t="s">
        <v>414</v>
      </c>
      <c r="B506" s="38">
        <v>389.35</v>
      </c>
      <c r="C506" s="11">
        <f t="shared" si="1"/>
        <v>-0.01367954402</v>
      </c>
      <c r="D506" s="13">
        <f t="shared" si="2"/>
        <v>-0.01367954402</v>
      </c>
      <c r="E506" s="11" t="s">
        <v>414</v>
      </c>
      <c r="F506" s="12">
        <v>17315.5</v>
      </c>
      <c r="G506" s="11">
        <v>0.0115612</v>
      </c>
      <c r="H506" s="13">
        <v>0.0116</v>
      </c>
      <c r="J506" s="15"/>
      <c r="K506" s="11"/>
      <c r="L506" s="11"/>
      <c r="M506" s="11"/>
      <c r="N506" s="11"/>
    </row>
    <row r="507" ht="15.75" customHeight="1">
      <c r="A507" s="11" t="s">
        <v>415</v>
      </c>
      <c r="B507" s="38">
        <v>394.75</v>
      </c>
      <c r="C507" s="11">
        <f t="shared" si="1"/>
        <v>-0.01065162907</v>
      </c>
      <c r="D507" s="13">
        <f t="shared" si="2"/>
        <v>-0.01065162907</v>
      </c>
      <c r="E507" s="11" t="s">
        <v>415</v>
      </c>
      <c r="F507" s="12">
        <v>17117.6</v>
      </c>
      <c r="G507" s="11">
        <v>-0.009802135</v>
      </c>
      <c r="H507" s="13">
        <v>-0.0098</v>
      </c>
      <c r="J507" s="15"/>
      <c r="K507" s="11"/>
      <c r="L507" s="11"/>
      <c r="M507" s="11"/>
      <c r="N507" s="11"/>
    </row>
    <row r="508" ht="15.75" customHeight="1">
      <c r="A508" s="11" t="s">
        <v>416</v>
      </c>
      <c r="B508" s="38">
        <v>399.0</v>
      </c>
      <c r="C508" s="11">
        <f t="shared" si="1"/>
        <v>0.01694915254</v>
      </c>
      <c r="D508" s="13">
        <f t="shared" si="2"/>
        <v>0.01694915254</v>
      </c>
      <c r="E508" s="11" t="s">
        <v>416</v>
      </c>
      <c r="F508" s="12">
        <v>17287.05</v>
      </c>
      <c r="G508" s="11">
        <v>0.018361919</v>
      </c>
      <c r="H508" s="13">
        <v>0.0184</v>
      </c>
      <c r="J508" s="15"/>
      <c r="K508" s="11"/>
      <c r="L508" s="11"/>
      <c r="M508" s="11"/>
      <c r="N508" s="11"/>
    </row>
    <row r="509" ht="15.75" customHeight="1">
      <c r="A509" s="11" t="s">
        <v>417</v>
      </c>
      <c r="B509" s="38">
        <v>392.35</v>
      </c>
      <c r="C509" s="11">
        <f t="shared" si="1"/>
        <v>0.02938475666</v>
      </c>
      <c r="D509" s="13">
        <f t="shared" si="2"/>
        <v>0.02938475666</v>
      </c>
      <c r="E509" s="11" t="s">
        <v>417</v>
      </c>
      <c r="F509" s="12">
        <v>16975.35</v>
      </c>
      <c r="G509" s="11">
        <v>0.018745124</v>
      </c>
      <c r="H509" s="13">
        <v>0.0187</v>
      </c>
      <c r="J509" s="15"/>
      <c r="K509" s="11"/>
      <c r="L509" s="11"/>
      <c r="M509" s="11"/>
      <c r="N509" s="11"/>
    </row>
    <row r="510" ht="15.75" customHeight="1">
      <c r="A510" s="11" t="s">
        <v>418</v>
      </c>
      <c r="B510" s="38">
        <v>381.15</v>
      </c>
      <c r="C510" s="11">
        <f t="shared" si="1"/>
        <v>-0.02269230769</v>
      </c>
      <c r="D510" s="13">
        <f t="shared" si="2"/>
        <v>-0.02269230769</v>
      </c>
      <c r="E510" s="11" t="s">
        <v>418</v>
      </c>
      <c r="F510" s="12">
        <v>16663.0</v>
      </c>
      <c r="G510" s="11">
        <v>-0.012346411</v>
      </c>
      <c r="H510" s="13">
        <v>-0.0123</v>
      </c>
      <c r="J510" s="15"/>
      <c r="K510" s="11"/>
      <c r="L510" s="11"/>
      <c r="M510" s="11"/>
      <c r="N510" s="11"/>
    </row>
    <row r="511" ht="15.75" customHeight="1">
      <c r="A511" s="11" t="s">
        <v>419</v>
      </c>
      <c r="B511" s="38">
        <v>390.0</v>
      </c>
      <c r="C511" s="11">
        <f t="shared" si="1"/>
        <v>-0.01128153125</v>
      </c>
      <c r="D511" s="13">
        <f t="shared" si="2"/>
        <v>-0.01128153125</v>
      </c>
      <c r="E511" s="11" t="s">
        <v>419</v>
      </c>
      <c r="F511" s="12">
        <v>16871.3</v>
      </c>
      <c r="G511" s="11">
        <v>0.01448247</v>
      </c>
      <c r="H511" s="13">
        <v>0.0145</v>
      </c>
      <c r="J511" s="15"/>
      <c r="K511" s="11"/>
      <c r="L511" s="11"/>
      <c r="M511" s="11"/>
      <c r="N511" s="11"/>
    </row>
    <row r="512" ht="15.75" customHeight="1">
      <c r="A512" s="35">
        <v>44868.0</v>
      </c>
      <c r="B512" s="38">
        <v>394.45</v>
      </c>
      <c r="C512" s="11">
        <f t="shared" si="1"/>
        <v>-0.02072989076</v>
      </c>
      <c r="D512" s="13">
        <f t="shared" si="2"/>
        <v>-0.02072989076</v>
      </c>
      <c r="E512" s="35">
        <v>44868.0</v>
      </c>
      <c r="F512" s="12">
        <v>16630.45</v>
      </c>
      <c r="G512" s="11">
        <v>0.002142224</v>
      </c>
      <c r="H512" s="13">
        <v>0.0021</v>
      </c>
      <c r="J512" s="15"/>
      <c r="K512" s="11"/>
      <c r="L512" s="11"/>
      <c r="M512" s="11"/>
      <c r="N512" s="11"/>
    </row>
    <row r="513" ht="15.75" customHeight="1">
      <c r="A513" s="35">
        <v>44837.0</v>
      </c>
      <c r="B513" s="38">
        <v>402.8</v>
      </c>
      <c r="C513" s="11">
        <f t="shared" si="1"/>
        <v>0.04704964908</v>
      </c>
      <c r="D513" s="13">
        <f t="shared" si="2"/>
        <v>0.04704964908</v>
      </c>
      <c r="E513" s="35">
        <v>44837.0</v>
      </c>
      <c r="F513" s="12">
        <v>16594.9</v>
      </c>
      <c r="G513" s="11">
        <v>0.015267339</v>
      </c>
      <c r="H513" s="13">
        <v>0.0153</v>
      </c>
      <c r="J513" s="15"/>
      <c r="K513" s="11"/>
      <c r="L513" s="11"/>
      <c r="M513" s="11"/>
      <c r="N513" s="11"/>
    </row>
    <row r="514" ht="15.75" customHeight="1">
      <c r="A514" s="35">
        <v>44807.0</v>
      </c>
      <c r="B514" s="38">
        <v>384.7</v>
      </c>
      <c r="C514" s="11">
        <f t="shared" si="1"/>
        <v>0.04994541485</v>
      </c>
      <c r="D514" s="13">
        <f t="shared" si="2"/>
        <v>0.04994541485</v>
      </c>
      <c r="E514" s="35">
        <v>44807.0</v>
      </c>
      <c r="F514" s="12">
        <v>16345.35</v>
      </c>
      <c r="G514" s="11">
        <v>0.020726327</v>
      </c>
      <c r="H514" s="13">
        <v>0.0207</v>
      </c>
      <c r="J514" s="15"/>
      <c r="K514" s="11"/>
      <c r="L514" s="11"/>
      <c r="M514" s="11"/>
      <c r="N514" s="11"/>
    </row>
    <row r="515" ht="15.75" customHeight="1">
      <c r="A515" s="35">
        <v>44776.0</v>
      </c>
      <c r="B515" s="38">
        <v>366.4</v>
      </c>
      <c r="C515" s="11">
        <f t="shared" si="1"/>
        <v>-0.03464629166</v>
      </c>
      <c r="D515" s="13">
        <f t="shared" si="2"/>
        <v>-0.03464629166</v>
      </c>
      <c r="E515" s="35">
        <v>44776.0</v>
      </c>
      <c r="F515" s="12">
        <v>16013.45</v>
      </c>
      <c r="G515" s="11">
        <v>0.009474789</v>
      </c>
      <c r="H515" s="13">
        <v>0.0095</v>
      </c>
      <c r="J515" s="15"/>
      <c r="K515" s="11"/>
      <c r="L515" s="11"/>
      <c r="M515" s="11"/>
      <c r="N515" s="11"/>
    </row>
    <row r="516" ht="15.75" customHeight="1">
      <c r="A516" s="35">
        <v>44745.0</v>
      </c>
      <c r="B516" s="38">
        <v>379.55</v>
      </c>
      <c r="C516" s="11">
        <f t="shared" si="1"/>
        <v>-0.04993742178</v>
      </c>
      <c r="D516" s="13">
        <f t="shared" si="2"/>
        <v>-0.04993742178</v>
      </c>
      <c r="E516" s="35">
        <v>44745.0</v>
      </c>
      <c r="F516" s="12">
        <v>15863.15</v>
      </c>
      <c r="G516" s="11">
        <v>-0.023526732</v>
      </c>
      <c r="H516" s="13">
        <v>-0.0235</v>
      </c>
      <c r="J516" s="15"/>
      <c r="K516" s="11"/>
      <c r="L516" s="11"/>
      <c r="M516" s="11"/>
      <c r="N516" s="11"/>
    </row>
    <row r="517" ht="15.75" customHeight="1">
      <c r="A517" s="35">
        <v>44654.0</v>
      </c>
      <c r="B517" s="38">
        <v>399.5</v>
      </c>
      <c r="C517" s="11">
        <f t="shared" si="1"/>
        <v>-0.02489626556</v>
      </c>
      <c r="D517" s="13">
        <f t="shared" si="2"/>
        <v>-0.02489626556</v>
      </c>
      <c r="E517" s="35">
        <v>44654.0</v>
      </c>
      <c r="F517" s="12">
        <v>16245.35</v>
      </c>
      <c r="G517" s="11">
        <v>-0.015316962</v>
      </c>
      <c r="H517" s="13">
        <v>-0.0153</v>
      </c>
      <c r="J517" s="15"/>
      <c r="K517" s="11"/>
      <c r="L517" s="11"/>
      <c r="M517" s="11"/>
      <c r="N517" s="11"/>
    </row>
    <row r="518" ht="15.75" customHeight="1">
      <c r="A518" s="35">
        <v>44623.0</v>
      </c>
      <c r="B518" s="38">
        <v>409.7</v>
      </c>
      <c r="C518" s="11">
        <f t="shared" si="1"/>
        <v>0.003183153771</v>
      </c>
      <c r="D518" s="13">
        <f t="shared" si="2"/>
        <v>0.003183153771</v>
      </c>
      <c r="E518" s="35">
        <v>44623.0</v>
      </c>
      <c r="F518" s="12">
        <v>16498.05</v>
      </c>
      <c r="G518" s="11">
        <v>-0.006497671</v>
      </c>
      <c r="H518" s="13">
        <v>-0.0065</v>
      </c>
      <c r="J518" s="15"/>
      <c r="K518" s="11"/>
      <c r="L518" s="11"/>
      <c r="M518" s="11"/>
      <c r="N518" s="11"/>
    </row>
    <row r="519" ht="15.75" customHeight="1">
      <c r="A519" s="35">
        <v>44595.0</v>
      </c>
      <c r="B519" s="38">
        <v>408.4</v>
      </c>
      <c r="C519" s="11">
        <f t="shared" si="1"/>
        <v>0.002454590083</v>
      </c>
      <c r="D519" s="13">
        <f t="shared" si="2"/>
        <v>0.002454590083</v>
      </c>
      <c r="E519" s="35">
        <v>44595.0</v>
      </c>
      <c r="F519" s="12">
        <v>16605.95</v>
      </c>
      <c r="G519" s="11">
        <v>-0.011191564</v>
      </c>
      <c r="H519" s="13">
        <v>-0.0112</v>
      </c>
      <c r="J519" s="15"/>
      <c r="K519" s="11"/>
      <c r="L519" s="11"/>
      <c r="M519" s="11"/>
      <c r="N519" s="11"/>
    </row>
    <row r="520" ht="15.75" customHeight="1">
      <c r="A520" s="11" t="s">
        <v>420</v>
      </c>
      <c r="B520" s="38">
        <v>407.4</v>
      </c>
      <c r="C520" s="11">
        <f t="shared" si="1"/>
        <v>-0.001348204437</v>
      </c>
      <c r="D520" s="13">
        <f t="shared" si="2"/>
        <v>-0.001348204437</v>
      </c>
      <c r="E520" s="11" t="s">
        <v>420</v>
      </c>
      <c r="F520" s="12">
        <v>16793.9</v>
      </c>
      <c r="G520" s="11">
        <v>0.008134034</v>
      </c>
      <c r="H520" s="13">
        <v>0.0081</v>
      </c>
      <c r="J520" s="15"/>
      <c r="K520" s="11"/>
      <c r="L520" s="11"/>
      <c r="M520" s="11"/>
      <c r="N520" s="11"/>
    </row>
    <row r="521" ht="15.75" customHeight="1">
      <c r="A521" s="11" t="s">
        <v>421</v>
      </c>
      <c r="B521" s="38">
        <v>407.95</v>
      </c>
      <c r="C521" s="11">
        <f t="shared" si="1"/>
        <v>0.02384238926</v>
      </c>
      <c r="D521" s="13">
        <f t="shared" si="2"/>
        <v>0.02384238926</v>
      </c>
      <c r="E521" s="11" t="s">
        <v>421</v>
      </c>
      <c r="F521" s="12">
        <v>16658.4</v>
      </c>
      <c r="G521" s="11">
        <v>0.025261648</v>
      </c>
      <c r="H521" s="13">
        <v>0.0253</v>
      </c>
      <c r="J521" s="15"/>
      <c r="K521" s="11"/>
      <c r="L521" s="11"/>
      <c r="M521" s="11"/>
      <c r="N521" s="11"/>
    </row>
    <row r="522" ht="15.75" customHeight="1">
      <c r="A522" s="11" t="s">
        <v>422</v>
      </c>
      <c r="B522" s="38">
        <v>398.45</v>
      </c>
      <c r="C522" s="11">
        <f t="shared" si="1"/>
        <v>-0.04995231283</v>
      </c>
      <c r="D522" s="13">
        <f t="shared" si="2"/>
        <v>-0.04995231283</v>
      </c>
      <c r="E522" s="11" t="s">
        <v>422</v>
      </c>
      <c r="F522" s="12">
        <v>16247.95</v>
      </c>
      <c r="G522" s="11">
        <v>-0.04778105</v>
      </c>
      <c r="H522" s="13">
        <v>-0.0478</v>
      </c>
      <c r="J522" s="15"/>
      <c r="K522" s="11"/>
      <c r="L522" s="11"/>
      <c r="M522" s="11"/>
      <c r="N522" s="11"/>
    </row>
    <row r="523" ht="15.75" customHeight="1">
      <c r="A523" s="11" t="s">
        <v>423</v>
      </c>
      <c r="B523" s="38">
        <v>419.4</v>
      </c>
      <c r="C523" s="11">
        <f t="shared" si="1"/>
        <v>0.02693437806</v>
      </c>
      <c r="D523" s="13">
        <f t="shared" si="2"/>
        <v>0.02693437806</v>
      </c>
      <c r="E523" s="11" t="s">
        <v>423</v>
      </c>
      <c r="F523" s="12">
        <v>17063.25</v>
      </c>
      <c r="G523" s="11">
        <v>-0.001693755</v>
      </c>
      <c r="H523" s="13">
        <v>-0.0017</v>
      </c>
      <c r="J523" s="15"/>
      <c r="K523" s="11"/>
      <c r="L523" s="11"/>
      <c r="M523" s="11"/>
      <c r="N523" s="11"/>
    </row>
    <row r="524" ht="15.75" customHeight="1">
      <c r="A524" s="11" t="s">
        <v>424</v>
      </c>
      <c r="B524" s="38">
        <v>408.4</v>
      </c>
      <c r="C524" s="11">
        <f t="shared" si="1"/>
        <v>-0.03211280957</v>
      </c>
      <c r="D524" s="13">
        <f t="shared" si="2"/>
        <v>-0.03211280957</v>
      </c>
      <c r="E524" s="11" t="s">
        <v>424</v>
      </c>
      <c r="F524" s="12">
        <v>17092.2</v>
      </c>
      <c r="G524" s="11">
        <v>-0.006651498</v>
      </c>
      <c r="H524" s="13">
        <v>-0.0067</v>
      </c>
      <c r="J524" s="15"/>
      <c r="K524" s="11"/>
      <c r="L524" s="11"/>
      <c r="M524" s="11"/>
      <c r="N524" s="11"/>
    </row>
    <row r="525" ht="15.75" customHeight="1">
      <c r="A525" s="11" t="s">
        <v>425</v>
      </c>
      <c r="B525" s="38">
        <v>421.95</v>
      </c>
      <c r="C525" s="11">
        <f t="shared" si="1"/>
        <v>-0.04912676056</v>
      </c>
      <c r="D525" s="13">
        <f t="shared" si="2"/>
        <v>-0.04912676056</v>
      </c>
      <c r="E525" s="11" t="s">
        <v>425</v>
      </c>
      <c r="F525" s="12">
        <v>17206.65</v>
      </c>
      <c r="G525" s="11">
        <v>-0.004031535</v>
      </c>
      <c r="H525" s="13">
        <v>-0.004</v>
      </c>
      <c r="J525" s="15"/>
      <c r="K525" s="11"/>
      <c r="L525" s="11"/>
      <c r="M525" s="11"/>
      <c r="N525" s="11"/>
    </row>
    <row r="526" ht="15.75" customHeight="1">
      <c r="A526" s="11" t="s">
        <v>426</v>
      </c>
      <c r="B526" s="38">
        <v>443.75</v>
      </c>
      <c r="C526" s="11">
        <f t="shared" si="1"/>
        <v>0.002711558016</v>
      </c>
      <c r="D526" s="13">
        <f t="shared" si="2"/>
        <v>0.002711558016</v>
      </c>
      <c r="E526" s="11" t="s">
        <v>426</v>
      </c>
      <c r="F526" s="12">
        <v>17276.3</v>
      </c>
      <c r="G526" s="11">
        <v>-0.001635403</v>
      </c>
      <c r="H526" s="13">
        <v>-0.0016</v>
      </c>
      <c r="J526" s="15"/>
      <c r="K526" s="11"/>
      <c r="L526" s="11"/>
      <c r="M526" s="11"/>
      <c r="N526" s="11"/>
    </row>
    <row r="527" ht="15.75" customHeight="1">
      <c r="A527" s="11" t="s">
        <v>427</v>
      </c>
      <c r="B527" s="38">
        <v>442.55</v>
      </c>
      <c r="C527" s="11">
        <f t="shared" si="1"/>
        <v>0.009696554871</v>
      </c>
      <c r="D527" s="13">
        <f t="shared" si="2"/>
        <v>0.009696554871</v>
      </c>
      <c r="E527" s="11" t="s">
        <v>427</v>
      </c>
      <c r="F527" s="12">
        <v>17304.6</v>
      </c>
      <c r="G527" s="11">
        <v>-0.001016037</v>
      </c>
      <c r="H527" s="13">
        <v>-0.001</v>
      </c>
      <c r="J527" s="15"/>
      <c r="K527" s="11"/>
      <c r="L527" s="11"/>
      <c r="M527" s="11"/>
      <c r="N527" s="11"/>
    </row>
    <row r="528" ht="15.75" customHeight="1">
      <c r="A528" s="11" t="s">
        <v>428</v>
      </c>
      <c r="B528" s="38">
        <v>438.3</v>
      </c>
      <c r="C528" s="11">
        <f t="shared" si="1"/>
        <v>0.00515995872</v>
      </c>
      <c r="D528" s="13">
        <f t="shared" si="2"/>
        <v>0.00515995872</v>
      </c>
      <c r="E528" s="11" t="s">
        <v>428</v>
      </c>
      <c r="F528" s="12">
        <v>17322.2</v>
      </c>
      <c r="G528" s="11">
        <v>-0.00174327</v>
      </c>
      <c r="H528" s="13">
        <v>-0.0017</v>
      </c>
      <c r="J528" s="15"/>
      <c r="K528" s="11"/>
      <c r="L528" s="11"/>
      <c r="M528" s="11"/>
      <c r="N528" s="11"/>
    </row>
    <row r="529" ht="15.75" customHeight="1">
      <c r="A529" s="11" t="s">
        <v>429</v>
      </c>
      <c r="B529" s="38">
        <v>436.05</v>
      </c>
      <c r="C529" s="11">
        <f t="shared" si="1"/>
        <v>0.04996388153</v>
      </c>
      <c r="D529" s="13">
        <f t="shared" si="2"/>
        <v>0.04996388153</v>
      </c>
      <c r="E529" s="11" t="s">
        <v>429</v>
      </c>
      <c r="F529" s="12">
        <v>17352.45</v>
      </c>
      <c r="G529" s="11">
        <v>0.030259221</v>
      </c>
      <c r="H529" s="13">
        <v>0.0303</v>
      </c>
      <c r="J529" s="15"/>
      <c r="K529" s="11"/>
      <c r="L529" s="11"/>
      <c r="M529" s="11"/>
      <c r="N529" s="11"/>
    </row>
    <row r="530" ht="15.75" customHeight="1">
      <c r="A530" s="11" t="s">
        <v>430</v>
      </c>
      <c r="B530" s="38">
        <v>415.3</v>
      </c>
      <c r="C530" s="11">
        <f t="shared" si="1"/>
        <v>-0.04835013749</v>
      </c>
      <c r="D530" s="13">
        <f t="shared" si="2"/>
        <v>-0.04835013749</v>
      </c>
      <c r="E530" s="11" t="s">
        <v>430</v>
      </c>
      <c r="F530" s="12">
        <v>16842.8</v>
      </c>
      <c r="G530" s="11">
        <v>-0.030616268</v>
      </c>
      <c r="H530" s="13">
        <v>-0.0306</v>
      </c>
      <c r="J530" s="15"/>
      <c r="K530" s="11"/>
      <c r="L530" s="11"/>
      <c r="M530" s="11"/>
      <c r="N530" s="11"/>
    </row>
    <row r="531" ht="15.75" customHeight="1">
      <c r="A531" s="35">
        <v>44867.0</v>
      </c>
      <c r="B531" s="38">
        <v>436.4</v>
      </c>
      <c r="C531" s="11">
        <f t="shared" si="1"/>
        <v>-0.002400274317</v>
      </c>
      <c r="D531" s="13">
        <f t="shared" si="2"/>
        <v>-0.002400274317</v>
      </c>
      <c r="E531" s="35">
        <v>44867.0</v>
      </c>
      <c r="F531" s="12">
        <v>17374.75</v>
      </c>
      <c r="G531" s="11">
        <v>-0.013126319</v>
      </c>
      <c r="H531" s="13">
        <v>-0.0131</v>
      </c>
      <c r="J531" s="15"/>
      <c r="K531" s="11"/>
      <c r="L531" s="11"/>
      <c r="M531" s="11"/>
      <c r="N531" s="11"/>
    </row>
    <row r="532" ht="15.75" customHeight="1">
      <c r="A532" s="35">
        <v>44836.0</v>
      </c>
      <c r="B532" s="38">
        <v>437.45</v>
      </c>
      <c r="C532" s="11">
        <f t="shared" si="1"/>
        <v>-0.01241675133</v>
      </c>
      <c r="D532" s="13">
        <f t="shared" si="2"/>
        <v>-0.01241675133</v>
      </c>
      <c r="E532" s="35">
        <v>44836.0</v>
      </c>
      <c r="F532" s="12">
        <v>17605.85</v>
      </c>
      <c r="G532" s="11">
        <v>0.008133969</v>
      </c>
      <c r="H532" s="13">
        <v>0.0081</v>
      </c>
      <c r="J532" s="15"/>
      <c r="K532" s="11"/>
      <c r="L532" s="11"/>
      <c r="M532" s="11"/>
      <c r="N532" s="11"/>
    </row>
    <row r="533" ht="15.75" customHeight="1">
      <c r="A533" s="35">
        <v>44806.0</v>
      </c>
      <c r="B533" s="38">
        <v>442.95</v>
      </c>
      <c r="C533" s="11">
        <f t="shared" si="1"/>
        <v>0.01675657064</v>
      </c>
      <c r="D533" s="13">
        <f t="shared" si="2"/>
        <v>0.01675657064</v>
      </c>
      <c r="E533" s="35">
        <v>44806.0</v>
      </c>
      <c r="F533" s="12">
        <v>17463.8</v>
      </c>
      <c r="G533" s="11">
        <v>0.011412107</v>
      </c>
      <c r="H533" s="13">
        <v>0.0114</v>
      </c>
      <c r="J533" s="15"/>
      <c r="K533" s="11"/>
      <c r="L533" s="11"/>
      <c r="M533" s="11"/>
      <c r="N533" s="11"/>
    </row>
    <row r="534" ht="15.75" customHeight="1">
      <c r="A534" s="35">
        <v>44775.0</v>
      </c>
      <c r="B534" s="38">
        <v>435.65</v>
      </c>
      <c r="C534" s="11">
        <f t="shared" si="1"/>
        <v>-0.04983642312</v>
      </c>
      <c r="D534" s="13">
        <f t="shared" si="2"/>
        <v>-0.04983642312</v>
      </c>
      <c r="E534" s="35">
        <v>44775.0</v>
      </c>
      <c r="F534" s="12">
        <v>17266.75</v>
      </c>
      <c r="G534" s="11">
        <v>0.003087675</v>
      </c>
      <c r="H534" s="13">
        <v>0.0031</v>
      </c>
      <c r="J534" s="15"/>
      <c r="K534" s="11"/>
      <c r="L534" s="11"/>
      <c r="M534" s="11"/>
      <c r="N534" s="11"/>
    </row>
    <row r="535" ht="15.75" customHeight="1">
      <c r="A535" s="35">
        <v>44744.0</v>
      </c>
      <c r="B535" s="38">
        <v>458.5</v>
      </c>
      <c r="C535" s="11">
        <f t="shared" si="1"/>
        <v>-0.04993783672</v>
      </c>
      <c r="D535" s="13">
        <f t="shared" si="2"/>
        <v>-0.04993783672</v>
      </c>
      <c r="E535" s="35">
        <v>44744.0</v>
      </c>
      <c r="F535" s="12">
        <v>17213.6</v>
      </c>
      <c r="G535" s="11">
        <v>-0.017281047</v>
      </c>
      <c r="H535" s="13">
        <v>-0.0173</v>
      </c>
      <c r="J535" s="15"/>
      <c r="K535" s="11"/>
      <c r="L535" s="11"/>
      <c r="M535" s="11"/>
      <c r="N535" s="11"/>
    </row>
    <row r="536" ht="15.75" customHeight="1">
      <c r="A536" s="35">
        <v>44653.0</v>
      </c>
      <c r="B536" s="38">
        <v>482.6</v>
      </c>
      <c r="C536" s="11">
        <f t="shared" si="1"/>
        <v>0.02834008097</v>
      </c>
      <c r="D536" s="13">
        <f t="shared" si="2"/>
        <v>0.02834008097</v>
      </c>
      <c r="E536" s="35">
        <v>44653.0</v>
      </c>
      <c r="F536" s="12">
        <v>17516.3</v>
      </c>
      <c r="G536" s="11">
        <v>-0.002499972</v>
      </c>
      <c r="H536" s="13">
        <v>-0.0025</v>
      </c>
      <c r="J536" s="15"/>
      <c r="K536" s="11"/>
      <c r="L536" s="11"/>
      <c r="M536" s="11"/>
      <c r="N536" s="11"/>
    </row>
    <row r="537" ht="15.75" customHeight="1">
      <c r="A537" s="35">
        <v>44622.0</v>
      </c>
      <c r="B537" s="38">
        <v>469.3</v>
      </c>
      <c r="C537" s="11">
        <f t="shared" si="1"/>
        <v>0.0496533214</v>
      </c>
      <c r="D537" s="13">
        <f t="shared" si="2"/>
        <v>0.0496533214</v>
      </c>
      <c r="E537" s="35">
        <v>44622.0</v>
      </c>
      <c r="F537" s="12">
        <v>17560.2</v>
      </c>
      <c r="G537" s="11">
        <v>-0.012362205</v>
      </c>
      <c r="H537" s="13">
        <v>-0.0124</v>
      </c>
      <c r="J537" s="15"/>
      <c r="K537" s="11"/>
      <c r="L537" s="11"/>
      <c r="M537" s="11"/>
      <c r="N537" s="11"/>
    </row>
    <row r="538" ht="15.75" customHeight="1">
      <c r="A538" s="35">
        <v>44594.0</v>
      </c>
      <c r="B538" s="38">
        <v>447.1</v>
      </c>
      <c r="C538" s="11">
        <f t="shared" si="1"/>
        <v>0.0499001996</v>
      </c>
      <c r="D538" s="13">
        <f t="shared" si="2"/>
        <v>0.0499001996</v>
      </c>
      <c r="E538" s="35">
        <v>44594.0</v>
      </c>
      <c r="F538" s="12">
        <v>17780.0</v>
      </c>
      <c r="G538" s="11">
        <v>0.011557816</v>
      </c>
      <c r="H538" s="13">
        <v>0.0116</v>
      </c>
      <c r="J538" s="15"/>
      <c r="K538" s="11"/>
      <c r="L538" s="11"/>
      <c r="M538" s="11"/>
      <c r="N538" s="11"/>
    </row>
    <row r="539" ht="15.75" customHeight="1">
      <c r="A539" s="35">
        <v>44563.0</v>
      </c>
      <c r="B539" s="38">
        <v>425.85</v>
      </c>
      <c r="C539" s="11">
        <f t="shared" si="1"/>
        <v>0.03663583252</v>
      </c>
      <c r="D539" s="13">
        <f t="shared" si="2"/>
        <v>0.03663583252</v>
      </c>
      <c r="E539" s="35">
        <v>44563.0</v>
      </c>
      <c r="F539" s="12">
        <v>17576.85</v>
      </c>
      <c r="G539" s="11">
        <v>0.013667938</v>
      </c>
      <c r="H539" s="13">
        <v>0.0137</v>
      </c>
      <c r="J539" s="15"/>
      <c r="K539" s="11"/>
      <c r="L539" s="11"/>
      <c r="M539" s="11"/>
      <c r="N539" s="11"/>
    </row>
    <row r="540" ht="15.75" customHeight="1">
      <c r="A540" s="11" t="s">
        <v>431</v>
      </c>
      <c r="B540" s="38">
        <v>410.8</v>
      </c>
      <c r="C540" s="11">
        <f t="shared" si="1"/>
        <v>0.001951219512</v>
      </c>
      <c r="D540" s="13">
        <f t="shared" si="2"/>
        <v>0.001951219512</v>
      </c>
      <c r="E540" s="11" t="s">
        <v>431</v>
      </c>
      <c r="F540" s="12">
        <v>17339.85</v>
      </c>
      <c r="G540" s="11">
        <v>0.013910694</v>
      </c>
      <c r="H540" s="13">
        <v>0.0139</v>
      </c>
      <c r="J540" s="15"/>
      <c r="K540" s="11"/>
      <c r="L540" s="11"/>
      <c r="M540" s="11"/>
      <c r="N540" s="11"/>
    </row>
    <row r="541" ht="15.75" customHeight="1">
      <c r="A541" s="11" t="s">
        <v>432</v>
      </c>
      <c r="B541" s="38">
        <v>410.0</v>
      </c>
      <c r="C541" s="11">
        <f t="shared" si="1"/>
        <v>0.005764749172</v>
      </c>
      <c r="D541" s="13">
        <f t="shared" si="2"/>
        <v>0.005764749172</v>
      </c>
      <c r="E541" s="11" t="s">
        <v>432</v>
      </c>
      <c r="F541" s="12">
        <v>17101.95</v>
      </c>
      <c r="G541" s="11">
        <v>-4.79248E-4</v>
      </c>
      <c r="H541" s="13">
        <v>-5.0E-4</v>
      </c>
      <c r="J541" s="15"/>
      <c r="K541" s="11"/>
      <c r="L541" s="11"/>
      <c r="M541" s="11"/>
      <c r="N541" s="11"/>
    </row>
    <row r="542" ht="15.75" customHeight="1">
      <c r="A542" s="11" t="s">
        <v>433</v>
      </c>
      <c r="B542" s="38">
        <v>407.65</v>
      </c>
      <c r="C542" s="11">
        <f t="shared" si="1"/>
        <v>-0.01175757576</v>
      </c>
      <c r="D542" s="13">
        <f t="shared" si="2"/>
        <v>-0.01175757576</v>
      </c>
      <c r="E542" s="11" t="s">
        <v>433</v>
      </c>
      <c r="F542" s="12">
        <v>17110.15</v>
      </c>
      <c r="G542" s="11">
        <v>-0.0097118</v>
      </c>
      <c r="H542" s="13">
        <v>-0.0097</v>
      </c>
      <c r="J542" s="15"/>
      <c r="K542" s="11"/>
      <c r="L542" s="11"/>
      <c r="M542" s="11"/>
      <c r="N542" s="11"/>
    </row>
    <row r="543" ht="15.75" customHeight="1">
      <c r="A543" s="11" t="s">
        <v>434</v>
      </c>
      <c r="B543" s="38">
        <v>412.5</v>
      </c>
      <c r="C543" s="11">
        <f t="shared" si="1"/>
        <v>0.04430379747</v>
      </c>
      <c r="D543" s="13">
        <f t="shared" si="2"/>
        <v>0.04430379747</v>
      </c>
      <c r="E543" s="11" t="s">
        <v>434</v>
      </c>
      <c r="F543" s="12">
        <v>17277.95</v>
      </c>
      <c r="G543" s="11">
        <v>0.007513514</v>
      </c>
      <c r="H543" s="13">
        <v>0.0075</v>
      </c>
      <c r="J543" s="15"/>
      <c r="K543" s="11"/>
      <c r="L543" s="11"/>
      <c r="M543" s="11"/>
      <c r="N543" s="11"/>
    </row>
    <row r="544" ht="15.75" customHeight="1">
      <c r="A544" s="11" t="s">
        <v>435</v>
      </c>
      <c r="B544" s="38">
        <v>395.0</v>
      </c>
      <c r="C544" s="11">
        <f t="shared" si="1"/>
        <v>-0.04990980156</v>
      </c>
      <c r="D544" s="13">
        <f t="shared" si="2"/>
        <v>-0.04990980156</v>
      </c>
      <c r="E544" s="11" t="s">
        <v>435</v>
      </c>
      <c r="F544" s="12">
        <v>17149.1</v>
      </c>
      <c r="G544" s="11">
        <v>-0.026567861</v>
      </c>
      <c r="H544" s="13">
        <v>-0.0266</v>
      </c>
      <c r="J544" s="15"/>
      <c r="K544" s="11"/>
      <c r="L544" s="11"/>
      <c r="M544" s="11"/>
      <c r="N544" s="11"/>
    </row>
    <row r="545" ht="15.75" customHeight="1">
      <c r="A545" s="11" t="s">
        <v>436</v>
      </c>
      <c r="B545" s="38">
        <v>415.75</v>
      </c>
      <c r="C545" s="11">
        <f t="shared" si="1"/>
        <v>-0.007638142976</v>
      </c>
      <c r="D545" s="13">
        <f t="shared" si="2"/>
        <v>-0.007638142976</v>
      </c>
      <c r="E545" s="11" t="s">
        <v>436</v>
      </c>
      <c r="F545" s="12">
        <v>17617.15</v>
      </c>
      <c r="G545" s="11">
        <v>-0.007875767</v>
      </c>
      <c r="H545" s="13">
        <v>-0.0079</v>
      </c>
      <c r="J545" s="15"/>
      <c r="K545" s="11"/>
      <c r="L545" s="11"/>
      <c r="M545" s="11"/>
      <c r="N545" s="11"/>
    </row>
    <row r="546" ht="15.75" customHeight="1">
      <c r="A546" s="11" t="s">
        <v>437</v>
      </c>
      <c r="B546" s="38">
        <v>418.95</v>
      </c>
      <c r="C546" s="11">
        <f t="shared" si="1"/>
        <v>-0.04989227804</v>
      </c>
      <c r="D546" s="13">
        <f t="shared" si="2"/>
        <v>-0.04989227804</v>
      </c>
      <c r="E546" s="11" t="s">
        <v>437</v>
      </c>
      <c r="F546" s="12">
        <v>17757.0</v>
      </c>
      <c r="G546" s="11">
        <v>-0.010112385</v>
      </c>
      <c r="H546" s="13">
        <v>-0.0101</v>
      </c>
      <c r="J546" s="15"/>
      <c r="K546" s="11"/>
      <c r="L546" s="11"/>
      <c r="M546" s="11"/>
      <c r="N546" s="11"/>
    </row>
    <row r="547" ht="15.75" customHeight="1">
      <c r="A547" s="11" t="s">
        <v>438</v>
      </c>
      <c r="B547" s="38">
        <v>440.95</v>
      </c>
      <c r="C547" s="11">
        <f t="shared" si="1"/>
        <v>-0.04047437711</v>
      </c>
      <c r="D547" s="13">
        <f t="shared" si="2"/>
        <v>-0.04047437711</v>
      </c>
      <c r="E547" s="11" t="s">
        <v>438</v>
      </c>
      <c r="F547" s="12">
        <v>17938.4</v>
      </c>
      <c r="G547" s="11">
        <v>-0.009642219</v>
      </c>
      <c r="H547" s="13">
        <v>-0.0096</v>
      </c>
      <c r="J547" s="15"/>
      <c r="K547" s="11"/>
      <c r="L547" s="11"/>
      <c r="M547" s="11"/>
      <c r="N547" s="11"/>
    </row>
    <row r="548" ht="15.75" customHeight="1">
      <c r="A548" s="11" t="s">
        <v>439</v>
      </c>
      <c r="B548" s="38">
        <v>459.55</v>
      </c>
      <c r="C548" s="11">
        <f t="shared" si="1"/>
        <v>-0.0499276411</v>
      </c>
      <c r="D548" s="13">
        <f t="shared" si="2"/>
        <v>-0.0499276411</v>
      </c>
      <c r="E548" s="11" t="s">
        <v>439</v>
      </c>
      <c r="F548" s="12">
        <v>18113.05</v>
      </c>
      <c r="G548" s="11">
        <v>-0.010653754</v>
      </c>
      <c r="H548" s="13">
        <v>-0.0107</v>
      </c>
      <c r="J548" s="15"/>
      <c r="K548" s="11"/>
      <c r="L548" s="11"/>
      <c r="M548" s="11"/>
      <c r="N548" s="11"/>
    </row>
    <row r="549" ht="15.75" customHeight="1">
      <c r="A549" s="11" t="s">
        <v>440</v>
      </c>
      <c r="B549" s="38">
        <v>483.7</v>
      </c>
      <c r="C549" s="11">
        <f t="shared" si="1"/>
        <v>-0.04998526957</v>
      </c>
      <c r="D549" s="13">
        <f t="shared" si="2"/>
        <v>-0.04998526957</v>
      </c>
      <c r="E549" s="11" t="s">
        <v>440</v>
      </c>
      <c r="F549" s="12">
        <v>18308.1</v>
      </c>
      <c r="G549" s="11">
        <v>0.00286759</v>
      </c>
      <c r="H549" s="13">
        <v>0.0029</v>
      </c>
      <c r="J549" s="15"/>
      <c r="K549" s="11"/>
      <c r="L549" s="11"/>
      <c r="M549" s="11"/>
      <c r="N549" s="11"/>
    </row>
    <row r="550" ht="15.75" customHeight="1">
      <c r="A550" s="11" t="s">
        <v>441</v>
      </c>
      <c r="B550" s="38">
        <v>509.15</v>
      </c>
      <c r="C550" s="11">
        <f t="shared" si="1"/>
        <v>-0.01241392687</v>
      </c>
      <c r="D550" s="13">
        <f t="shared" si="2"/>
        <v>-0.01241392687</v>
      </c>
      <c r="E550" s="11" t="s">
        <v>441</v>
      </c>
      <c r="F550" s="12">
        <v>18255.75</v>
      </c>
      <c r="G550" s="11">
        <v>-1.12281E-4</v>
      </c>
      <c r="H550" s="13">
        <v>-1.0E-4</v>
      </c>
      <c r="J550" s="15"/>
      <c r="K550" s="11"/>
      <c r="L550" s="11"/>
      <c r="M550" s="11"/>
      <c r="N550" s="11"/>
    </row>
    <row r="551" ht="15.75" customHeight="1">
      <c r="A551" s="11" t="s">
        <v>442</v>
      </c>
      <c r="B551" s="38">
        <v>515.55</v>
      </c>
      <c r="C551" s="11">
        <f t="shared" si="1"/>
        <v>0.05</v>
      </c>
      <c r="D551" s="13">
        <f t="shared" si="2"/>
        <v>0.05</v>
      </c>
      <c r="E551" s="11" t="s">
        <v>442</v>
      </c>
      <c r="F551" s="12">
        <v>18257.8</v>
      </c>
      <c r="G551" s="11">
        <v>0.002495559</v>
      </c>
      <c r="H551" s="13">
        <v>0.0025</v>
      </c>
      <c r="J551" s="15"/>
      <c r="K551" s="11"/>
      <c r="L551" s="11"/>
      <c r="M551" s="11"/>
      <c r="N551" s="11"/>
    </row>
    <row r="552" ht="15.75" customHeight="1">
      <c r="A552" s="35">
        <v>44896.0</v>
      </c>
      <c r="B552" s="38">
        <v>491.0</v>
      </c>
      <c r="C552" s="11">
        <f t="shared" si="1"/>
        <v>0.04646206309</v>
      </c>
      <c r="D552" s="13">
        <f t="shared" si="2"/>
        <v>0.04646206309</v>
      </c>
      <c r="E552" s="35">
        <v>44896.0</v>
      </c>
      <c r="F552" s="12">
        <v>18212.35</v>
      </c>
      <c r="G552" s="11">
        <v>0.008673137</v>
      </c>
      <c r="H552" s="13">
        <v>0.0087</v>
      </c>
      <c r="J552" s="15"/>
      <c r="K552" s="11"/>
      <c r="L552" s="11"/>
      <c r="M552" s="11"/>
      <c r="N552" s="11"/>
    </row>
    <row r="553" ht="15.75" customHeight="1">
      <c r="A553" s="35">
        <v>44866.0</v>
      </c>
      <c r="B553" s="38">
        <v>469.2</v>
      </c>
      <c r="C553" s="11">
        <f t="shared" si="1"/>
        <v>0.04989930633</v>
      </c>
      <c r="D553" s="13">
        <f t="shared" si="2"/>
        <v>0.04989930633</v>
      </c>
      <c r="E553" s="35">
        <v>44866.0</v>
      </c>
      <c r="F553" s="12">
        <v>18055.75</v>
      </c>
      <c r="G553" s="11">
        <v>0.002913355</v>
      </c>
      <c r="H553" s="13">
        <v>0.0029</v>
      </c>
      <c r="J553" s="15"/>
      <c r="K553" s="11"/>
      <c r="L553" s="11"/>
      <c r="M553" s="11"/>
      <c r="N553" s="11"/>
    </row>
    <row r="554" ht="15.75" customHeight="1">
      <c r="A554" s="35">
        <v>44835.0</v>
      </c>
      <c r="B554" s="38">
        <v>446.9</v>
      </c>
      <c r="C554" s="11">
        <f t="shared" si="1"/>
        <v>0.04992364619</v>
      </c>
      <c r="D554" s="13">
        <f t="shared" si="2"/>
        <v>0.04992364619</v>
      </c>
      <c r="E554" s="35">
        <v>44835.0</v>
      </c>
      <c r="F554" s="12">
        <v>18003.3</v>
      </c>
      <c r="G554" s="11">
        <v>0.010700231</v>
      </c>
      <c r="H554" s="13">
        <v>0.0107</v>
      </c>
      <c r="J554" s="15"/>
      <c r="K554" s="11"/>
      <c r="L554" s="11"/>
      <c r="M554" s="11"/>
      <c r="N554" s="11"/>
    </row>
    <row r="555" ht="15.75" customHeight="1">
      <c r="A555" s="35">
        <v>44743.0</v>
      </c>
      <c r="B555" s="38">
        <v>425.65</v>
      </c>
      <c r="C555" s="11">
        <f t="shared" si="1"/>
        <v>-0.0007043080174</v>
      </c>
      <c r="D555" s="13">
        <f t="shared" si="2"/>
        <v>-0.0007043080174</v>
      </c>
      <c r="E555" s="35">
        <v>44743.0</v>
      </c>
      <c r="F555" s="12">
        <v>17812.7</v>
      </c>
      <c r="G555" s="11">
        <v>0.00376425</v>
      </c>
      <c r="H555" s="13">
        <v>0.0038</v>
      </c>
      <c r="J555" s="15"/>
      <c r="K555" s="11"/>
      <c r="L555" s="11"/>
      <c r="M555" s="11"/>
      <c r="N555" s="11"/>
    </row>
    <row r="556" ht="15.75" customHeight="1">
      <c r="A556" s="35">
        <v>44713.0</v>
      </c>
      <c r="B556" s="38">
        <v>425.95</v>
      </c>
      <c r="C556" s="11">
        <f t="shared" si="1"/>
        <v>-0.009764035801</v>
      </c>
      <c r="D556" s="13">
        <f t="shared" si="2"/>
        <v>-0.009764035801</v>
      </c>
      <c r="E556" s="35">
        <v>44713.0</v>
      </c>
      <c r="F556" s="12">
        <v>17745.9</v>
      </c>
      <c r="G556" s="11">
        <v>-0.010005439</v>
      </c>
      <c r="H556" s="13">
        <v>-0.01</v>
      </c>
      <c r="J556" s="15"/>
      <c r="K556" s="11"/>
      <c r="L556" s="11"/>
      <c r="M556" s="11"/>
      <c r="N556" s="11"/>
    </row>
    <row r="557" ht="15.75" customHeight="1">
      <c r="A557" s="35">
        <v>44682.0</v>
      </c>
      <c r="B557" s="38">
        <v>430.15</v>
      </c>
      <c r="C557" s="11">
        <f t="shared" si="1"/>
        <v>0.01211764706</v>
      </c>
      <c r="D557" s="13">
        <f t="shared" si="2"/>
        <v>0.01211764706</v>
      </c>
      <c r="E557" s="35">
        <v>44682.0</v>
      </c>
      <c r="F557" s="12">
        <v>17925.25</v>
      </c>
      <c r="G557" s="11">
        <v>0.006739585</v>
      </c>
      <c r="H557" s="13">
        <v>0.0067</v>
      </c>
      <c r="J557" s="15"/>
      <c r="K557" s="11"/>
      <c r="L557" s="11"/>
      <c r="M557" s="11"/>
      <c r="N557" s="11"/>
    </row>
    <row r="558" ht="15.75" customHeight="1">
      <c r="A558" s="35">
        <v>44652.0</v>
      </c>
      <c r="B558" s="38">
        <v>425.0</v>
      </c>
      <c r="C558" s="11">
        <f t="shared" si="1"/>
        <v>-0.004567279541</v>
      </c>
      <c r="D558" s="13">
        <f t="shared" si="2"/>
        <v>-0.004567279541</v>
      </c>
      <c r="E558" s="35">
        <v>44652.0</v>
      </c>
      <c r="F558" s="12">
        <v>17805.25</v>
      </c>
      <c r="G558" s="11">
        <v>0.010186829</v>
      </c>
      <c r="H558" s="13">
        <v>0.0102</v>
      </c>
      <c r="J558" s="15"/>
      <c r="K558" s="11"/>
      <c r="L558" s="11"/>
      <c r="M558" s="11"/>
      <c r="N558" s="11"/>
    </row>
    <row r="559" ht="15.75" customHeight="1">
      <c r="A559" s="35">
        <v>44621.0</v>
      </c>
      <c r="B559" s="38">
        <v>426.95</v>
      </c>
      <c r="C559" s="11">
        <f t="shared" si="1"/>
        <v>0.01909535744</v>
      </c>
      <c r="D559" s="13">
        <f t="shared" si="2"/>
        <v>0.01909535744</v>
      </c>
      <c r="E559" s="35">
        <v>44621.0</v>
      </c>
      <c r="F559" s="12">
        <v>17625.7</v>
      </c>
      <c r="G559" s="11">
        <v>0.015653407</v>
      </c>
      <c r="H559" s="13">
        <v>0.0157</v>
      </c>
      <c r="J559" s="15"/>
      <c r="K559" s="11"/>
      <c r="L559" s="11"/>
      <c r="M559" s="11"/>
      <c r="N559" s="11"/>
    </row>
    <row r="560" ht="15.75" customHeight="1">
      <c r="A560" s="11" t="s">
        <v>443</v>
      </c>
      <c r="B560" s="38">
        <v>418.95</v>
      </c>
      <c r="C560" s="11">
        <f t="shared" si="1"/>
        <v>0.01502119927</v>
      </c>
      <c r="D560" s="13">
        <f t="shared" si="2"/>
        <v>0.01502119927</v>
      </c>
      <c r="E560" s="11" t="s">
        <v>443</v>
      </c>
      <c r="F560" s="12">
        <v>17354.05</v>
      </c>
      <c r="G560" s="11">
        <v>0.008724741</v>
      </c>
      <c r="H560" s="13">
        <v>0.0087</v>
      </c>
      <c r="J560" s="15"/>
      <c r="K560" s="11"/>
      <c r="L560" s="11"/>
      <c r="M560" s="11"/>
      <c r="N560" s="11"/>
    </row>
    <row r="561" ht="15.75" customHeight="1">
      <c r="A561" s="11" t="s">
        <v>444</v>
      </c>
      <c r="B561" s="38">
        <v>412.75</v>
      </c>
      <c r="C561" s="11">
        <f t="shared" si="1"/>
        <v>-0.006977023938</v>
      </c>
      <c r="D561" s="13">
        <f t="shared" si="2"/>
        <v>-0.006977023938</v>
      </c>
      <c r="E561" s="11" t="s">
        <v>444</v>
      </c>
      <c r="F561" s="12">
        <v>17203.95</v>
      </c>
      <c r="G561" s="11">
        <v>-5.60603E-4</v>
      </c>
      <c r="H561" s="13">
        <v>-6.0E-4</v>
      </c>
      <c r="J561" s="15"/>
      <c r="K561" s="11"/>
      <c r="L561" s="11"/>
      <c r="M561" s="11"/>
      <c r="N561" s="11"/>
    </row>
    <row r="562" ht="15.75" customHeight="1">
      <c r="A562" s="11" t="s">
        <v>445</v>
      </c>
      <c r="B562" s="38">
        <v>415.65</v>
      </c>
      <c r="C562" s="11">
        <f t="shared" si="1"/>
        <v>-0.00846851145</v>
      </c>
      <c r="D562" s="13">
        <f t="shared" si="2"/>
        <v>-0.00846851145</v>
      </c>
      <c r="E562" s="11" t="s">
        <v>445</v>
      </c>
      <c r="F562" s="12">
        <v>17213.6</v>
      </c>
      <c r="G562" s="11">
        <v>-0.001140238</v>
      </c>
      <c r="H562" s="13">
        <v>-0.0011</v>
      </c>
      <c r="J562" s="15"/>
      <c r="K562" s="11"/>
      <c r="L562" s="11"/>
      <c r="M562" s="11"/>
      <c r="N562" s="11"/>
    </row>
    <row r="563" ht="15.75" customHeight="1">
      <c r="A563" s="11" t="s">
        <v>446</v>
      </c>
      <c r="B563" s="38">
        <v>419.2</v>
      </c>
      <c r="C563" s="11">
        <f t="shared" si="1"/>
        <v>0.02044790652</v>
      </c>
      <c r="D563" s="13">
        <f t="shared" si="2"/>
        <v>0.02044790652</v>
      </c>
      <c r="E563" s="11" t="s">
        <v>446</v>
      </c>
      <c r="F563" s="12">
        <v>17233.25</v>
      </c>
      <c r="G563" s="11">
        <v>0.008603409</v>
      </c>
      <c r="H563" s="13">
        <v>0.0086</v>
      </c>
      <c r="J563" s="15"/>
      <c r="K563" s="11"/>
      <c r="L563" s="11"/>
      <c r="M563" s="11"/>
      <c r="N563" s="11"/>
    </row>
    <row r="564" ht="15.75" customHeight="1">
      <c r="A564" s="11" t="s">
        <v>447</v>
      </c>
      <c r="B564" s="38">
        <v>410.8</v>
      </c>
      <c r="C564" s="11">
        <f t="shared" si="1"/>
        <v>0.002807274503</v>
      </c>
      <c r="D564" s="13">
        <f t="shared" si="2"/>
        <v>0.002807274503</v>
      </c>
      <c r="E564" s="11" t="s">
        <v>447</v>
      </c>
      <c r="F564" s="12">
        <v>17086.25</v>
      </c>
      <c r="G564" s="11">
        <v>0.004851871</v>
      </c>
      <c r="H564" s="13">
        <v>0.0049</v>
      </c>
      <c r="J564" s="15"/>
      <c r="K564" s="11"/>
      <c r="L564" s="11"/>
      <c r="M564" s="11"/>
      <c r="N564" s="11"/>
    </row>
    <row r="565" ht="15.75" customHeight="1">
      <c r="A565" s="11" t="s">
        <v>448</v>
      </c>
      <c r="B565" s="38">
        <v>409.65</v>
      </c>
      <c r="C565" s="11">
        <f t="shared" si="1"/>
        <v>-0.01644657863</v>
      </c>
      <c r="D565" s="13">
        <f t="shared" si="2"/>
        <v>-0.01644657863</v>
      </c>
      <c r="E565" s="11" t="s">
        <v>448</v>
      </c>
      <c r="F565" s="12">
        <v>17003.75</v>
      </c>
      <c r="G565" s="11">
        <v>-0.004032778</v>
      </c>
      <c r="H565" s="13">
        <v>-0.004</v>
      </c>
      <c r="J565" s="15"/>
      <c r="K565" s="11"/>
      <c r="L565" s="11"/>
      <c r="M565" s="11"/>
      <c r="N565" s="11"/>
    </row>
    <row r="566" ht="15.75" customHeight="1">
      <c r="A566" s="11" t="s">
        <v>449</v>
      </c>
      <c r="B566" s="38">
        <v>416.5</v>
      </c>
      <c r="C566" s="11">
        <f t="shared" si="1"/>
        <v>-0.02470436717</v>
      </c>
      <c r="D566" s="13">
        <f t="shared" si="2"/>
        <v>-0.02470436717</v>
      </c>
      <c r="E566" s="11" t="s">
        <v>449</v>
      </c>
      <c r="F566" s="12">
        <v>17072.6</v>
      </c>
      <c r="G566" s="11">
        <v>0.006909283</v>
      </c>
      <c r="H566" s="13">
        <v>0.0069</v>
      </c>
      <c r="J566" s="15"/>
      <c r="K566" s="11"/>
      <c r="L566" s="11"/>
      <c r="M566" s="11"/>
      <c r="N566" s="11"/>
    </row>
    <row r="567" ht="15.75" customHeight="1">
      <c r="A567" s="11" t="s">
        <v>450</v>
      </c>
      <c r="B567" s="38">
        <v>427.05</v>
      </c>
      <c r="C567" s="11">
        <f t="shared" si="1"/>
        <v>0.001172195522</v>
      </c>
      <c r="D567" s="13">
        <f t="shared" si="2"/>
        <v>0.001172195522</v>
      </c>
      <c r="E567" s="11" t="s">
        <v>450</v>
      </c>
      <c r="F567" s="12">
        <v>16955.45</v>
      </c>
      <c r="G567" s="11">
        <v>0.011007194</v>
      </c>
      <c r="H567" s="13">
        <v>0.011</v>
      </c>
      <c r="J567" s="15"/>
      <c r="K567" s="11"/>
      <c r="L567" s="11"/>
      <c r="M567" s="11"/>
      <c r="N567" s="11"/>
    </row>
    <row r="568" ht="15.75" customHeight="1">
      <c r="A568" s="11" t="s">
        <v>451</v>
      </c>
      <c r="B568" s="38">
        <v>426.55</v>
      </c>
      <c r="C568" s="11">
        <f t="shared" si="1"/>
        <v>0.03657351154</v>
      </c>
      <c r="D568" s="13">
        <f t="shared" si="2"/>
        <v>0.03657351154</v>
      </c>
      <c r="E568" s="11" t="s">
        <v>451</v>
      </c>
      <c r="F568" s="12">
        <v>16770.85</v>
      </c>
      <c r="G568" s="11">
        <v>0.009428681</v>
      </c>
      <c r="H568" s="13">
        <v>0.0094</v>
      </c>
      <c r="J568" s="15"/>
      <c r="K568" s="11"/>
      <c r="L568" s="11"/>
      <c r="M568" s="11"/>
      <c r="N568" s="11"/>
    </row>
    <row r="569" ht="15.75" customHeight="1">
      <c r="A569" s="11" t="s">
        <v>452</v>
      </c>
      <c r="B569" s="38">
        <v>411.5</v>
      </c>
      <c r="C569" s="11">
        <f t="shared" si="1"/>
        <v>-0.009865255053</v>
      </c>
      <c r="D569" s="13">
        <f t="shared" si="2"/>
        <v>-0.009865255053</v>
      </c>
      <c r="E569" s="11" t="s">
        <v>452</v>
      </c>
      <c r="F569" s="12">
        <v>16614.2</v>
      </c>
      <c r="G569" s="11">
        <v>-0.021842545</v>
      </c>
      <c r="H569" s="13">
        <v>-0.0218</v>
      </c>
      <c r="J569" s="15"/>
      <c r="K569" s="11"/>
      <c r="L569" s="11"/>
      <c r="M569" s="11"/>
      <c r="N569" s="11"/>
    </row>
    <row r="570" ht="15.75" customHeight="1">
      <c r="A570" s="11" t="s">
        <v>453</v>
      </c>
      <c r="B570" s="38">
        <v>415.6</v>
      </c>
      <c r="C570" s="11">
        <f t="shared" si="1"/>
        <v>-0.0406278855</v>
      </c>
      <c r="D570" s="13">
        <f t="shared" si="2"/>
        <v>-0.0406278855</v>
      </c>
      <c r="E570" s="11" t="s">
        <v>453</v>
      </c>
      <c r="F570" s="12">
        <v>16985.2</v>
      </c>
      <c r="G570" s="11">
        <v>-0.015259386</v>
      </c>
      <c r="H570" s="13">
        <v>-0.0153</v>
      </c>
      <c r="J570" s="15"/>
      <c r="K570" s="11"/>
      <c r="L570" s="11"/>
      <c r="M570" s="11"/>
      <c r="N570" s="11"/>
    </row>
    <row r="571" ht="15.75" customHeight="1">
      <c r="A571" s="11" t="s">
        <v>454</v>
      </c>
      <c r="B571" s="38">
        <v>433.2</v>
      </c>
      <c r="C571" s="11">
        <f t="shared" si="1"/>
        <v>-0.03701233745</v>
      </c>
      <c r="D571" s="13">
        <f t="shared" si="2"/>
        <v>-0.03701233745</v>
      </c>
      <c r="E571" s="11" t="s">
        <v>454</v>
      </c>
      <c r="F571" s="12">
        <v>17248.4</v>
      </c>
      <c r="G571" s="11">
        <v>0.001567817</v>
      </c>
      <c r="H571" s="13">
        <v>0.0016</v>
      </c>
      <c r="J571" s="15"/>
      <c r="K571" s="11"/>
      <c r="L571" s="11"/>
      <c r="M571" s="11"/>
      <c r="N571" s="11"/>
    </row>
    <row r="572" ht="15.75" customHeight="1">
      <c r="A572" s="11" t="s">
        <v>455</v>
      </c>
      <c r="B572" s="38">
        <v>449.85</v>
      </c>
      <c r="C572" s="11">
        <f t="shared" si="1"/>
        <v>0.008632286996</v>
      </c>
      <c r="D572" s="13">
        <f t="shared" si="2"/>
        <v>0.008632286996</v>
      </c>
      <c r="E572" s="11" t="s">
        <v>455</v>
      </c>
      <c r="F572" s="12">
        <v>17221.4</v>
      </c>
      <c r="G572" s="11">
        <v>-0.00597406</v>
      </c>
      <c r="H572" s="13">
        <v>-0.006</v>
      </c>
      <c r="J572" s="15"/>
      <c r="K572" s="11"/>
      <c r="L572" s="11"/>
      <c r="M572" s="11"/>
      <c r="N572" s="11"/>
    </row>
    <row r="573" ht="15.75" customHeight="1">
      <c r="A573" s="11" t="s">
        <v>456</v>
      </c>
      <c r="B573" s="38">
        <v>446.0</v>
      </c>
      <c r="C573" s="11">
        <f t="shared" si="1"/>
        <v>-0.01360168086</v>
      </c>
      <c r="D573" s="13">
        <f t="shared" si="2"/>
        <v>-0.01360168086</v>
      </c>
      <c r="E573" s="11" t="s">
        <v>456</v>
      </c>
      <c r="F573" s="12">
        <v>17324.9</v>
      </c>
      <c r="G573" s="11">
        <v>-0.002495934</v>
      </c>
      <c r="H573" s="13">
        <v>-0.0025</v>
      </c>
      <c r="J573" s="15"/>
      <c r="K573" s="11"/>
      <c r="L573" s="11"/>
      <c r="M573" s="11"/>
      <c r="N573" s="11"/>
    </row>
    <row r="574" ht="15.75" customHeight="1">
      <c r="A574" s="11" t="s">
        <v>457</v>
      </c>
      <c r="B574" s="38">
        <v>452.15</v>
      </c>
      <c r="C574" s="11">
        <f t="shared" si="1"/>
        <v>0.01401659565</v>
      </c>
      <c r="D574" s="13">
        <f t="shared" si="2"/>
        <v>0.01401659565</v>
      </c>
      <c r="E574" s="11" t="s">
        <v>457</v>
      </c>
      <c r="F574" s="12">
        <v>17368.25</v>
      </c>
      <c r="G574" s="11">
        <v>-0.008169011</v>
      </c>
      <c r="H574" s="13">
        <v>-0.0082</v>
      </c>
      <c r="J574" s="15"/>
      <c r="K574" s="11"/>
      <c r="L574" s="11"/>
      <c r="M574" s="11"/>
      <c r="N574" s="11"/>
    </row>
    <row r="575" ht="15.75" customHeight="1">
      <c r="A575" s="55">
        <v>44481.0</v>
      </c>
      <c r="B575" s="38">
        <v>445.9</v>
      </c>
      <c r="C575" s="11">
        <f t="shared" si="1"/>
        <v>-0.02010768047</v>
      </c>
      <c r="D575" s="13">
        <f t="shared" si="2"/>
        <v>-0.02010768047</v>
      </c>
      <c r="E575" s="55">
        <v>44481.0</v>
      </c>
      <c r="F575" s="12">
        <v>17511.3</v>
      </c>
      <c r="G575" s="11">
        <v>-3.16838E-4</v>
      </c>
      <c r="H575" s="13">
        <v>-3.0E-4</v>
      </c>
      <c r="J575" s="15"/>
      <c r="K575" s="11"/>
      <c r="L575" s="11"/>
      <c r="M575" s="11"/>
      <c r="N575" s="11"/>
    </row>
    <row r="576" ht="15.75" customHeight="1">
      <c r="A576" s="35">
        <v>44451.0</v>
      </c>
      <c r="B576" s="38">
        <v>455.05</v>
      </c>
      <c r="C576" s="11">
        <f t="shared" si="1"/>
        <v>-0.002192742024</v>
      </c>
      <c r="D576" s="13">
        <f t="shared" si="2"/>
        <v>-0.002192742024</v>
      </c>
      <c r="E576" s="35">
        <v>44451.0</v>
      </c>
      <c r="F576" s="12">
        <v>17516.85</v>
      </c>
      <c r="G576" s="11">
        <v>0.002696089</v>
      </c>
      <c r="H576" s="13">
        <v>0.0027</v>
      </c>
      <c r="J576" s="15"/>
      <c r="K576" s="11"/>
      <c r="L576" s="11"/>
      <c r="M576" s="11"/>
      <c r="N576" s="11"/>
    </row>
    <row r="577" ht="15.75" customHeight="1">
      <c r="A577" s="35">
        <v>44420.0</v>
      </c>
      <c r="B577" s="38">
        <v>456.05</v>
      </c>
      <c r="C577" s="11">
        <f t="shared" si="1"/>
        <v>-0.009125475285</v>
      </c>
      <c r="D577" s="13">
        <f t="shared" si="2"/>
        <v>-0.009125475285</v>
      </c>
      <c r="E577" s="35">
        <v>44420.0</v>
      </c>
      <c r="F577" s="12">
        <v>17469.75</v>
      </c>
      <c r="G577" s="11">
        <v>0.017060902</v>
      </c>
      <c r="H577" s="13">
        <v>0.0171</v>
      </c>
      <c r="J577" s="15"/>
      <c r="K577" s="11"/>
      <c r="L577" s="11"/>
      <c r="M577" s="11"/>
      <c r="N577" s="11"/>
    </row>
    <row r="578" ht="15.75" customHeight="1">
      <c r="A578" s="35">
        <v>44389.0</v>
      </c>
      <c r="B578" s="38">
        <v>460.25</v>
      </c>
      <c r="C578" s="11">
        <f t="shared" si="1"/>
        <v>0.04235080965</v>
      </c>
      <c r="D578" s="13">
        <f t="shared" si="2"/>
        <v>0.04235080965</v>
      </c>
      <c r="E578" s="35">
        <v>44389.0</v>
      </c>
      <c r="F578" s="12">
        <v>17176.7</v>
      </c>
      <c r="G578" s="11">
        <v>0.015636595</v>
      </c>
      <c r="H578" s="13">
        <v>0.0156</v>
      </c>
      <c r="J578" s="15"/>
      <c r="K578" s="11"/>
      <c r="L578" s="11"/>
      <c r="M578" s="11"/>
      <c r="N578" s="11"/>
    </row>
    <row r="579" ht="15.75" customHeight="1">
      <c r="A579" s="35">
        <v>44359.0</v>
      </c>
      <c r="B579" s="38">
        <v>441.55</v>
      </c>
      <c r="C579" s="11">
        <f t="shared" si="1"/>
        <v>-0.01483712628</v>
      </c>
      <c r="D579" s="13">
        <f t="shared" si="2"/>
        <v>-0.01483712628</v>
      </c>
      <c r="E579" s="35">
        <v>44359.0</v>
      </c>
      <c r="F579" s="12">
        <v>16912.25</v>
      </c>
      <c r="G579" s="11">
        <v>-0.016540964</v>
      </c>
      <c r="H579" s="13">
        <v>-0.0165</v>
      </c>
      <c r="J579" s="15"/>
      <c r="K579" s="11"/>
      <c r="L579" s="11"/>
      <c r="M579" s="11"/>
      <c r="N579" s="11"/>
    </row>
    <row r="580" ht="15.75" customHeight="1">
      <c r="A580" s="35">
        <v>44267.0</v>
      </c>
      <c r="B580" s="38">
        <v>448.2</v>
      </c>
      <c r="C580" s="11">
        <f t="shared" si="1"/>
        <v>-0.0005574757498</v>
      </c>
      <c r="D580" s="13">
        <f t="shared" si="2"/>
        <v>-0.0005574757498</v>
      </c>
      <c r="E580" s="35">
        <v>44267.0</v>
      </c>
      <c r="F580" s="12">
        <v>17196.7</v>
      </c>
      <c r="G580" s="11">
        <v>-0.011777619</v>
      </c>
      <c r="H580" s="13">
        <v>-0.0118</v>
      </c>
      <c r="J580" s="15"/>
      <c r="K580" s="11"/>
      <c r="L580" s="11"/>
      <c r="M580" s="11"/>
      <c r="N580" s="11"/>
    </row>
    <row r="581" ht="15.75" customHeight="1">
      <c r="A581" s="35">
        <v>44239.0</v>
      </c>
      <c r="B581" s="38">
        <v>448.45</v>
      </c>
      <c r="C581" s="11">
        <f t="shared" si="1"/>
        <v>0.004929971989</v>
      </c>
      <c r="D581" s="13">
        <f t="shared" si="2"/>
        <v>0.004929971989</v>
      </c>
      <c r="E581" s="35">
        <v>44239.0</v>
      </c>
      <c r="F581" s="12">
        <v>17401.65</v>
      </c>
      <c r="G581" s="11">
        <v>0.013674571</v>
      </c>
      <c r="H581" s="13">
        <v>0.0137</v>
      </c>
      <c r="J581" s="15"/>
      <c r="K581" s="11"/>
      <c r="L581" s="11"/>
      <c r="M581" s="11"/>
      <c r="N581" s="11"/>
    </row>
    <row r="582" ht="15.75" customHeight="1">
      <c r="A582" s="35">
        <v>44208.0</v>
      </c>
      <c r="B582" s="38">
        <v>446.25</v>
      </c>
      <c r="C582" s="11">
        <f t="shared" si="1"/>
        <v>-0.0236297998</v>
      </c>
      <c r="D582" s="13">
        <f t="shared" si="2"/>
        <v>-0.0236297998</v>
      </c>
      <c r="E582" s="35">
        <v>44208.0</v>
      </c>
      <c r="F582" s="12">
        <v>17166.9</v>
      </c>
      <c r="G582" s="11">
        <v>0.010816572</v>
      </c>
      <c r="H582" s="13">
        <v>0.0108</v>
      </c>
      <c r="J582" s="15"/>
      <c r="K582" s="11"/>
      <c r="L582" s="11"/>
      <c r="M582" s="11"/>
      <c r="N582" s="11"/>
    </row>
    <row r="583" ht="15.75" customHeight="1">
      <c r="A583" s="11" t="s">
        <v>458</v>
      </c>
      <c r="B583" s="38">
        <v>457.05</v>
      </c>
      <c r="C583" s="11">
        <f t="shared" si="1"/>
        <v>0.03299807888</v>
      </c>
      <c r="D583" s="13">
        <f t="shared" si="2"/>
        <v>0.03299807888</v>
      </c>
      <c r="E583" s="11" t="s">
        <v>458</v>
      </c>
      <c r="F583" s="12">
        <v>16983.2</v>
      </c>
      <c r="G583" s="11">
        <v>-0.004148599</v>
      </c>
      <c r="H583" s="13">
        <v>-0.0041</v>
      </c>
      <c r="J583" s="15"/>
      <c r="K583" s="11"/>
      <c r="L583" s="11"/>
      <c r="M583" s="11"/>
      <c r="N583" s="11"/>
    </row>
    <row r="584" ht="15.75" customHeight="1">
      <c r="A584" s="11" t="s">
        <v>459</v>
      </c>
      <c r="B584" s="38">
        <v>442.45</v>
      </c>
      <c r="C584" s="11">
        <f t="shared" si="1"/>
        <v>-0.04992484432</v>
      </c>
      <c r="D584" s="13">
        <f t="shared" si="2"/>
        <v>-0.04992484432</v>
      </c>
      <c r="E584" s="11" t="s">
        <v>459</v>
      </c>
      <c r="F584" s="12">
        <v>17053.95</v>
      </c>
      <c r="G584" s="11">
        <v>0.001615134</v>
      </c>
      <c r="H584" s="13">
        <v>0.0016</v>
      </c>
      <c r="J584" s="15"/>
      <c r="K584" s="11"/>
      <c r="L584" s="11"/>
      <c r="M584" s="11"/>
      <c r="N584" s="11"/>
    </row>
    <row r="585" ht="15.75" customHeight="1">
      <c r="A585" s="11" t="s">
        <v>460</v>
      </c>
      <c r="B585" s="38">
        <v>465.7</v>
      </c>
      <c r="C585" s="11">
        <f t="shared" si="1"/>
        <v>-0.04706363822</v>
      </c>
      <c r="D585" s="13">
        <f t="shared" si="2"/>
        <v>-0.04706363822</v>
      </c>
      <c r="E585" s="11" t="s">
        <v>460</v>
      </c>
      <c r="F585" s="12">
        <v>17026.45</v>
      </c>
      <c r="G585" s="11">
        <v>-0.02907121</v>
      </c>
      <c r="H585" s="13">
        <v>-0.0291</v>
      </c>
      <c r="J585" s="15"/>
      <c r="K585" s="11"/>
      <c r="L585" s="11"/>
      <c r="M585" s="11"/>
      <c r="N585" s="11"/>
    </row>
    <row r="586" ht="15.75" customHeight="1">
      <c r="A586" s="11" t="s">
        <v>461</v>
      </c>
      <c r="B586" s="38">
        <v>488.7</v>
      </c>
      <c r="C586" s="11">
        <f t="shared" si="1"/>
        <v>0.04995165968</v>
      </c>
      <c r="D586" s="13">
        <f t="shared" si="2"/>
        <v>0.04995165968</v>
      </c>
      <c r="E586" s="11" t="s">
        <v>461</v>
      </c>
      <c r="F586" s="12">
        <v>17536.25</v>
      </c>
      <c r="G586" s="11">
        <v>0.006959498</v>
      </c>
      <c r="H586" s="13">
        <v>0.007</v>
      </c>
      <c r="J586" s="15"/>
      <c r="K586" s="11"/>
      <c r="L586" s="11"/>
      <c r="M586" s="11"/>
      <c r="N586" s="11"/>
    </row>
    <row r="587" ht="15.75" customHeight="1">
      <c r="A587" s="11" t="s">
        <v>462</v>
      </c>
      <c r="B587" s="38">
        <v>465.45</v>
      </c>
      <c r="C587" s="11">
        <f t="shared" si="1"/>
        <v>0.04984775008</v>
      </c>
      <c r="D587" s="13">
        <f t="shared" si="2"/>
        <v>0.04984775008</v>
      </c>
      <c r="E587" s="11" t="s">
        <v>462</v>
      </c>
      <c r="F587" s="12">
        <v>17415.05</v>
      </c>
      <c r="G587" s="11">
        <v>-0.005044749</v>
      </c>
      <c r="H587" s="13">
        <v>-0.005</v>
      </c>
      <c r="J587" s="15"/>
      <c r="K587" s="11"/>
      <c r="L587" s="11"/>
      <c r="M587" s="11"/>
      <c r="N587" s="11"/>
    </row>
    <row r="588" ht="15.75" customHeight="1">
      <c r="A588" s="11" t="s">
        <v>463</v>
      </c>
      <c r="B588" s="38">
        <v>443.35</v>
      </c>
      <c r="C588" s="11">
        <f t="shared" si="1"/>
        <v>0.04997039668</v>
      </c>
      <c r="D588" s="13">
        <f t="shared" si="2"/>
        <v>0.04997039668</v>
      </c>
      <c r="E588" s="11" t="s">
        <v>463</v>
      </c>
      <c r="F588" s="12">
        <v>17503.35</v>
      </c>
      <c r="G588" s="11">
        <v>0.004983765</v>
      </c>
      <c r="H588" s="13">
        <v>0.005</v>
      </c>
      <c r="J588" s="15"/>
      <c r="K588" s="11"/>
      <c r="L588" s="11"/>
      <c r="M588" s="11"/>
      <c r="N588" s="11"/>
    </row>
    <row r="589" ht="15.75" customHeight="1">
      <c r="A589" s="11" t="s">
        <v>464</v>
      </c>
      <c r="B589" s="38">
        <v>422.25</v>
      </c>
      <c r="C589" s="11">
        <f t="shared" si="1"/>
        <v>-0.04834347532</v>
      </c>
      <c r="D589" s="13">
        <f t="shared" si="2"/>
        <v>-0.04834347532</v>
      </c>
      <c r="E589" s="11" t="s">
        <v>464</v>
      </c>
      <c r="F589" s="12">
        <v>17416.55</v>
      </c>
      <c r="G589" s="11">
        <v>-0.019603373</v>
      </c>
      <c r="H589" s="13">
        <v>-0.0196</v>
      </c>
      <c r="J589" s="15"/>
      <c r="K589" s="11"/>
      <c r="L589" s="11"/>
      <c r="M589" s="11"/>
      <c r="N589" s="11"/>
    </row>
    <row r="590" ht="15.75" customHeight="1">
      <c r="A590" s="11" t="s">
        <v>465</v>
      </c>
      <c r="B590" s="38">
        <v>443.7</v>
      </c>
      <c r="C590" s="11">
        <f t="shared" si="1"/>
        <v>-0.04887459807</v>
      </c>
      <c r="D590" s="13">
        <f t="shared" si="2"/>
        <v>-0.04887459807</v>
      </c>
      <c r="E590" s="11" t="s">
        <v>465</v>
      </c>
      <c r="F590" s="12">
        <v>17764.8</v>
      </c>
      <c r="G590" s="11">
        <v>-0.007478218</v>
      </c>
      <c r="H590" s="13">
        <v>-0.0075</v>
      </c>
      <c r="J590" s="15"/>
      <c r="K590" s="11"/>
      <c r="L590" s="11"/>
      <c r="M590" s="11"/>
      <c r="N590" s="11"/>
    </row>
    <row r="591" ht="15.75" customHeight="1">
      <c r="A591" s="11" t="s">
        <v>466</v>
      </c>
      <c r="B591" s="38">
        <v>466.5</v>
      </c>
      <c r="C591" s="11">
        <f t="shared" si="1"/>
        <v>0.005821474774</v>
      </c>
      <c r="D591" s="13">
        <f t="shared" si="2"/>
        <v>0.005821474774</v>
      </c>
      <c r="E591" s="11" t="s">
        <v>466</v>
      </c>
      <c r="F591" s="12">
        <v>17898.65</v>
      </c>
      <c r="G591" s="11">
        <v>-0.005586359</v>
      </c>
      <c r="H591" s="13">
        <v>-0.0056</v>
      </c>
      <c r="J591" s="15"/>
      <c r="K591" s="11"/>
      <c r="L591" s="11"/>
      <c r="M591" s="11"/>
      <c r="N591" s="11"/>
    </row>
    <row r="592" ht="15.75" customHeight="1">
      <c r="A592" s="11" t="s">
        <v>467</v>
      </c>
      <c r="B592" s="38">
        <v>463.8</v>
      </c>
      <c r="C592" s="11">
        <f t="shared" si="1"/>
        <v>0.04991511036</v>
      </c>
      <c r="D592" s="13">
        <f t="shared" si="2"/>
        <v>0.04991511036</v>
      </c>
      <c r="E592" s="11" t="s">
        <v>467</v>
      </c>
      <c r="F592" s="12">
        <v>17999.2</v>
      </c>
      <c r="G592" s="11">
        <v>-0.006087982</v>
      </c>
      <c r="H592" s="13">
        <v>-0.0061</v>
      </c>
      <c r="J592" s="15"/>
      <c r="K592" s="11"/>
      <c r="L592" s="11"/>
      <c r="M592" s="11"/>
      <c r="N592" s="11"/>
    </row>
    <row r="593" ht="15.75" customHeight="1">
      <c r="A593" s="11" t="s">
        <v>468</v>
      </c>
      <c r="B593" s="38">
        <v>441.75</v>
      </c>
      <c r="C593" s="11">
        <f t="shared" si="1"/>
        <v>-0.004731328151</v>
      </c>
      <c r="D593" s="13">
        <f t="shared" si="2"/>
        <v>-0.004731328151</v>
      </c>
      <c r="E593" s="11" t="s">
        <v>468</v>
      </c>
      <c r="F593" s="12">
        <v>18109.45</v>
      </c>
      <c r="G593" s="11">
        <v>3.7011E-4</v>
      </c>
      <c r="H593" s="13">
        <v>4.0E-4</v>
      </c>
      <c r="J593" s="15"/>
      <c r="K593" s="11"/>
      <c r="L593" s="11"/>
      <c r="M593" s="11"/>
      <c r="N593" s="11"/>
    </row>
    <row r="594" ht="15.75" customHeight="1">
      <c r="A594" s="55">
        <v>44541.0</v>
      </c>
      <c r="B594" s="38">
        <v>443.85</v>
      </c>
      <c r="C594" s="11">
        <f t="shared" si="1"/>
        <v>0.04991129509</v>
      </c>
      <c r="D594" s="13">
        <f t="shared" si="2"/>
        <v>0.04991129509</v>
      </c>
      <c r="E594" s="55">
        <v>44541.0</v>
      </c>
      <c r="F594" s="12">
        <v>18102.75</v>
      </c>
      <c r="G594" s="11">
        <v>0.012820585</v>
      </c>
      <c r="H594" s="13">
        <v>0.0128</v>
      </c>
      <c r="J594" s="15"/>
      <c r="K594" s="11"/>
      <c r="L594" s="11"/>
      <c r="M594" s="11"/>
      <c r="N594" s="11"/>
    </row>
    <row r="595" ht="15.75" customHeight="1">
      <c r="A595" s="55">
        <v>44511.0</v>
      </c>
      <c r="B595" s="38">
        <v>422.75</v>
      </c>
      <c r="C595" s="11">
        <f t="shared" si="1"/>
        <v>-0.01284296556</v>
      </c>
      <c r="D595" s="13">
        <f t="shared" si="2"/>
        <v>-0.01284296556</v>
      </c>
      <c r="E595" s="55">
        <v>44511.0</v>
      </c>
      <c r="F595" s="12">
        <v>17873.6</v>
      </c>
      <c r="G595" s="11">
        <v>-0.007970162</v>
      </c>
      <c r="H595" s="13">
        <v>-0.008</v>
      </c>
      <c r="J595" s="15"/>
      <c r="K595" s="11"/>
      <c r="L595" s="11"/>
      <c r="M595" s="11"/>
      <c r="N595" s="11"/>
    </row>
    <row r="596" ht="15.75" customHeight="1">
      <c r="A596" s="55">
        <v>44480.0</v>
      </c>
      <c r="B596" s="38">
        <v>428.25</v>
      </c>
      <c r="C596" s="11">
        <f t="shared" si="1"/>
        <v>-0.01381692573</v>
      </c>
      <c r="D596" s="13">
        <f t="shared" si="2"/>
        <v>-0.01381692573</v>
      </c>
      <c r="E596" s="55">
        <v>44480.0</v>
      </c>
      <c r="F596" s="12">
        <v>18017.2</v>
      </c>
      <c r="G596" s="11">
        <v>-0.001499093</v>
      </c>
      <c r="H596" s="13">
        <v>-0.0015</v>
      </c>
      <c r="J596" s="15"/>
      <c r="K596" s="11"/>
      <c r="L596" s="11"/>
      <c r="M596" s="11"/>
      <c r="N596" s="11"/>
    </row>
    <row r="597" ht="15.75" customHeight="1">
      <c r="A597" s="35">
        <v>44450.0</v>
      </c>
      <c r="B597" s="38">
        <v>434.25</v>
      </c>
      <c r="C597" s="11">
        <f t="shared" si="1"/>
        <v>0.003118503119</v>
      </c>
      <c r="D597" s="13">
        <f t="shared" si="2"/>
        <v>0.003118503119</v>
      </c>
      <c r="E597" s="35">
        <v>44450.0</v>
      </c>
      <c r="F597" s="12">
        <v>18044.25</v>
      </c>
      <c r="G597" s="11">
        <v>-0.001344878</v>
      </c>
      <c r="H597" s="13">
        <v>-0.0013</v>
      </c>
      <c r="J597" s="15"/>
      <c r="K597" s="11"/>
      <c r="L597" s="11"/>
      <c r="M597" s="11"/>
      <c r="N597" s="11"/>
    </row>
    <row r="598" ht="15.75" customHeight="1">
      <c r="A598" s="35">
        <v>44419.0</v>
      </c>
      <c r="B598" s="38">
        <v>432.9</v>
      </c>
      <c r="C598" s="11">
        <f t="shared" si="1"/>
        <v>-0.01288336564</v>
      </c>
      <c r="D598" s="13">
        <f t="shared" si="2"/>
        <v>-0.01288336564</v>
      </c>
      <c r="E598" s="35">
        <v>44419.0</v>
      </c>
      <c r="F598" s="12">
        <v>18068.55</v>
      </c>
      <c r="G598" s="11">
        <v>0.008469704</v>
      </c>
      <c r="H598" s="13">
        <v>0.0085</v>
      </c>
      <c r="J598" s="15"/>
      <c r="K598" s="11"/>
      <c r="L598" s="11"/>
      <c r="M598" s="11"/>
      <c r="N598" s="11"/>
    </row>
    <row r="599" ht="15.75" customHeight="1">
      <c r="A599" s="35">
        <v>44297.0</v>
      </c>
      <c r="B599" s="38">
        <v>438.55</v>
      </c>
      <c r="C599" s="11">
        <f t="shared" si="1"/>
        <v>0.0195280716</v>
      </c>
      <c r="D599" s="13">
        <f t="shared" si="2"/>
        <v>0.0195280716</v>
      </c>
      <c r="E599" s="35">
        <v>44297.0</v>
      </c>
      <c r="F599" s="12">
        <v>17916.8</v>
      </c>
      <c r="G599" s="11">
        <v>0.004913288</v>
      </c>
      <c r="H599" s="13">
        <v>0.0049</v>
      </c>
      <c r="J599" s="15"/>
      <c r="K599" s="11"/>
      <c r="L599" s="11"/>
      <c r="M599" s="11"/>
      <c r="N599" s="11"/>
    </row>
    <row r="600" ht="15.75" customHeight="1">
      <c r="A600" s="35">
        <v>44266.0</v>
      </c>
      <c r="B600" s="38">
        <v>430.15</v>
      </c>
      <c r="C600" s="11">
        <f t="shared" si="1"/>
        <v>-0.03920035738</v>
      </c>
      <c r="D600" s="13">
        <f t="shared" si="2"/>
        <v>-0.03920035738</v>
      </c>
      <c r="E600" s="35">
        <v>44266.0</v>
      </c>
      <c r="F600" s="12">
        <v>17829.2</v>
      </c>
      <c r="G600" s="11">
        <v>-0.003340051</v>
      </c>
      <c r="H600" s="13">
        <v>-0.0033</v>
      </c>
      <c r="J600" s="15"/>
      <c r="K600" s="11"/>
      <c r="L600" s="11"/>
      <c r="M600" s="11"/>
      <c r="N600" s="11"/>
    </row>
    <row r="601" ht="15.75" customHeight="1">
      <c r="A601" s="35">
        <v>44238.0</v>
      </c>
      <c r="B601" s="38">
        <v>447.7</v>
      </c>
      <c r="C601" s="11">
        <f t="shared" si="1"/>
        <v>0.03251845018</v>
      </c>
      <c r="D601" s="13">
        <f t="shared" si="2"/>
        <v>0.03251845018</v>
      </c>
      <c r="E601" s="35">
        <v>44238.0</v>
      </c>
      <c r="F601" s="12">
        <v>17888.95</v>
      </c>
      <c r="G601" s="11">
        <v>-0.002269983</v>
      </c>
      <c r="H601" s="13">
        <v>-0.0023</v>
      </c>
      <c r="J601" s="15"/>
      <c r="K601" s="11"/>
      <c r="L601" s="11"/>
      <c r="M601" s="11"/>
      <c r="N601" s="11"/>
    </row>
    <row r="602" ht="15.75" customHeight="1">
      <c r="A602" s="35">
        <v>44207.0</v>
      </c>
      <c r="B602" s="38">
        <v>433.6</v>
      </c>
      <c r="C602" s="11">
        <f t="shared" si="1"/>
        <v>0.006850110298</v>
      </c>
      <c r="D602" s="13">
        <f t="shared" si="2"/>
        <v>0.006850110298</v>
      </c>
      <c r="E602" s="35">
        <v>44207.0</v>
      </c>
      <c r="F602" s="12">
        <v>17929.65</v>
      </c>
      <c r="G602" s="11">
        <v>0.014599655</v>
      </c>
      <c r="H602" s="13">
        <v>0.0146</v>
      </c>
      <c r="J602" s="15"/>
      <c r="K602" s="11"/>
      <c r="L602" s="11"/>
      <c r="M602" s="11"/>
      <c r="N602" s="11"/>
    </row>
    <row r="603" ht="15.75" customHeight="1">
      <c r="A603" s="11" t="s">
        <v>469</v>
      </c>
      <c r="B603" s="38">
        <v>430.65</v>
      </c>
      <c r="C603" s="11">
        <f t="shared" si="1"/>
        <v>-0.004852686308</v>
      </c>
      <c r="D603" s="13">
        <f t="shared" si="2"/>
        <v>-0.004852686308</v>
      </c>
      <c r="E603" s="11" t="s">
        <v>469</v>
      </c>
      <c r="F603" s="12">
        <v>17671.65</v>
      </c>
      <c r="G603" s="11">
        <v>-0.010393538</v>
      </c>
      <c r="H603" s="13">
        <v>-0.0104</v>
      </c>
      <c r="J603" s="15"/>
      <c r="K603" s="11"/>
      <c r="L603" s="11"/>
      <c r="M603" s="11"/>
      <c r="N603" s="11"/>
    </row>
    <row r="604" ht="15.75" customHeight="1">
      <c r="A604" s="11" t="s">
        <v>470</v>
      </c>
      <c r="B604" s="38">
        <v>432.75</v>
      </c>
      <c r="C604" s="11">
        <f t="shared" si="1"/>
        <v>-0.02861952862</v>
      </c>
      <c r="D604" s="13">
        <f t="shared" si="2"/>
        <v>-0.02861952862</v>
      </c>
      <c r="E604" s="11" t="s">
        <v>470</v>
      </c>
      <c r="F604" s="12">
        <v>17857.25</v>
      </c>
      <c r="G604" s="11">
        <v>-0.01942238</v>
      </c>
      <c r="H604" s="13">
        <v>-0.0194</v>
      </c>
      <c r="J604" s="15"/>
      <c r="K604" s="11"/>
      <c r="L604" s="11"/>
      <c r="M604" s="11"/>
      <c r="N604" s="11"/>
    </row>
    <row r="605" ht="15.75" customHeight="1">
      <c r="A605" s="11" t="s">
        <v>471</v>
      </c>
      <c r="B605" s="38">
        <v>445.5</v>
      </c>
      <c r="C605" s="11">
        <f t="shared" si="1"/>
        <v>0.01077708452</v>
      </c>
      <c r="D605" s="13">
        <f t="shared" si="2"/>
        <v>0.01077708452</v>
      </c>
      <c r="E605" s="11" t="s">
        <v>471</v>
      </c>
      <c r="F605" s="12">
        <v>18210.95</v>
      </c>
      <c r="G605" s="11">
        <v>-0.003144775</v>
      </c>
      <c r="H605" s="13">
        <v>-0.0031</v>
      </c>
      <c r="J605" s="15"/>
      <c r="K605" s="11"/>
      <c r="L605" s="11"/>
      <c r="M605" s="11"/>
      <c r="N605" s="11"/>
    </row>
    <row r="606" ht="15.75" customHeight="1">
      <c r="A606" s="11" t="s">
        <v>472</v>
      </c>
      <c r="B606" s="38">
        <v>440.75</v>
      </c>
      <c r="C606" s="11">
        <f t="shared" si="1"/>
        <v>0.04990471653</v>
      </c>
      <c r="D606" s="13">
        <f t="shared" si="2"/>
        <v>0.04990471653</v>
      </c>
      <c r="E606" s="11" t="s">
        <v>472</v>
      </c>
      <c r="F606" s="12">
        <v>18268.4</v>
      </c>
      <c r="G606" s="11">
        <v>0.007889481</v>
      </c>
      <c r="H606" s="13">
        <v>0.0079</v>
      </c>
      <c r="J606" s="15"/>
      <c r="K606" s="11"/>
      <c r="L606" s="11"/>
      <c r="M606" s="11"/>
      <c r="N606" s="11"/>
    </row>
    <row r="607" ht="15.75" customHeight="1">
      <c r="A607" s="11" t="s">
        <v>473</v>
      </c>
      <c r="B607" s="38">
        <v>419.8</v>
      </c>
      <c r="C607" s="11">
        <f t="shared" si="1"/>
        <v>-0.04990381351</v>
      </c>
      <c r="D607" s="13">
        <f t="shared" si="2"/>
        <v>-0.04990381351</v>
      </c>
      <c r="E607" s="11" t="s">
        <v>473</v>
      </c>
      <c r="F607" s="12">
        <v>18125.4</v>
      </c>
      <c r="G607" s="11">
        <v>5.79633E-4</v>
      </c>
      <c r="H607" s="13">
        <v>6.0E-4</v>
      </c>
      <c r="J607" s="15"/>
      <c r="K607" s="11"/>
      <c r="L607" s="11"/>
      <c r="M607" s="11"/>
      <c r="N607" s="11"/>
    </row>
    <row r="608" ht="15.75" customHeight="1">
      <c r="A608" s="11" t="s">
        <v>474</v>
      </c>
      <c r="B608" s="38">
        <v>441.85</v>
      </c>
      <c r="C608" s="11">
        <f t="shared" si="1"/>
        <v>-0.01251536485</v>
      </c>
      <c r="D608" s="13">
        <f t="shared" si="2"/>
        <v>-0.01251536485</v>
      </c>
      <c r="E608" s="11" t="s">
        <v>474</v>
      </c>
      <c r="F608" s="12">
        <v>18114.9</v>
      </c>
      <c r="G608" s="11">
        <v>-0.003476711</v>
      </c>
      <c r="H608" s="13">
        <v>-0.0035</v>
      </c>
      <c r="J608" s="15"/>
      <c r="K608" s="11"/>
      <c r="L608" s="11"/>
      <c r="M608" s="11"/>
      <c r="N608" s="11"/>
    </row>
    <row r="609" ht="15.75" customHeight="1">
      <c r="A609" s="11" t="s">
        <v>475</v>
      </c>
      <c r="B609" s="38">
        <v>447.45</v>
      </c>
      <c r="C609" s="11">
        <f t="shared" si="1"/>
        <v>-0.04462474645</v>
      </c>
      <c r="D609" s="13">
        <f t="shared" si="2"/>
        <v>-0.04462474645</v>
      </c>
      <c r="E609" s="11" t="s">
        <v>475</v>
      </c>
      <c r="F609" s="12">
        <v>18178.1</v>
      </c>
      <c r="G609" s="11">
        <v>-0.004844908</v>
      </c>
      <c r="H609" s="13">
        <v>-0.0048</v>
      </c>
      <c r="J609" s="15"/>
      <c r="K609" s="11"/>
      <c r="L609" s="11"/>
      <c r="M609" s="11"/>
      <c r="N609" s="11"/>
    </row>
    <row r="610" ht="15.75" customHeight="1">
      <c r="A610" s="11" t="s">
        <v>476</v>
      </c>
      <c r="B610" s="38">
        <v>468.35</v>
      </c>
      <c r="C610" s="11">
        <f t="shared" si="1"/>
        <v>-0.04990364134</v>
      </c>
      <c r="D610" s="13">
        <f t="shared" si="2"/>
        <v>-0.04990364134</v>
      </c>
      <c r="E610" s="11" t="s">
        <v>476</v>
      </c>
      <c r="F610" s="12">
        <v>18266.6</v>
      </c>
      <c r="G610" s="11">
        <v>-0.008260604</v>
      </c>
      <c r="H610" s="13">
        <v>-0.0083</v>
      </c>
      <c r="J610" s="15"/>
      <c r="K610" s="11"/>
      <c r="L610" s="11"/>
      <c r="M610" s="11"/>
      <c r="N610" s="11"/>
    </row>
    <row r="611" ht="15.75" customHeight="1">
      <c r="A611" s="11" t="s">
        <v>477</v>
      </c>
      <c r="B611" s="38">
        <v>492.95</v>
      </c>
      <c r="C611" s="11">
        <f t="shared" si="1"/>
        <v>-0.04845092173</v>
      </c>
      <c r="D611" s="13">
        <f t="shared" si="2"/>
        <v>-0.04845092173</v>
      </c>
      <c r="E611" s="11" t="s">
        <v>477</v>
      </c>
      <c r="F611" s="12">
        <v>18418.75</v>
      </c>
      <c r="G611" s="11">
        <v>-0.003155266</v>
      </c>
      <c r="H611" s="13">
        <v>-0.0032</v>
      </c>
      <c r="J611" s="15"/>
      <c r="K611" s="11"/>
      <c r="L611" s="11"/>
      <c r="M611" s="11"/>
      <c r="N611" s="11"/>
    </row>
    <row r="612" ht="15.75" customHeight="1">
      <c r="A612" s="11" t="s">
        <v>478</v>
      </c>
      <c r="B612" s="38">
        <v>518.05</v>
      </c>
      <c r="C612" s="11">
        <f t="shared" si="1"/>
        <v>0.008762535294</v>
      </c>
      <c r="D612" s="13">
        <f t="shared" si="2"/>
        <v>0.008762535294</v>
      </c>
      <c r="E612" s="11" t="s">
        <v>478</v>
      </c>
      <c r="F612" s="12">
        <v>18477.05</v>
      </c>
      <c r="G612" s="11">
        <v>0.007552396</v>
      </c>
      <c r="H612" s="13">
        <v>0.0076</v>
      </c>
      <c r="J612" s="15"/>
      <c r="K612" s="11"/>
      <c r="L612" s="11"/>
      <c r="M612" s="11"/>
      <c r="N612" s="11"/>
    </row>
    <row r="613" ht="15.75" customHeight="1">
      <c r="A613" s="11" t="s">
        <v>479</v>
      </c>
      <c r="B613" s="38">
        <v>513.55</v>
      </c>
      <c r="C613" s="11">
        <f t="shared" si="1"/>
        <v>0.04998977714</v>
      </c>
      <c r="D613" s="13">
        <f t="shared" si="2"/>
        <v>0.04998977714</v>
      </c>
      <c r="E613" s="11" t="s">
        <v>479</v>
      </c>
      <c r="F613" s="12">
        <v>18338.55</v>
      </c>
      <c r="G613" s="11">
        <v>0.009734745</v>
      </c>
      <c r="H613" s="13">
        <v>0.0097</v>
      </c>
      <c r="J613" s="15"/>
      <c r="K613" s="11"/>
      <c r="L613" s="11"/>
      <c r="M613" s="11"/>
      <c r="N613" s="11"/>
    </row>
    <row r="614" ht="15.75" customHeight="1">
      <c r="A614" s="11" t="s">
        <v>480</v>
      </c>
      <c r="B614" s="38">
        <v>489.1</v>
      </c>
      <c r="C614" s="11">
        <f t="shared" si="1"/>
        <v>0.008661579707</v>
      </c>
      <c r="D614" s="13">
        <f t="shared" si="2"/>
        <v>0.008661579707</v>
      </c>
      <c r="E614" s="11" t="s">
        <v>480</v>
      </c>
      <c r="F614" s="12">
        <v>18161.75</v>
      </c>
      <c r="G614" s="11">
        <v>0.009437554</v>
      </c>
      <c r="H614" s="13">
        <v>0.0094</v>
      </c>
      <c r="J614" s="15"/>
      <c r="K614" s="11"/>
      <c r="L614" s="11"/>
      <c r="M614" s="11"/>
      <c r="N614" s="11"/>
    </row>
    <row r="615" ht="15.75" customHeight="1">
      <c r="A615" s="55">
        <v>44540.0</v>
      </c>
      <c r="B615" s="38">
        <v>484.9</v>
      </c>
      <c r="C615" s="11">
        <f t="shared" si="1"/>
        <v>0.01178925404</v>
      </c>
      <c r="D615" s="13">
        <f t="shared" si="2"/>
        <v>0.01178925404</v>
      </c>
      <c r="E615" s="55">
        <v>44540.0</v>
      </c>
      <c r="F615" s="12">
        <v>17991.95</v>
      </c>
      <c r="G615" s="11">
        <v>0.002563252</v>
      </c>
      <c r="H615" s="13">
        <v>0.0026</v>
      </c>
      <c r="J615" s="15"/>
      <c r="K615" s="11"/>
      <c r="L615" s="11"/>
      <c r="M615" s="11"/>
      <c r="N615" s="11"/>
    </row>
    <row r="616" ht="15.75" customHeight="1">
      <c r="A616" s="55">
        <v>44510.0</v>
      </c>
      <c r="B616" s="38">
        <v>479.25</v>
      </c>
      <c r="C616" s="11">
        <f t="shared" si="1"/>
        <v>-0.04217048066</v>
      </c>
      <c r="D616" s="13">
        <f t="shared" si="2"/>
        <v>-0.04217048066</v>
      </c>
      <c r="E616" s="55">
        <v>44510.0</v>
      </c>
      <c r="F616" s="12">
        <v>17945.95</v>
      </c>
      <c r="G616" s="11">
        <v>0.002835956</v>
      </c>
      <c r="H616" s="13">
        <v>0.0028</v>
      </c>
      <c r="J616" s="15"/>
      <c r="K616" s="11"/>
      <c r="L616" s="11"/>
      <c r="M616" s="11"/>
      <c r="N616" s="11"/>
    </row>
    <row r="617" ht="15.75" customHeight="1">
      <c r="A617" s="35">
        <v>44418.0</v>
      </c>
      <c r="B617" s="38">
        <v>500.35</v>
      </c>
      <c r="C617" s="11">
        <f t="shared" si="1"/>
        <v>0.005425499849</v>
      </c>
      <c r="D617" s="13">
        <f t="shared" si="2"/>
        <v>0.005425499849</v>
      </c>
      <c r="E617" s="35">
        <v>44418.0</v>
      </c>
      <c r="F617" s="12">
        <v>17895.2</v>
      </c>
      <c r="G617" s="11">
        <v>0.005893645</v>
      </c>
      <c r="H617" s="13">
        <v>0.0059</v>
      </c>
      <c r="J617" s="15"/>
      <c r="K617" s="11"/>
      <c r="L617" s="11"/>
      <c r="M617" s="11"/>
      <c r="N617" s="11"/>
    </row>
    <row r="618" ht="15.75" customHeight="1">
      <c r="A618" s="35">
        <v>44387.0</v>
      </c>
      <c r="B618" s="38">
        <v>497.65</v>
      </c>
      <c r="C618" s="11">
        <f t="shared" si="1"/>
        <v>0.01478384992</v>
      </c>
      <c r="D618" s="13">
        <f t="shared" si="2"/>
        <v>0.01478384992</v>
      </c>
      <c r="E618" s="35">
        <v>44387.0</v>
      </c>
      <c r="F618" s="12">
        <v>17790.35</v>
      </c>
      <c r="G618" s="11">
        <v>0.008180324</v>
      </c>
      <c r="H618" s="13">
        <v>0.0082</v>
      </c>
      <c r="J618" s="15"/>
      <c r="K618" s="11"/>
      <c r="L618" s="11"/>
      <c r="M618" s="11"/>
      <c r="N618" s="11"/>
    </row>
    <row r="619" ht="15.75" customHeight="1">
      <c r="A619" s="35">
        <v>44357.0</v>
      </c>
      <c r="B619" s="38">
        <v>490.4</v>
      </c>
      <c r="C619" s="11">
        <f t="shared" si="1"/>
        <v>-0.04998062766</v>
      </c>
      <c r="D619" s="13">
        <f t="shared" si="2"/>
        <v>-0.04998062766</v>
      </c>
      <c r="E619" s="35">
        <v>44357.0</v>
      </c>
      <c r="F619" s="12">
        <v>17646.0</v>
      </c>
      <c r="G619" s="11">
        <v>-0.009892101</v>
      </c>
      <c r="H619" s="13">
        <v>-0.0099</v>
      </c>
      <c r="J619" s="15"/>
      <c r="K619" s="11"/>
      <c r="L619" s="11"/>
      <c r="M619" s="11"/>
      <c r="N619" s="11"/>
    </row>
    <row r="620" ht="15.75" customHeight="1">
      <c r="A620" s="35">
        <v>44326.0</v>
      </c>
      <c r="B620" s="38">
        <v>516.2</v>
      </c>
      <c r="C620" s="11">
        <f t="shared" si="1"/>
        <v>-0.0499677924</v>
      </c>
      <c r="D620" s="13">
        <f t="shared" si="2"/>
        <v>-0.0499677924</v>
      </c>
      <c r="E620" s="35">
        <v>44326.0</v>
      </c>
      <c r="F620" s="12">
        <v>17822.3</v>
      </c>
      <c r="G620" s="11">
        <v>0.007407617</v>
      </c>
      <c r="H620" s="13">
        <v>0.0074</v>
      </c>
      <c r="J620" s="15"/>
      <c r="K620" s="11"/>
      <c r="L620" s="11"/>
      <c r="M620" s="11"/>
      <c r="N620" s="11"/>
    </row>
    <row r="621" ht="15.75" customHeight="1">
      <c r="A621" s="35">
        <v>44296.0</v>
      </c>
      <c r="B621" s="38">
        <v>543.35</v>
      </c>
      <c r="C621" s="11">
        <f t="shared" si="1"/>
        <v>0.04995169082</v>
      </c>
      <c r="D621" s="13">
        <f t="shared" si="2"/>
        <v>0.04995169082</v>
      </c>
      <c r="E621" s="35">
        <v>44296.0</v>
      </c>
      <c r="F621" s="12">
        <v>17691.25</v>
      </c>
      <c r="G621" s="11">
        <v>0.009080513</v>
      </c>
      <c r="H621" s="13">
        <v>0.0091</v>
      </c>
      <c r="J621" s="15"/>
      <c r="K621" s="11"/>
      <c r="L621" s="11"/>
      <c r="M621" s="11"/>
      <c r="N621" s="11"/>
    </row>
    <row r="622" ht="15.75" customHeight="1">
      <c r="A622" s="35">
        <v>44206.0</v>
      </c>
      <c r="B622" s="38">
        <v>517.5</v>
      </c>
      <c r="C622" s="11">
        <f t="shared" si="1"/>
        <v>0.04990870359</v>
      </c>
      <c r="D622" s="13">
        <f t="shared" si="2"/>
        <v>0.04990870359</v>
      </c>
      <c r="E622" s="35">
        <v>44206.0</v>
      </c>
      <c r="F622" s="12">
        <v>17532.05</v>
      </c>
      <c r="G622" s="11">
        <v>-0.004887006</v>
      </c>
      <c r="H622" s="13">
        <v>-0.0049</v>
      </c>
      <c r="J622" s="15"/>
      <c r="K622" s="11"/>
      <c r="L622" s="11"/>
      <c r="M622" s="11"/>
      <c r="N622" s="11"/>
    </row>
    <row r="623" ht="15.75" customHeight="1">
      <c r="A623" s="11" t="s">
        <v>481</v>
      </c>
      <c r="B623" s="38">
        <v>492.9</v>
      </c>
      <c r="C623" s="11">
        <f t="shared" si="1"/>
        <v>0.04995207157</v>
      </c>
      <c r="D623" s="13">
        <f t="shared" si="2"/>
        <v>0.04995207157</v>
      </c>
      <c r="E623" s="11" t="s">
        <v>481</v>
      </c>
      <c r="F623" s="12">
        <v>17618.15</v>
      </c>
      <c r="G623" s="11">
        <v>-0.005259354</v>
      </c>
      <c r="H623" s="13">
        <v>-0.0053</v>
      </c>
      <c r="J623" s="15"/>
      <c r="K623" s="11"/>
      <c r="L623" s="11"/>
      <c r="M623" s="11"/>
      <c r="N623" s="11"/>
    </row>
    <row r="624" ht="15.75" customHeight="1">
      <c r="A624" s="11" t="s">
        <v>482</v>
      </c>
      <c r="B624" s="38">
        <v>469.45</v>
      </c>
      <c r="C624" s="11">
        <f t="shared" si="1"/>
        <v>-0.02623936943</v>
      </c>
      <c r="D624" s="13">
        <f t="shared" si="2"/>
        <v>-0.02623936943</v>
      </c>
      <c r="E624" s="11" t="s">
        <v>482</v>
      </c>
      <c r="F624" s="12">
        <v>17711.3</v>
      </c>
      <c r="G624" s="11">
        <v>-0.002101574</v>
      </c>
      <c r="H624" s="13">
        <v>-0.0021</v>
      </c>
      <c r="J624" s="15"/>
      <c r="K624" s="11"/>
      <c r="L624" s="11"/>
      <c r="M624" s="11"/>
      <c r="N624" s="11"/>
    </row>
    <row r="625" ht="15.75" customHeight="1">
      <c r="A625" s="11" t="s">
        <v>483</v>
      </c>
      <c r="B625" s="38">
        <v>482.1</v>
      </c>
      <c r="C625" s="11">
        <f t="shared" si="1"/>
        <v>0.04998366547</v>
      </c>
      <c r="D625" s="13">
        <f t="shared" si="2"/>
        <v>0.04998366547</v>
      </c>
      <c r="E625" s="11" t="s">
        <v>483</v>
      </c>
      <c r="F625" s="12">
        <v>17748.6</v>
      </c>
      <c r="G625" s="11">
        <v>-0.005964682</v>
      </c>
      <c r="H625" s="13">
        <v>-0.006</v>
      </c>
      <c r="J625" s="15"/>
      <c r="K625" s="11"/>
      <c r="L625" s="11"/>
      <c r="M625" s="11"/>
      <c r="N625" s="11"/>
    </row>
    <row r="626" ht="15.75" customHeight="1">
      <c r="A626" s="11" t="s">
        <v>484</v>
      </c>
      <c r="B626" s="38">
        <v>459.15</v>
      </c>
      <c r="C626" s="11">
        <f t="shared" si="1"/>
        <v>0.04996569861</v>
      </c>
      <c r="D626" s="13">
        <f t="shared" si="2"/>
        <v>0.04996569861</v>
      </c>
      <c r="E626" s="11" t="s">
        <v>484</v>
      </c>
      <c r="F626" s="12">
        <v>17855.1</v>
      </c>
      <c r="G626" s="11">
        <v>1.06423E-4</v>
      </c>
      <c r="H626" s="13">
        <v>1.0E-4</v>
      </c>
      <c r="J626" s="15"/>
      <c r="K626" s="11"/>
      <c r="L626" s="11"/>
      <c r="M626" s="11"/>
      <c r="N626" s="11"/>
    </row>
    <row r="627" ht="15.75" customHeight="1">
      <c r="A627" s="11" t="s">
        <v>485</v>
      </c>
      <c r="B627" s="38">
        <v>437.3</v>
      </c>
      <c r="C627" s="11">
        <f t="shared" si="1"/>
        <v>0.04993997599</v>
      </c>
      <c r="D627" s="13">
        <f t="shared" si="2"/>
        <v>0.04993997599</v>
      </c>
      <c r="E627" s="11" t="s">
        <v>485</v>
      </c>
      <c r="F627" s="12">
        <v>17853.2</v>
      </c>
      <c r="G627" s="11">
        <v>0.00169725</v>
      </c>
      <c r="H627" s="13">
        <v>0.0017</v>
      </c>
      <c r="J627" s="15"/>
      <c r="K627" s="11"/>
      <c r="L627" s="11"/>
      <c r="M627" s="11"/>
      <c r="N627" s="11"/>
    </row>
    <row r="628" ht="15.75" customHeight="1">
      <c r="A628" s="11" t="s">
        <v>486</v>
      </c>
      <c r="B628" s="38">
        <v>416.5</v>
      </c>
      <c r="C628" s="11">
        <f t="shared" si="1"/>
        <v>0.04991177212</v>
      </c>
      <c r="D628" s="13">
        <f t="shared" si="2"/>
        <v>0.04991177212</v>
      </c>
      <c r="E628" s="11" t="s">
        <v>486</v>
      </c>
      <c r="F628" s="12">
        <v>17822.95</v>
      </c>
      <c r="G628" s="11">
        <v>0.015746596</v>
      </c>
      <c r="H628" s="13">
        <v>0.0157</v>
      </c>
      <c r="J628" s="15"/>
      <c r="K628" s="11"/>
      <c r="L628" s="11"/>
      <c r="M628" s="11"/>
      <c r="N628" s="11"/>
    </row>
    <row r="629" ht="15.75" customHeight="1">
      <c r="A629" s="11" t="s">
        <v>487</v>
      </c>
      <c r="B629" s="38">
        <v>396.7</v>
      </c>
      <c r="C629" s="11">
        <f t="shared" si="1"/>
        <v>-0.008373953256</v>
      </c>
      <c r="D629" s="13">
        <f t="shared" si="2"/>
        <v>-0.008373953256</v>
      </c>
      <c r="E629" s="11" t="s">
        <v>487</v>
      </c>
      <c r="F629" s="12">
        <v>17546.65</v>
      </c>
      <c r="G629" s="11">
        <v>-8.74046E-4</v>
      </c>
      <c r="H629" s="13">
        <v>-9.0E-4</v>
      </c>
      <c r="J629" s="15"/>
      <c r="K629" s="11"/>
      <c r="L629" s="11"/>
      <c r="M629" s="11"/>
      <c r="N629" s="11"/>
    </row>
    <row r="630" ht="15.75" customHeight="1">
      <c r="A630" s="11" t="s">
        <v>488</v>
      </c>
      <c r="B630" s="38">
        <v>400.05</v>
      </c>
      <c r="C630" s="11">
        <f t="shared" si="1"/>
        <v>-0.006333830104</v>
      </c>
      <c r="D630" s="13">
        <f t="shared" si="2"/>
        <v>-0.006333830104</v>
      </c>
      <c r="E630" s="11" t="s">
        <v>488</v>
      </c>
      <c r="F630" s="12">
        <v>17562.0</v>
      </c>
      <c r="G630" s="11">
        <v>0.009490197</v>
      </c>
      <c r="H630" s="13">
        <v>0.0095</v>
      </c>
      <c r="J630" s="15"/>
      <c r="K630" s="11"/>
      <c r="L630" s="11"/>
      <c r="M630" s="11"/>
      <c r="N630" s="11"/>
    </row>
    <row r="631" ht="15.75" customHeight="1">
      <c r="A631" s="11" t="s">
        <v>489</v>
      </c>
      <c r="B631" s="38">
        <v>402.6</v>
      </c>
      <c r="C631" s="11">
        <f t="shared" si="1"/>
        <v>-0.04991150442</v>
      </c>
      <c r="D631" s="13">
        <f t="shared" si="2"/>
        <v>-0.04991150442</v>
      </c>
      <c r="E631" s="11" t="s">
        <v>489</v>
      </c>
      <c r="F631" s="12">
        <v>17396.9</v>
      </c>
      <c r="G631" s="11">
        <v>-0.010705055</v>
      </c>
      <c r="H631" s="13">
        <v>-0.0107</v>
      </c>
      <c r="J631" s="15"/>
      <c r="K631" s="11"/>
      <c r="L631" s="11"/>
      <c r="M631" s="11"/>
      <c r="N631" s="11"/>
    </row>
    <row r="632" ht="15.75" customHeight="1">
      <c r="A632" s="11" t="s">
        <v>490</v>
      </c>
      <c r="B632" s="38">
        <v>423.75</v>
      </c>
      <c r="C632" s="11">
        <f t="shared" si="1"/>
        <v>-0.009119607155</v>
      </c>
      <c r="D632" s="13">
        <f t="shared" si="2"/>
        <v>-0.009119607155</v>
      </c>
      <c r="E632" s="11" t="s">
        <v>490</v>
      </c>
      <c r="F632" s="12">
        <v>17585.15</v>
      </c>
      <c r="G632" s="11">
        <v>-0.00251567</v>
      </c>
      <c r="H632" s="13">
        <v>-0.0025</v>
      </c>
      <c r="J632" s="15"/>
      <c r="K632" s="11"/>
      <c r="L632" s="11"/>
      <c r="M632" s="11"/>
      <c r="N632" s="11"/>
    </row>
    <row r="633" ht="15.75" customHeight="1">
      <c r="A633" s="11" t="s">
        <v>491</v>
      </c>
      <c r="B633" s="38">
        <v>427.65</v>
      </c>
      <c r="C633" s="11">
        <f t="shared" si="1"/>
        <v>-0.01667049897</v>
      </c>
      <c r="D633" s="13">
        <f t="shared" si="2"/>
        <v>-0.01667049897</v>
      </c>
      <c r="E633" s="11" t="s">
        <v>491</v>
      </c>
      <c r="F633" s="12">
        <v>17629.5</v>
      </c>
      <c r="G633" s="11">
        <v>0.00628159</v>
      </c>
      <c r="H633" s="13">
        <v>0.0063</v>
      </c>
      <c r="J633" s="15"/>
      <c r="K633" s="11"/>
      <c r="L633" s="11"/>
      <c r="M633" s="11"/>
      <c r="N633" s="11"/>
    </row>
    <row r="634" ht="15.75" customHeight="1">
      <c r="A634" s="11" t="s">
        <v>492</v>
      </c>
      <c r="B634" s="38">
        <v>434.9</v>
      </c>
      <c r="C634" s="11">
        <f t="shared" si="1"/>
        <v>0.03313932771</v>
      </c>
      <c r="D634" s="13">
        <f t="shared" si="2"/>
        <v>0.03313932771</v>
      </c>
      <c r="E634" s="11" t="s">
        <v>492</v>
      </c>
      <c r="F634" s="12">
        <v>17519.45</v>
      </c>
      <c r="G634" s="11">
        <v>0.00802359</v>
      </c>
      <c r="H634" s="13">
        <v>0.008</v>
      </c>
      <c r="J634" s="15"/>
      <c r="K634" s="11"/>
      <c r="L634" s="11"/>
      <c r="M634" s="11"/>
      <c r="N634" s="11"/>
    </row>
    <row r="635" ht="15.75" customHeight="1">
      <c r="A635" s="11" t="s">
        <v>493</v>
      </c>
      <c r="B635" s="38">
        <v>420.95</v>
      </c>
      <c r="C635" s="11">
        <f t="shared" si="1"/>
        <v>-0.03163100989</v>
      </c>
      <c r="D635" s="13">
        <f t="shared" si="2"/>
        <v>-0.03163100989</v>
      </c>
      <c r="E635" s="11" t="s">
        <v>493</v>
      </c>
      <c r="F635" s="12">
        <v>17380.0</v>
      </c>
      <c r="G635" s="11">
        <v>0.001423196</v>
      </c>
      <c r="H635" s="13">
        <v>0.0014</v>
      </c>
      <c r="J635" s="15"/>
      <c r="K635" s="11"/>
      <c r="L635" s="11"/>
      <c r="M635" s="11"/>
      <c r="N635" s="11"/>
    </row>
    <row r="636" ht="15.75" customHeight="1">
      <c r="A636" s="11" t="s">
        <v>494</v>
      </c>
      <c r="B636" s="38">
        <v>434.7</v>
      </c>
      <c r="C636" s="11">
        <f t="shared" si="1"/>
        <v>-0.03335557038</v>
      </c>
      <c r="D636" s="13">
        <f t="shared" si="2"/>
        <v>-0.03335557038</v>
      </c>
      <c r="E636" s="11" t="s">
        <v>494</v>
      </c>
      <c r="F636" s="12">
        <v>17355.3</v>
      </c>
      <c r="G636" s="11">
        <v>-8.03143E-4</v>
      </c>
      <c r="H636" s="13">
        <v>-8.0E-4</v>
      </c>
      <c r="J636" s="15"/>
      <c r="K636" s="11"/>
      <c r="L636" s="11"/>
      <c r="M636" s="11"/>
      <c r="N636" s="11"/>
    </row>
    <row r="637" ht="15.75" customHeight="1">
      <c r="A637" s="35">
        <v>44448.0</v>
      </c>
      <c r="B637" s="38">
        <v>449.7</v>
      </c>
      <c r="C637" s="11">
        <f t="shared" si="1"/>
        <v>0.04996497782</v>
      </c>
      <c r="D637" s="13">
        <f t="shared" si="2"/>
        <v>0.04996497782</v>
      </c>
      <c r="E637" s="35">
        <v>44448.0</v>
      </c>
      <c r="F637" s="12">
        <v>17369.25</v>
      </c>
      <c r="G637" s="11">
        <v>9.07598E-4</v>
      </c>
      <c r="H637" s="13">
        <v>9.0E-4</v>
      </c>
      <c r="J637" s="15"/>
      <c r="K637" s="11"/>
      <c r="L637" s="11"/>
      <c r="M637" s="11"/>
      <c r="N637" s="11"/>
    </row>
    <row r="638" ht="15.75" customHeight="1">
      <c r="A638" s="35">
        <v>44417.0</v>
      </c>
      <c r="B638" s="38">
        <v>428.3</v>
      </c>
      <c r="C638" s="11">
        <f t="shared" si="1"/>
        <v>0.04988356416</v>
      </c>
      <c r="D638" s="13">
        <f t="shared" si="2"/>
        <v>0.04988356416</v>
      </c>
      <c r="E638" s="35">
        <v>44417.0</v>
      </c>
      <c r="F638" s="12">
        <v>17353.5</v>
      </c>
      <c r="G638" s="11">
        <v>-4.95332E-4</v>
      </c>
      <c r="H638" s="13">
        <v>-5.0E-4</v>
      </c>
      <c r="J638" s="15"/>
      <c r="K638" s="11"/>
      <c r="L638" s="11"/>
      <c r="M638" s="11"/>
      <c r="N638" s="11"/>
    </row>
    <row r="639" ht="15.75" customHeight="1">
      <c r="A639" s="35">
        <v>44386.0</v>
      </c>
      <c r="B639" s="38">
        <v>407.95</v>
      </c>
      <c r="C639" s="11">
        <f t="shared" si="1"/>
        <v>0.04992922404</v>
      </c>
      <c r="D639" s="13">
        <f t="shared" si="2"/>
        <v>0.04992922404</v>
      </c>
      <c r="E639" s="35">
        <v>44386.0</v>
      </c>
      <c r="F639" s="12">
        <v>17362.1</v>
      </c>
      <c r="G639" s="11">
        <v>-9.03452E-4</v>
      </c>
      <c r="H639" s="13">
        <v>-9.0E-4</v>
      </c>
      <c r="J639" s="15"/>
      <c r="K639" s="11"/>
      <c r="L639" s="11"/>
      <c r="M639" s="11"/>
      <c r="N639" s="11"/>
    </row>
    <row r="640" ht="15.75" customHeight="1">
      <c r="A640" s="35">
        <v>44356.0</v>
      </c>
      <c r="B640" s="38">
        <v>388.55</v>
      </c>
      <c r="C640" s="11">
        <f t="shared" si="1"/>
        <v>0.04999324416</v>
      </c>
      <c r="D640" s="13">
        <f t="shared" si="2"/>
        <v>0.04999324416</v>
      </c>
      <c r="E640" s="35">
        <v>44356.0</v>
      </c>
      <c r="F640" s="12">
        <v>17377.8</v>
      </c>
      <c r="G640" s="11">
        <v>0.00312868</v>
      </c>
      <c r="H640" s="13">
        <v>0.0031</v>
      </c>
      <c r="J640" s="15"/>
      <c r="K640" s="11"/>
      <c r="L640" s="11"/>
      <c r="M640" s="11"/>
      <c r="N640" s="11"/>
    </row>
    <row r="641" ht="15.75" customHeight="1">
      <c r="A641" s="35">
        <v>44264.0</v>
      </c>
      <c r="B641" s="38">
        <v>370.05</v>
      </c>
      <c r="C641" s="11">
        <f t="shared" si="1"/>
        <v>0.00693877551</v>
      </c>
      <c r="D641" s="13">
        <f t="shared" si="2"/>
        <v>0.00693877551</v>
      </c>
      <c r="E641" s="35">
        <v>44264.0</v>
      </c>
      <c r="F641" s="12">
        <v>17323.6</v>
      </c>
      <c r="G641" s="11">
        <v>0.005190276</v>
      </c>
      <c r="H641" s="13">
        <v>0.0052</v>
      </c>
      <c r="J641" s="15"/>
      <c r="K641" s="11"/>
      <c r="L641" s="11"/>
      <c r="M641" s="11"/>
      <c r="N641" s="11"/>
    </row>
    <row r="642" ht="15.75" customHeight="1">
      <c r="A642" s="35">
        <v>44236.0</v>
      </c>
      <c r="B642" s="38">
        <v>367.5</v>
      </c>
      <c r="C642" s="11">
        <f t="shared" si="1"/>
        <v>-0.008097165992</v>
      </c>
      <c r="D642" s="13">
        <f t="shared" si="2"/>
        <v>-0.008097165992</v>
      </c>
      <c r="E642" s="35">
        <v>44236.0</v>
      </c>
      <c r="F642" s="12">
        <v>17234.15</v>
      </c>
      <c r="G642" s="11">
        <v>0.009246761</v>
      </c>
      <c r="H642" s="13">
        <v>0.0092</v>
      </c>
      <c r="J642" s="15"/>
      <c r="K642" s="11"/>
      <c r="L642" s="11"/>
      <c r="M642" s="11"/>
      <c r="N642" s="11"/>
    </row>
    <row r="643" ht="15.75" customHeight="1">
      <c r="A643" s="35">
        <v>44205.0</v>
      </c>
      <c r="B643" s="38">
        <v>370.5</v>
      </c>
      <c r="C643" s="11">
        <f t="shared" si="1"/>
        <v>0.008986928105</v>
      </c>
      <c r="D643" s="13">
        <f t="shared" si="2"/>
        <v>0.008986928105</v>
      </c>
      <c r="E643" s="35">
        <v>44205.0</v>
      </c>
      <c r="F643" s="12">
        <v>17076.25</v>
      </c>
      <c r="G643" s="11">
        <v>-0.00326578</v>
      </c>
      <c r="H643" s="13">
        <v>-0.0033</v>
      </c>
      <c r="J643" s="15"/>
      <c r="K643" s="11"/>
      <c r="L643" s="11"/>
      <c r="M643" s="11"/>
      <c r="N643" s="11"/>
    </row>
    <row r="644" ht="15.75" customHeight="1">
      <c r="A644" s="11" t="s">
        <v>495</v>
      </c>
      <c r="B644" s="38">
        <v>367.2</v>
      </c>
      <c r="C644" s="11">
        <f t="shared" si="1"/>
        <v>-0.01936173054</v>
      </c>
      <c r="D644" s="13">
        <f t="shared" si="2"/>
        <v>-0.01936173054</v>
      </c>
      <c r="E644" s="11" t="s">
        <v>495</v>
      </c>
      <c r="F644" s="12">
        <v>17132.2</v>
      </c>
      <c r="G644" s="11">
        <v>0.011880539</v>
      </c>
      <c r="H644" s="13">
        <v>0.0119</v>
      </c>
      <c r="J644" s="15"/>
      <c r="K644" s="11"/>
      <c r="L644" s="11"/>
      <c r="M644" s="11"/>
      <c r="N644" s="11"/>
    </row>
    <row r="645" ht="15.75" customHeight="1">
      <c r="A645" s="11" t="s">
        <v>496</v>
      </c>
      <c r="B645" s="38">
        <v>374.45</v>
      </c>
      <c r="C645" s="11">
        <f t="shared" si="1"/>
        <v>0.009027216384</v>
      </c>
      <c r="D645" s="13">
        <f t="shared" si="2"/>
        <v>0.009027216384</v>
      </c>
      <c r="E645" s="11" t="s">
        <v>496</v>
      </c>
      <c r="F645" s="12">
        <v>16931.05</v>
      </c>
      <c r="G645" s="11">
        <v>0.013519742</v>
      </c>
      <c r="H645" s="13">
        <v>0.0135</v>
      </c>
      <c r="J645" s="15"/>
      <c r="K645" s="11"/>
      <c r="L645" s="11"/>
      <c r="M645" s="11"/>
      <c r="N645" s="11"/>
    </row>
    <row r="646" ht="15.75" customHeight="1">
      <c r="A646" s="11" t="s">
        <v>497</v>
      </c>
      <c r="B646" s="38">
        <v>371.1</v>
      </c>
      <c r="C646" s="11">
        <f t="shared" si="1"/>
        <v>0.03269792681</v>
      </c>
      <c r="D646" s="13">
        <f t="shared" si="2"/>
        <v>0.03269792681</v>
      </c>
      <c r="E646" s="11" t="s">
        <v>497</v>
      </c>
      <c r="F646" s="12">
        <v>16705.2</v>
      </c>
      <c r="G646" s="11">
        <v>0.004105332</v>
      </c>
      <c r="H646" s="13">
        <v>0.0041</v>
      </c>
      <c r="J646" s="15"/>
      <c r="K646" s="11"/>
      <c r="L646" s="11"/>
      <c r="M646" s="11"/>
      <c r="N646" s="11"/>
    </row>
    <row r="647" ht="15.75" customHeight="1">
      <c r="A647" s="11" t="s">
        <v>498</v>
      </c>
      <c r="B647" s="38">
        <v>359.35</v>
      </c>
      <c r="C647" s="11">
        <f t="shared" si="1"/>
        <v>-0.009782309176</v>
      </c>
      <c r="D647" s="13">
        <f t="shared" si="2"/>
        <v>-0.009782309176</v>
      </c>
      <c r="E647" s="11" t="s">
        <v>498</v>
      </c>
      <c r="F647" s="12">
        <v>16636.9</v>
      </c>
      <c r="G647" s="11">
        <v>1.3526E-4</v>
      </c>
      <c r="H647" s="13">
        <v>1.0E-4</v>
      </c>
      <c r="J647" s="15"/>
      <c r="K647" s="11"/>
      <c r="L647" s="11"/>
      <c r="M647" s="11"/>
      <c r="N647" s="11"/>
    </row>
    <row r="648" ht="15.75" customHeight="1">
      <c r="A648" s="11" t="s">
        <v>499</v>
      </c>
      <c r="B648" s="38">
        <v>362.9</v>
      </c>
      <c r="C648" s="11">
        <f t="shared" si="1"/>
        <v>0.004567474048</v>
      </c>
      <c r="D648" s="13">
        <f t="shared" si="2"/>
        <v>0.004567474048</v>
      </c>
      <c r="E648" s="11" t="s">
        <v>499</v>
      </c>
      <c r="F648" s="12">
        <v>16634.65</v>
      </c>
      <c r="G648" s="11">
        <v>6.04526E-4</v>
      </c>
      <c r="H648" s="13">
        <v>6.0E-4</v>
      </c>
      <c r="J648" s="15"/>
      <c r="K648" s="11"/>
      <c r="L648" s="11"/>
      <c r="M648" s="11"/>
      <c r="N648" s="11"/>
    </row>
    <row r="649" ht="15.75" customHeight="1">
      <c r="A649" s="11" t="s">
        <v>500</v>
      </c>
      <c r="B649" s="38">
        <v>361.25</v>
      </c>
      <c r="C649" s="11">
        <f t="shared" si="1"/>
        <v>-0.0191420038</v>
      </c>
      <c r="D649" s="13">
        <f t="shared" si="2"/>
        <v>-0.0191420038</v>
      </c>
      <c r="E649" s="11" t="s">
        <v>500</v>
      </c>
      <c r="F649" s="12">
        <v>16624.6</v>
      </c>
      <c r="G649" s="11">
        <v>0.007768338</v>
      </c>
      <c r="H649" s="13">
        <v>0.0078</v>
      </c>
      <c r="J649" s="15"/>
      <c r="K649" s="11"/>
      <c r="L649" s="11"/>
      <c r="M649" s="11"/>
      <c r="N649" s="11"/>
    </row>
    <row r="650" ht="15.75" customHeight="1">
      <c r="A650" s="11" t="s">
        <v>501</v>
      </c>
      <c r="B650" s="38">
        <v>368.3</v>
      </c>
      <c r="C650" s="11">
        <f t="shared" si="1"/>
        <v>0.0162803532</v>
      </c>
      <c r="D650" s="13">
        <f t="shared" si="2"/>
        <v>0.0162803532</v>
      </c>
      <c r="E650" s="11" t="s">
        <v>501</v>
      </c>
      <c r="F650" s="12">
        <v>16496.45</v>
      </c>
      <c r="G650" s="11">
        <v>0.002793228</v>
      </c>
      <c r="H650" s="13">
        <v>0.0028</v>
      </c>
      <c r="J650" s="15"/>
      <c r="K650" s="11"/>
      <c r="L650" s="11"/>
      <c r="M650" s="11"/>
      <c r="N650" s="11"/>
    </row>
    <row r="651" ht="15.75" customHeight="1">
      <c r="A651" s="11" t="s">
        <v>502</v>
      </c>
      <c r="B651" s="38">
        <v>362.4</v>
      </c>
      <c r="C651" s="11">
        <f t="shared" si="1"/>
        <v>-0.04994101455</v>
      </c>
      <c r="D651" s="13">
        <f t="shared" si="2"/>
        <v>-0.04994101455</v>
      </c>
      <c r="E651" s="11" t="s">
        <v>502</v>
      </c>
      <c r="F651" s="12">
        <v>16450.5</v>
      </c>
      <c r="G651" s="11">
        <v>-0.007142922</v>
      </c>
      <c r="H651" s="13">
        <v>-0.0071</v>
      </c>
      <c r="J651" s="15"/>
      <c r="K651" s="11"/>
      <c r="L651" s="11"/>
      <c r="M651" s="11"/>
      <c r="N651" s="11"/>
    </row>
    <row r="652" ht="15.75" customHeight="1">
      <c r="A652" s="11" t="s">
        <v>503</v>
      </c>
      <c r="B652" s="38">
        <v>381.45</v>
      </c>
      <c r="C652" s="11">
        <f t="shared" si="1"/>
        <v>0.01220644819</v>
      </c>
      <c r="D652" s="13">
        <f t="shared" si="2"/>
        <v>0.01220644819</v>
      </c>
      <c r="E652" s="11" t="s">
        <v>503</v>
      </c>
      <c r="F652" s="12">
        <v>16568.85</v>
      </c>
      <c r="G652" s="11">
        <v>-0.002753602</v>
      </c>
      <c r="H652" s="13">
        <v>-0.0028</v>
      </c>
      <c r="J652" s="15"/>
      <c r="K652" s="11"/>
      <c r="L652" s="11"/>
      <c r="M652" s="11"/>
      <c r="N652" s="11"/>
    </row>
    <row r="653" ht="15.75" customHeight="1">
      <c r="A653" s="11" t="s">
        <v>504</v>
      </c>
      <c r="B653" s="38">
        <v>376.85</v>
      </c>
      <c r="C653" s="11">
        <f t="shared" si="1"/>
        <v>-0.04991806378</v>
      </c>
      <c r="D653" s="13">
        <f t="shared" si="2"/>
        <v>-0.04991806378</v>
      </c>
      <c r="E653" s="11" t="s">
        <v>504</v>
      </c>
      <c r="F653" s="12">
        <v>16614.6</v>
      </c>
      <c r="G653" s="11">
        <v>0.003112349</v>
      </c>
      <c r="H653" s="13">
        <v>0.0031</v>
      </c>
      <c r="J653" s="15"/>
      <c r="K653" s="11"/>
      <c r="L653" s="11"/>
      <c r="M653" s="11"/>
      <c r="N653" s="11"/>
    </row>
    <row r="654" ht="15.75" customHeight="1">
      <c r="A654" s="11" t="s">
        <v>505</v>
      </c>
      <c r="B654" s="38">
        <v>396.65</v>
      </c>
      <c r="C654" s="11">
        <f t="shared" si="1"/>
        <v>-0.04994011976</v>
      </c>
      <c r="D654" s="13">
        <f t="shared" si="2"/>
        <v>-0.04994011976</v>
      </c>
      <c r="E654" s="11" t="s">
        <v>505</v>
      </c>
      <c r="F654" s="12">
        <v>16563.05</v>
      </c>
      <c r="G654" s="11">
        <v>0.002053953</v>
      </c>
      <c r="H654" s="13">
        <v>0.0021</v>
      </c>
      <c r="J654" s="15"/>
      <c r="K654" s="11"/>
      <c r="L654" s="11"/>
      <c r="M654" s="11"/>
      <c r="N654" s="11"/>
    </row>
    <row r="655" ht="15.75" customHeight="1">
      <c r="A655" s="11" t="s">
        <v>506</v>
      </c>
      <c r="B655" s="38">
        <v>417.5</v>
      </c>
      <c r="C655" s="11">
        <f t="shared" si="1"/>
        <v>0.04991826984</v>
      </c>
      <c r="D655" s="13">
        <f t="shared" si="2"/>
        <v>0.04991826984</v>
      </c>
      <c r="E655" s="11" t="s">
        <v>506</v>
      </c>
      <c r="F655" s="12">
        <v>16529.1</v>
      </c>
      <c r="G655" s="11">
        <v>0.01006453</v>
      </c>
      <c r="H655" s="13">
        <v>0.0101</v>
      </c>
      <c r="J655" s="15"/>
      <c r="K655" s="11"/>
      <c r="L655" s="11"/>
      <c r="M655" s="11"/>
      <c r="N655" s="11"/>
    </row>
    <row r="656" ht="15.75" customHeight="1">
      <c r="A656" s="35">
        <v>44538.0</v>
      </c>
      <c r="B656" s="38">
        <v>397.65</v>
      </c>
      <c r="C656" s="11">
        <f t="shared" si="1"/>
        <v>0.0499009901</v>
      </c>
      <c r="D656" s="13">
        <f t="shared" si="2"/>
        <v>0.0499009901</v>
      </c>
      <c r="E656" s="35">
        <v>44538.0</v>
      </c>
      <c r="F656" s="12">
        <v>16364.4</v>
      </c>
      <c r="G656" s="11">
        <v>0.005045371</v>
      </c>
      <c r="H656" s="13">
        <v>0.005</v>
      </c>
      <c r="J656" s="15"/>
      <c r="K656" s="11"/>
      <c r="L656" s="11"/>
      <c r="M656" s="11"/>
      <c r="N656" s="11"/>
    </row>
    <row r="657" ht="15.75" customHeight="1">
      <c r="A657" s="35">
        <v>44508.0</v>
      </c>
      <c r="B657" s="38">
        <v>378.75</v>
      </c>
      <c r="C657" s="11">
        <f t="shared" si="1"/>
        <v>0.0498960499</v>
      </c>
      <c r="D657" s="13">
        <f t="shared" si="2"/>
        <v>0.0498960499</v>
      </c>
      <c r="E657" s="35">
        <v>44508.0</v>
      </c>
      <c r="F657" s="12">
        <v>16282.25</v>
      </c>
      <c r="G657" s="11">
        <v>1.32063E-4</v>
      </c>
      <c r="H657" s="13">
        <v>1.0E-4</v>
      </c>
      <c r="J657" s="15"/>
      <c r="K657" s="11"/>
      <c r="L657" s="11"/>
      <c r="M657" s="11"/>
      <c r="N657" s="11"/>
    </row>
    <row r="658" ht="15.75" customHeight="1">
      <c r="A658" s="35">
        <v>44477.0</v>
      </c>
      <c r="B658" s="38">
        <v>360.75</v>
      </c>
      <c r="C658" s="11">
        <f t="shared" si="1"/>
        <v>0.04991268917</v>
      </c>
      <c r="D658" s="13">
        <f t="shared" si="2"/>
        <v>0.04991268917</v>
      </c>
      <c r="E658" s="35">
        <v>44477.0</v>
      </c>
      <c r="F658" s="12">
        <v>16280.1</v>
      </c>
      <c r="G658" s="11">
        <v>0.001343933</v>
      </c>
      <c r="H658" s="13">
        <v>0.0013</v>
      </c>
      <c r="J658" s="15"/>
      <c r="K658" s="11"/>
      <c r="L658" s="11"/>
      <c r="M658" s="11"/>
      <c r="N658" s="11"/>
    </row>
    <row r="659" ht="15.75" customHeight="1">
      <c r="A659" s="35">
        <v>44447.0</v>
      </c>
      <c r="B659" s="38">
        <v>343.6</v>
      </c>
      <c r="C659" s="11">
        <f t="shared" si="1"/>
        <v>0.0499618029</v>
      </c>
      <c r="D659" s="13">
        <f t="shared" si="2"/>
        <v>0.0499618029</v>
      </c>
      <c r="E659" s="35">
        <v>44447.0</v>
      </c>
      <c r="F659" s="12">
        <v>16258.25</v>
      </c>
      <c r="G659" s="11">
        <v>0.001234743</v>
      </c>
      <c r="H659" s="13">
        <v>0.0012</v>
      </c>
      <c r="J659" s="15"/>
      <c r="K659" s="11"/>
      <c r="L659" s="11"/>
      <c r="M659" s="11"/>
      <c r="N659" s="11"/>
    </row>
    <row r="660" ht="15.75" customHeight="1">
      <c r="A660" s="35">
        <v>44355.0</v>
      </c>
      <c r="B660" s="38">
        <v>327.25</v>
      </c>
      <c r="C660" s="11">
        <f t="shared" si="1"/>
        <v>0.04988771254</v>
      </c>
      <c r="D660" s="13">
        <f t="shared" si="2"/>
        <v>0.04988771254</v>
      </c>
      <c r="E660" s="35">
        <v>44355.0</v>
      </c>
      <c r="F660" s="12">
        <v>16238.2</v>
      </c>
      <c r="G660" s="11">
        <v>-0.003461269</v>
      </c>
      <c r="H660" s="13">
        <v>-0.0035</v>
      </c>
      <c r="J660" s="15"/>
      <c r="K660" s="11"/>
      <c r="L660" s="11"/>
      <c r="M660" s="11"/>
      <c r="N660" s="11"/>
    </row>
    <row r="661" ht="15.75" customHeight="1">
      <c r="A661" s="35">
        <v>44324.0</v>
      </c>
      <c r="B661" s="38">
        <v>311.7</v>
      </c>
      <c r="C661" s="11">
        <f t="shared" si="1"/>
        <v>0.04984843382</v>
      </c>
      <c r="D661" s="13">
        <f t="shared" si="2"/>
        <v>0.04984843382</v>
      </c>
      <c r="E661" s="35">
        <v>44324.0</v>
      </c>
      <c r="F661" s="12">
        <v>16294.6</v>
      </c>
      <c r="G661" s="11">
        <v>0.002201885</v>
      </c>
      <c r="H661" s="13">
        <v>0.0022</v>
      </c>
      <c r="J661" s="15"/>
      <c r="K661" s="11"/>
      <c r="L661" s="11"/>
      <c r="M661" s="11"/>
      <c r="N661" s="11"/>
    </row>
    <row r="662" ht="15.75" customHeight="1">
      <c r="A662" s="35">
        <v>44294.0</v>
      </c>
      <c r="B662" s="38">
        <v>296.9</v>
      </c>
      <c r="C662" s="11">
        <f t="shared" si="1"/>
        <v>0.04985855728</v>
      </c>
      <c r="D662" s="13">
        <f t="shared" si="2"/>
        <v>0.04985855728</v>
      </c>
      <c r="E662" s="35">
        <v>44294.0</v>
      </c>
      <c r="F662" s="12">
        <v>16258.8</v>
      </c>
      <c r="G662" s="11">
        <v>0.007938255</v>
      </c>
      <c r="H662" s="13">
        <v>0.0079</v>
      </c>
      <c r="J662" s="15"/>
      <c r="K662" s="11"/>
      <c r="L662" s="11"/>
      <c r="M662" s="11"/>
      <c r="N662" s="11"/>
    </row>
    <row r="663" ht="15.75" customHeight="1">
      <c r="A663" s="35">
        <v>44263.0</v>
      </c>
      <c r="B663" s="38">
        <v>282.8</v>
      </c>
      <c r="C663" s="11">
        <f t="shared" si="1"/>
        <v>0.04993502877</v>
      </c>
      <c r="D663" s="13">
        <f t="shared" si="2"/>
        <v>0.04993502877</v>
      </c>
      <c r="E663" s="35">
        <v>44263.0</v>
      </c>
      <c r="F663" s="12">
        <v>16130.75</v>
      </c>
      <c r="G663" s="11">
        <v>0.015460981</v>
      </c>
      <c r="H663" s="13">
        <v>0.0155</v>
      </c>
      <c r="J663" s="15"/>
      <c r="K663" s="11"/>
      <c r="L663" s="11"/>
      <c r="M663" s="11"/>
      <c r="N663" s="11"/>
    </row>
    <row r="664" ht="15.75" customHeight="1">
      <c r="A664" s="35">
        <v>44235.0</v>
      </c>
      <c r="B664" s="38">
        <v>269.35</v>
      </c>
      <c r="C664" s="11">
        <f t="shared" si="1"/>
        <v>0.04989280842</v>
      </c>
      <c r="D664" s="13">
        <f t="shared" si="2"/>
        <v>0.04989280842</v>
      </c>
      <c r="E664" s="35">
        <v>44235.0</v>
      </c>
      <c r="F664" s="12">
        <v>15885.15</v>
      </c>
      <c r="G664" s="11">
        <v>0.007745963</v>
      </c>
      <c r="H664" s="13">
        <v>0.0077</v>
      </c>
      <c r="J664" s="15"/>
      <c r="K664" s="11"/>
      <c r="L664" s="11"/>
      <c r="M664" s="11"/>
      <c r="N664" s="11"/>
    </row>
    <row r="665" ht="15.75" customHeight="1">
      <c r="A665" s="11" t="s">
        <v>507</v>
      </c>
      <c r="B665" s="38">
        <v>256.55</v>
      </c>
      <c r="C665" s="11">
        <f t="shared" si="1"/>
        <v>0.04992838142</v>
      </c>
      <c r="D665" s="13">
        <f t="shared" si="2"/>
        <v>0.04992838142</v>
      </c>
      <c r="E665" s="11" t="s">
        <v>507</v>
      </c>
      <c r="F665" s="12">
        <v>15763.05</v>
      </c>
      <c r="G665" s="11">
        <v>-9.76015E-4</v>
      </c>
      <c r="H665" s="13">
        <v>-0.001</v>
      </c>
      <c r="J665" s="15"/>
      <c r="K665" s="11"/>
      <c r="L665" s="11"/>
      <c r="M665" s="11"/>
      <c r="N665" s="11"/>
    </row>
    <row r="666" ht="15.75" customHeight="1">
      <c r="A666" s="11" t="s">
        <v>508</v>
      </c>
      <c r="B666" s="38">
        <v>244.35</v>
      </c>
      <c r="C666" s="11">
        <f t="shared" si="1"/>
        <v>0.04983888292</v>
      </c>
      <c r="D666" s="13">
        <f t="shared" si="2"/>
        <v>0.04983888292</v>
      </c>
      <c r="E666" s="11" t="s">
        <v>508</v>
      </c>
      <c r="F666" s="12">
        <v>15778.45</v>
      </c>
      <c r="G666" s="11">
        <v>0.004395457</v>
      </c>
      <c r="H666" s="13">
        <v>0.0044</v>
      </c>
      <c r="J666" s="15"/>
      <c r="K666" s="11"/>
      <c r="L666" s="11"/>
      <c r="M666" s="11"/>
      <c r="N666" s="11"/>
    </row>
    <row r="667" ht="15.75" customHeight="1">
      <c r="A667" s="11" t="s">
        <v>509</v>
      </c>
      <c r="B667" s="38">
        <v>232.75</v>
      </c>
      <c r="C667" s="11">
        <f t="shared" si="1"/>
        <v>0.049842129</v>
      </c>
      <c r="D667" s="13">
        <f t="shared" si="2"/>
        <v>0.049842129</v>
      </c>
      <c r="E667" s="11" t="s">
        <v>509</v>
      </c>
      <c r="F667" s="12">
        <v>15709.4</v>
      </c>
      <c r="G667" s="11">
        <v>-0.002352911</v>
      </c>
      <c r="H667" s="13">
        <v>-0.0024</v>
      </c>
      <c r="J667" s="15"/>
      <c r="K667" s="11"/>
      <c r="L667" s="11"/>
      <c r="M667" s="11"/>
      <c r="N667" s="11"/>
    </row>
    <row r="668" ht="15.75" customHeight="1">
      <c r="A668" s="11" t="s">
        <v>510</v>
      </c>
      <c r="B668" s="38">
        <v>221.7</v>
      </c>
      <c r="C668" s="11">
        <f t="shared" si="1"/>
        <v>0.04996448023</v>
      </c>
      <c r="D668" s="13">
        <f t="shared" si="2"/>
        <v>0.04996448023</v>
      </c>
      <c r="E668" s="11" t="s">
        <v>510</v>
      </c>
      <c r="F668" s="12">
        <v>15746.45</v>
      </c>
      <c r="G668" s="11">
        <v>-0.004929081</v>
      </c>
      <c r="H668" s="13">
        <v>-0.0049</v>
      </c>
      <c r="J668" s="15"/>
      <c r="K668" s="11"/>
      <c r="L668" s="11"/>
      <c r="M668" s="11"/>
      <c r="N668" s="11"/>
    </row>
    <row r="669" ht="15.75" customHeight="1">
      <c r="A669" s="11" t="s">
        <v>511</v>
      </c>
      <c r="B669" s="38">
        <v>211.15</v>
      </c>
      <c r="C669" s="11">
        <f t="shared" si="1"/>
        <v>0.04997513675</v>
      </c>
      <c r="D669" s="13">
        <f t="shared" si="2"/>
        <v>0.04997513675</v>
      </c>
      <c r="E669" s="11" t="s">
        <v>511</v>
      </c>
      <c r="F669" s="12">
        <v>15824.45</v>
      </c>
      <c r="G669" s="11">
        <v>-0.00199293</v>
      </c>
      <c r="H669" s="13">
        <v>-0.002</v>
      </c>
      <c r="J669" s="15"/>
      <c r="K669" s="11"/>
      <c r="L669" s="11"/>
      <c r="M669" s="11"/>
      <c r="N669" s="11"/>
    </row>
    <row r="670" ht="15.75" customHeight="1">
      <c r="A670" s="11" t="s">
        <v>512</v>
      </c>
      <c r="B670" s="38">
        <v>201.1</v>
      </c>
      <c r="C670" s="11">
        <f t="shared" si="1"/>
        <v>0.04985643435</v>
      </c>
      <c r="D670" s="13">
        <f t="shared" si="2"/>
        <v>0.04985643435</v>
      </c>
      <c r="E670" s="11" t="s">
        <v>512</v>
      </c>
      <c r="F670" s="12">
        <v>15856.05</v>
      </c>
      <c r="G670" s="11">
        <v>0.002022238</v>
      </c>
      <c r="H670" s="13">
        <v>0.002</v>
      </c>
      <c r="J670" s="15"/>
      <c r="K670" s="11"/>
      <c r="L670" s="11"/>
      <c r="M670" s="11"/>
      <c r="N670" s="11"/>
    </row>
    <row r="671" ht="15.75" customHeight="1">
      <c r="A671" s="11" t="s">
        <v>513</v>
      </c>
      <c r="B671" s="38">
        <v>191.55</v>
      </c>
      <c r="C671" s="11">
        <f t="shared" si="1"/>
        <v>0.04987667854</v>
      </c>
      <c r="D671" s="13">
        <f t="shared" si="2"/>
        <v>0.04987667854</v>
      </c>
      <c r="E671" s="11" t="s">
        <v>513</v>
      </c>
      <c r="F671" s="12">
        <v>15824.05</v>
      </c>
      <c r="G671" s="11">
        <v>0.01227922</v>
      </c>
      <c r="H671" s="13">
        <v>0.0123</v>
      </c>
      <c r="J671" s="15"/>
      <c r="K671" s="11"/>
      <c r="L671" s="11"/>
      <c r="M671" s="11"/>
      <c r="N671" s="11"/>
    </row>
    <row r="672" ht="15.75" customHeight="1">
      <c r="A672" s="11" t="s">
        <v>514</v>
      </c>
      <c r="B672" s="38">
        <v>182.45</v>
      </c>
      <c r="C672" s="11">
        <f t="shared" si="1"/>
        <v>-0.01934963719</v>
      </c>
      <c r="D672" s="13">
        <f t="shared" si="2"/>
        <v>-0.01934963719</v>
      </c>
      <c r="E672" s="11" t="s">
        <v>514</v>
      </c>
      <c r="F672" s="12">
        <v>15632.1</v>
      </c>
      <c r="G672" s="11">
        <v>-0.007636932</v>
      </c>
      <c r="H672" s="13">
        <v>-0.0076</v>
      </c>
      <c r="J672" s="15"/>
      <c r="K672" s="11"/>
      <c r="L672" s="11"/>
      <c r="M672" s="11"/>
      <c r="N672" s="11"/>
    </row>
    <row r="673" ht="15.75" customHeight="1">
      <c r="A673" s="11" t="s">
        <v>515</v>
      </c>
      <c r="B673" s="38">
        <v>186.05</v>
      </c>
      <c r="C673" s="11">
        <f t="shared" si="1"/>
        <v>0.01059206953</v>
      </c>
      <c r="D673" s="13">
        <f t="shared" si="2"/>
        <v>0.01059206953</v>
      </c>
      <c r="E673" s="11" t="s">
        <v>515</v>
      </c>
      <c r="F673" s="12">
        <v>15752.4</v>
      </c>
      <c r="G673" s="11">
        <v>-0.010738913</v>
      </c>
      <c r="H673" s="13">
        <v>-0.0107</v>
      </c>
      <c r="J673" s="15"/>
      <c r="K673" s="11"/>
      <c r="L673" s="11"/>
      <c r="M673" s="11"/>
      <c r="N673" s="11"/>
    </row>
    <row r="674" ht="15.75" customHeight="1">
      <c r="A674" s="11" t="s">
        <v>516</v>
      </c>
      <c r="B674" s="38">
        <v>184.1</v>
      </c>
      <c r="C674" s="11">
        <f t="shared" si="1"/>
        <v>-0.007547169811</v>
      </c>
      <c r="D674" s="13">
        <f t="shared" si="2"/>
        <v>-0.007547169811</v>
      </c>
      <c r="E674" s="11" t="s">
        <v>516</v>
      </c>
      <c r="F674" s="12">
        <v>15923.4</v>
      </c>
      <c r="G674" s="45">
        <v>-5.0238E-5</v>
      </c>
      <c r="H674" s="13">
        <v>-1.0E-4</v>
      </c>
      <c r="J674" s="15"/>
      <c r="K674" s="11"/>
      <c r="L674" s="11"/>
      <c r="M674" s="11"/>
      <c r="N674" s="11"/>
    </row>
    <row r="675" ht="15.75" customHeight="1">
      <c r="A675" s="11" t="s">
        <v>517</v>
      </c>
      <c r="B675" s="38">
        <v>185.5</v>
      </c>
      <c r="C675" s="11">
        <f t="shared" si="1"/>
        <v>-0.01565401963</v>
      </c>
      <c r="D675" s="13">
        <f t="shared" si="2"/>
        <v>-0.01565401963</v>
      </c>
      <c r="E675" s="11" t="s">
        <v>517</v>
      </c>
      <c r="F675" s="12">
        <v>15924.2</v>
      </c>
      <c r="G675" s="11">
        <v>0.004431072</v>
      </c>
      <c r="H675" s="13">
        <v>0.0044</v>
      </c>
      <c r="J675" s="15"/>
      <c r="K675" s="11"/>
      <c r="L675" s="11"/>
      <c r="M675" s="11"/>
      <c r="N675" s="11"/>
    </row>
    <row r="676" ht="15.75" customHeight="1">
      <c r="A676" s="11" t="s">
        <v>518</v>
      </c>
      <c r="B676" s="38">
        <v>188.45</v>
      </c>
      <c r="C676" s="11">
        <f t="shared" si="1"/>
        <v>0.03401920439</v>
      </c>
      <c r="D676" s="13">
        <f t="shared" si="2"/>
        <v>0.03401920439</v>
      </c>
      <c r="E676" s="11" t="s">
        <v>518</v>
      </c>
      <c r="F676" s="12">
        <v>15853.95</v>
      </c>
      <c r="G676" s="11">
        <v>0.002630855</v>
      </c>
      <c r="H676" s="13">
        <v>0.0026</v>
      </c>
      <c r="J676" s="15"/>
      <c r="K676" s="11"/>
      <c r="L676" s="11"/>
      <c r="M676" s="11"/>
      <c r="N676" s="11"/>
    </row>
    <row r="677" ht="15.75" customHeight="1">
      <c r="A677" s="11" t="s">
        <v>519</v>
      </c>
      <c r="B677" s="38">
        <v>182.25</v>
      </c>
      <c r="C677" s="11">
        <f t="shared" si="1"/>
        <v>-0.01539708266</v>
      </c>
      <c r="D677" s="13">
        <f t="shared" si="2"/>
        <v>-0.01539708266</v>
      </c>
      <c r="E677" s="11" t="s">
        <v>519</v>
      </c>
      <c r="F677" s="12">
        <v>15812.35</v>
      </c>
      <c r="G677" s="11">
        <v>0.007630985</v>
      </c>
      <c r="H677" s="13">
        <v>0.0076</v>
      </c>
      <c r="J677" s="15"/>
      <c r="K677" s="11"/>
      <c r="L677" s="11"/>
      <c r="M677" s="11"/>
      <c r="N677" s="11"/>
    </row>
    <row r="678" ht="15.75" customHeight="1">
      <c r="A678" s="35">
        <v>44537.0</v>
      </c>
      <c r="B678" s="38">
        <v>185.1</v>
      </c>
      <c r="C678" s="11">
        <f t="shared" si="1"/>
        <v>0.00899427637</v>
      </c>
      <c r="D678" s="13">
        <f t="shared" si="2"/>
        <v>0.00899427637</v>
      </c>
      <c r="E678" s="35">
        <v>44537.0</v>
      </c>
      <c r="F678" s="12">
        <v>15692.6</v>
      </c>
      <c r="G678" s="11">
        <v>1.7846E-4</v>
      </c>
      <c r="H678" s="13">
        <v>2.0E-4</v>
      </c>
      <c r="J678" s="15"/>
      <c r="K678" s="11"/>
      <c r="L678" s="11"/>
      <c r="M678" s="11"/>
      <c r="N678" s="11"/>
    </row>
    <row r="679" ht="15.75" customHeight="1">
      <c r="A679" s="35">
        <v>44446.0</v>
      </c>
      <c r="B679" s="38">
        <v>183.45</v>
      </c>
      <c r="C679" s="11">
        <f t="shared" si="1"/>
        <v>-0.004612045578</v>
      </c>
      <c r="D679" s="13">
        <f t="shared" si="2"/>
        <v>-0.004612045578</v>
      </c>
      <c r="E679" s="35">
        <v>44446.0</v>
      </c>
      <c r="F679" s="12">
        <v>15689.8</v>
      </c>
      <c r="G679" s="11">
        <v>-0.002422447</v>
      </c>
      <c r="H679" s="13">
        <v>-0.0024</v>
      </c>
      <c r="J679" s="15"/>
      <c r="K679" s="11"/>
      <c r="L679" s="11"/>
      <c r="M679" s="11"/>
      <c r="N679" s="11"/>
    </row>
    <row r="680" ht="15.75" customHeight="1">
      <c r="A680" s="35">
        <v>44415.0</v>
      </c>
      <c r="B680" s="38">
        <v>184.3</v>
      </c>
      <c r="C680" s="11">
        <f t="shared" si="1"/>
        <v>-0.01126609442</v>
      </c>
      <c r="D680" s="13">
        <f t="shared" si="2"/>
        <v>-0.01126609442</v>
      </c>
      <c r="E680" s="35">
        <v>44415.0</v>
      </c>
      <c r="F680" s="12">
        <v>15727.9</v>
      </c>
      <c r="G680" s="11">
        <v>-0.009556256</v>
      </c>
      <c r="H680" s="13">
        <v>-0.0096</v>
      </c>
      <c r="J680" s="15"/>
      <c r="K680" s="11"/>
      <c r="L680" s="11"/>
      <c r="M680" s="11"/>
      <c r="N680" s="11"/>
    </row>
    <row r="681" ht="15.75" customHeight="1">
      <c r="A681" s="35">
        <v>44384.0</v>
      </c>
      <c r="B681" s="38">
        <v>186.4</v>
      </c>
      <c r="C681" s="11">
        <f t="shared" si="1"/>
        <v>-0.008774262164</v>
      </c>
      <c r="D681" s="13">
        <f t="shared" si="2"/>
        <v>-0.008774262164</v>
      </c>
      <c r="E681" s="35">
        <v>44384.0</v>
      </c>
      <c r="F681" s="12">
        <v>15879.65</v>
      </c>
      <c r="G681" s="11">
        <v>0.003881592</v>
      </c>
      <c r="H681" s="13">
        <v>0.0039</v>
      </c>
      <c r="J681" s="15"/>
      <c r="K681" s="11"/>
      <c r="L681" s="11"/>
      <c r="M681" s="11"/>
      <c r="N681" s="11"/>
    </row>
    <row r="682" ht="15.75" customHeight="1">
      <c r="A682" s="35">
        <v>44354.0</v>
      </c>
      <c r="B682" s="38">
        <v>188.05</v>
      </c>
      <c r="C682" s="11">
        <f t="shared" si="1"/>
        <v>-0.01544502618</v>
      </c>
      <c r="D682" s="13">
        <f t="shared" si="2"/>
        <v>-0.01544502618</v>
      </c>
      <c r="E682" s="35">
        <v>44354.0</v>
      </c>
      <c r="F682" s="12">
        <v>15818.25</v>
      </c>
      <c r="G682" s="11">
        <v>-0.001016777</v>
      </c>
      <c r="H682" s="13">
        <v>-0.001</v>
      </c>
      <c r="J682" s="15"/>
      <c r="K682" s="11"/>
      <c r="L682" s="11"/>
      <c r="M682" s="11"/>
      <c r="N682" s="11"/>
    </row>
    <row r="683" ht="15.75" customHeight="1">
      <c r="A683" s="35">
        <v>44323.0</v>
      </c>
      <c r="B683" s="38">
        <v>191.0</v>
      </c>
      <c r="C683" s="11">
        <f t="shared" si="1"/>
        <v>0.04973893927</v>
      </c>
      <c r="D683" s="13">
        <f t="shared" si="2"/>
        <v>0.04973893927</v>
      </c>
      <c r="E683" s="35">
        <v>44323.0</v>
      </c>
      <c r="F683" s="12">
        <v>15834.35</v>
      </c>
      <c r="G683" s="11">
        <v>0.007133226</v>
      </c>
      <c r="H683" s="13">
        <v>0.0071</v>
      </c>
      <c r="J683" s="15"/>
      <c r="K683" s="11"/>
      <c r="L683" s="11"/>
      <c r="M683" s="11"/>
      <c r="N683" s="11"/>
    </row>
    <row r="684" ht="15.75" customHeight="1">
      <c r="A684" s="35">
        <v>44234.0</v>
      </c>
      <c r="B684" s="38">
        <v>181.95</v>
      </c>
      <c r="C684" s="11">
        <f t="shared" si="1"/>
        <v>0.004693539481</v>
      </c>
      <c r="D684" s="13">
        <f t="shared" si="2"/>
        <v>0.004693539481</v>
      </c>
      <c r="E684" s="35">
        <v>44234.0</v>
      </c>
      <c r="F684" s="12">
        <v>15722.2</v>
      </c>
      <c r="G684" s="11">
        <v>0.002691327</v>
      </c>
      <c r="H684" s="13">
        <v>0.0027</v>
      </c>
      <c r="J684" s="15"/>
      <c r="K684" s="11"/>
      <c r="L684" s="11"/>
      <c r="M684" s="11"/>
      <c r="N684" s="11"/>
    </row>
    <row r="685" ht="15.75" customHeight="1">
      <c r="A685" s="35">
        <v>44203.0</v>
      </c>
      <c r="B685" s="38">
        <v>181.1</v>
      </c>
      <c r="C685" s="11">
        <f t="shared" si="1"/>
        <v>0.00555247085</v>
      </c>
      <c r="D685" s="13">
        <f t="shared" si="2"/>
        <v>0.00555247085</v>
      </c>
      <c r="E685" s="35">
        <v>44203.0</v>
      </c>
      <c r="F685" s="12">
        <v>15680.0</v>
      </c>
      <c r="G685" s="11">
        <v>-0.002639697</v>
      </c>
      <c r="H685" s="13">
        <v>-0.0026</v>
      </c>
      <c r="J685" s="15"/>
      <c r="K685" s="11"/>
      <c r="L685" s="11"/>
      <c r="M685" s="11"/>
      <c r="N685" s="11"/>
    </row>
    <row r="686" ht="15.75" customHeight="1">
      <c r="A686" s="11" t="s">
        <v>520</v>
      </c>
      <c r="B686" s="38">
        <v>180.1</v>
      </c>
      <c r="C686" s="11">
        <f t="shared" si="1"/>
        <v>0.04983969688</v>
      </c>
      <c r="D686" s="13">
        <f t="shared" si="2"/>
        <v>0.04983969688</v>
      </c>
      <c r="E686" s="11" t="s">
        <v>520</v>
      </c>
      <c r="F686" s="12">
        <v>15721.5</v>
      </c>
      <c r="G686" s="11">
        <v>-0.00171128</v>
      </c>
      <c r="H686" s="13">
        <v>-0.0017</v>
      </c>
      <c r="J686" s="15"/>
      <c r="K686" s="11"/>
      <c r="L686" s="11"/>
      <c r="M686" s="11"/>
      <c r="N686" s="11"/>
    </row>
    <row r="687" ht="15.75" customHeight="1">
      <c r="A687" s="11" t="s">
        <v>521</v>
      </c>
      <c r="B687" s="38">
        <v>171.55</v>
      </c>
      <c r="C687" s="11">
        <f t="shared" si="1"/>
        <v>-0.009526558891</v>
      </c>
      <c r="D687" s="13">
        <f t="shared" si="2"/>
        <v>-0.009526558891</v>
      </c>
      <c r="E687" s="11" t="s">
        <v>521</v>
      </c>
      <c r="F687" s="12">
        <v>15748.45</v>
      </c>
      <c r="G687" s="11">
        <v>-0.00418914</v>
      </c>
      <c r="H687" s="13">
        <v>-0.0042</v>
      </c>
      <c r="J687" s="15"/>
      <c r="K687" s="11"/>
      <c r="L687" s="11"/>
      <c r="M687" s="11"/>
      <c r="N687" s="11"/>
    </row>
    <row r="688" ht="15.75" customHeight="1">
      <c r="A688" s="11" t="s">
        <v>522</v>
      </c>
      <c r="B688" s="38">
        <v>173.2</v>
      </c>
      <c r="C688" s="11">
        <f t="shared" si="1"/>
        <v>-0.01841881553</v>
      </c>
      <c r="D688" s="13">
        <f t="shared" si="2"/>
        <v>-0.01841881553</v>
      </c>
      <c r="E688" s="11" t="s">
        <v>522</v>
      </c>
      <c r="F688" s="12">
        <v>15814.7</v>
      </c>
      <c r="G688" s="11">
        <v>-0.002878247</v>
      </c>
      <c r="H688" s="13">
        <v>-0.0029</v>
      </c>
      <c r="J688" s="15"/>
      <c r="K688" s="11"/>
      <c r="L688" s="11"/>
      <c r="M688" s="11"/>
      <c r="N688" s="11"/>
    </row>
    <row r="689" ht="15.75" customHeight="1">
      <c r="A689" s="11" t="s">
        <v>523</v>
      </c>
      <c r="B689" s="38">
        <v>176.45</v>
      </c>
      <c r="C689" s="11">
        <f t="shared" si="1"/>
        <v>-0.0033888732</v>
      </c>
      <c r="D689" s="13">
        <f t="shared" si="2"/>
        <v>-0.0033888732</v>
      </c>
      <c r="E689" s="11" t="s">
        <v>523</v>
      </c>
      <c r="F689" s="12">
        <v>15860.35</v>
      </c>
      <c r="G689" s="11">
        <v>0.004426726</v>
      </c>
      <c r="H689" s="13">
        <v>0.0044</v>
      </c>
      <c r="J689" s="15"/>
      <c r="K689" s="11"/>
      <c r="L689" s="11"/>
      <c r="M689" s="11"/>
      <c r="N689" s="11"/>
    </row>
    <row r="690" ht="15.75" customHeight="1">
      <c r="A690" s="11" t="s">
        <v>524</v>
      </c>
      <c r="B690" s="38">
        <v>177.05</v>
      </c>
      <c r="C690" s="11">
        <f t="shared" si="1"/>
        <v>-0.001691570341</v>
      </c>
      <c r="D690" s="13">
        <f t="shared" si="2"/>
        <v>-0.001691570341</v>
      </c>
      <c r="E690" s="11" t="s">
        <v>524</v>
      </c>
      <c r="F690" s="12">
        <v>15790.45</v>
      </c>
      <c r="G690" s="11">
        <v>0.006597841</v>
      </c>
      <c r="H690" s="13">
        <v>0.0066</v>
      </c>
      <c r="J690" s="15"/>
      <c r="K690" s="11"/>
      <c r="L690" s="11"/>
      <c r="M690" s="11"/>
      <c r="N690" s="11"/>
    </row>
    <row r="691" ht="15.75" customHeight="1">
      <c r="A691" s="11" t="s">
        <v>525</v>
      </c>
      <c r="B691" s="38">
        <v>177.35</v>
      </c>
      <c r="C691" s="11">
        <f t="shared" si="1"/>
        <v>0.02219020173</v>
      </c>
      <c r="D691" s="13">
        <f t="shared" si="2"/>
        <v>0.02219020173</v>
      </c>
      <c r="E691" s="11" t="s">
        <v>525</v>
      </c>
      <c r="F691" s="12">
        <v>15686.95</v>
      </c>
      <c r="G691" s="11">
        <v>-0.005439762</v>
      </c>
      <c r="H691" s="13">
        <v>-0.0054</v>
      </c>
      <c r="J691" s="15"/>
      <c r="K691" s="11"/>
      <c r="L691" s="11"/>
      <c r="M691" s="11"/>
      <c r="N691" s="11"/>
    </row>
    <row r="692" ht="15.75" customHeight="1">
      <c r="A692" s="11" t="s">
        <v>526</v>
      </c>
      <c r="B692" s="38">
        <v>173.5</v>
      </c>
      <c r="C692" s="11">
        <f t="shared" si="1"/>
        <v>0.02602010645</v>
      </c>
      <c r="D692" s="13">
        <f t="shared" si="2"/>
        <v>0.02602010645</v>
      </c>
      <c r="E692" s="11" t="s">
        <v>526</v>
      </c>
      <c r="F692" s="12">
        <v>15772.75</v>
      </c>
      <c r="G692" s="11">
        <v>0.001667037</v>
      </c>
      <c r="H692" s="13">
        <v>0.0017</v>
      </c>
      <c r="J692" s="15"/>
      <c r="K692" s="11"/>
      <c r="L692" s="11"/>
      <c r="M692" s="11"/>
      <c r="N692" s="11"/>
    </row>
    <row r="693" ht="15.75" customHeight="1">
      <c r="A693" s="11" t="s">
        <v>527</v>
      </c>
      <c r="B693" s="38">
        <v>169.1</v>
      </c>
      <c r="C693" s="11">
        <f t="shared" si="1"/>
        <v>-0.01714617844</v>
      </c>
      <c r="D693" s="13">
        <f t="shared" si="2"/>
        <v>-0.01714617844</v>
      </c>
      <c r="E693" s="11" t="s">
        <v>527</v>
      </c>
      <c r="F693" s="12">
        <v>15746.5</v>
      </c>
      <c r="G693" s="11">
        <v>0.004026563</v>
      </c>
      <c r="H693" s="13">
        <v>0.004</v>
      </c>
      <c r="J693" s="15"/>
      <c r="K693" s="11"/>
      <c r="L693" s="11"/>
      <c r="M693" s="11"/>
      <c r="N693" s="11"/>
    </row>
    <row r="694" ht="15.75" customHeight="1">
      <c r="A694" s="11" t="s">
        <v>528</v>
      </c>
      <c r="B694" s="38">
        <v>172.05</v>
      </c>
      <c r="C694" s="11">
        <f t="shared" si="1"/>
        <v>-0.01713796058</v>
      </c>
      <c r="D694" s="13">
        <f t="shared" si="2"/>
        <v>-0.01713796058</v>
      </c>
      <c r="E694" s="11" t="s">
        <v>528</v>
      </c>
      <c r="F694" s="12">
        <v>15683.35</v>
      </c>
      <c r="G694" s="11">
        <v>-5.1302E-4</v>
      </c>
      <c r="H694" s="13">
        <v>-5.0E-4</v>
      </c>
      <c r="J694" s="15"/>
      <c r="K694" s="11"/>
      <c r="L694" s="11"/>
      <c r="M694" s="11"/>
      <c r="N694" s="11"/>
    </row>
    <row r="695" ht="15.75" customHeight="1">
      <c r="A695" s="11" t="s">
        <v>529</v>
      </c>
      <c r="B695" s="38">
        <v>175.05</v>
      </c>
      <c r="C695" s="11">
        <f t="shared" si="1"/>
        <v>-0.005962521295</v>
      </c>
      <c r="D695" s="13">
        <f t="shared" si="2"/>
        <v>-0.005962521295</v>
      </c>
      <c r="E695" s="11" t="s">
        <v>529</v>
      </c>
      <c r="F695" s="12">
        <v>15691.4</v>
      </c>
      <c r="G695" s="11">
        <v>-0.004829539</v>
      </c>
      <c r="H695" s="13">
        <v>-0.0048</v>
      </c>
      <c r="J695" s="15"/>
      <c r="K695" s="11"/>
      <c r="L695" s="11"/>
      <c r="M695" s="11"/>
      <c r="N695" s="11"/>
    </row>
    <row r="696" ht="15.75" customHeight="1">
      <c r="A696" s="11" t="s">
        <v>530</v>
      </c>
      <c r="B696" s="38">
        <v>176.1</v>
      </c>
      <c r="C696" s="11">
        <f t="shared" si="1"/>
        <v>0.004277159966</v>
      </c>
      <c r="D696" s="13">
        <f t="shared" si="2"/>
        <v>0.004277159966</v>
      </c>
      <c r="E696" s="11" t="s">
        <v>530</v>
      </c>
      <c r="F696" s="12">
        <v>15767.55</v>
      </c>
      <c r="G696" s="11">
        <v>-0.00640862</v>
      </c>
      <c r="H696" s="13">
        <v>-0.0064</v>
      </c>
      <c r="J696" s="15"/>
      <c r="K696" s="11"/>
      <c r="L696" s="11"/>
      <c r="M696" s="11"/>
      <c r="N696" s="11"/>
    </row>
    <row r="697" ht="15.75" customHeight="1">
      <c r="A697" s="11" t="s">
        <v>531</v>
      </c>
      <c r="B697" s="38">
        <v>175.35</v>
      </c>
      <c r="C697" s="11">
        <f t="shared" si="1"/>
        <v>0</v>
      </c>
      <c r="D697" s="13">
        <f t="shared" si="2"/>
        <v>0</v>
      </c>
      <c r="E697" s="11" t="s">
        <v>531</v>
      </c>
      <c r="F697" s="12">
        <v>15869.25</v>
      </c>
      <c r="G697" s="11">
        <v>0.003630189</v>
      </c>
      <c r="H697" s="13">
        <v>0.0036</v>
      </c>
      <c r="J697" s="15"/>
      <c r="K697" s="11"/>
      <c r="L697" s="11"/>
      <c r="M697" s="11"/>
      <c r="N697" s="11"/>
    </row>
    <row r="698" ht="15.75" customHeight="1">
      <c r="A698" s="11" t="s">
        <v>532</v>
      </c>
      <c r="B698" s="38">
        <v>175.35</v>
      </c>
      <c r="C698" s="11">
        <f t="shared" si="1"/>
        <v>-0.01044018059</v>
      </c>
      <c r="D698" s="13">
        <f t="shared" si="2"/>
        <v>-0.01044018059</v>
      </c>
      <c r="E698" s="11" t="s">
        <v>532</v>
      </c>
      <c r="F698" s="12">
        <v>15811.85</v>
      </c>
      <c r="G698" s="11">
        <v>7.91172E-4</v>
      </c>
      <c r="H698" s="13">
        <v>8.0E-4</v>
      </c>
      <c r="J698" s="15"/>
      <c r="K698" s="11"/>
      <c r="L698" s="11"/>
      <c r="M698" s="11"/>
      <c r="N698" s="11"/>
    </row>
    <row r="699" ht="15.75" customHeight="1">
      <c r="A699" s="35">
        <v>44506.0</v>
      </c>
      <c r="B699" s="38">
        <v>177.2</v>
      </c>
      <c r="C699" s="11">
        <f t="shared" si="1"/>
        <v>0.008537279454</v>
      </c>
      <c r="D699" s="13">
        <f t="shared" si="2"/>
        <v>0.008537279454</v>
      </c>
      <c r="E699" s="35">
        <v>44506.0</v>
      </c>
      <c r="F699" s="12">
        <v>15799.35</v>
      </c>
      <c r="G699" s="11">
        <v>0.003914155</v>
      </c>
      <c r="H699" s="13">
        <v>0.0039</v>
      </c>
      <c r="J699" s="15"/>
      <c r="K699" s="11"/>
      <c r="L699" s="11"/>
      <c r="M699" s="11"/>
      <c r="N699" s="11"/>
    </row>
    <row r="700" ht="15.75" customHeight="1">
      <c r="A700" s="35">
        <v>44475.0</v>
      </c>
      <c r="B700" s="38">
        <v>175.7</v>
      </c>
      <c r="C700" s="11">
        <f t="shared" si="1"/>
        <v>-0.005940594059</v>
      </c>
      <c r="D700" s="13">
        <f t="shared" si="2"/>
        <v>-0.005940594059</v>
      </c>
      <c r="E700" s="35">
        <v>44475.0</v>
      </c>
      <c r="F700" s="12">
        <v>15737.75</v>
      </c>
      <c r="G700" s="11">
        <v>0.006549262</v>
      </c>
      <c r="H700" s="13">
        <v>0.0065</v>
      </c>
      <c r="J700" s="15"/>
      <c r="K700" s="11"/>
      <c r="L700" s="11"/>
      <c r="M700" s="11"/>
      <c r="N700" s="11"/>
    </row>
    <row r="701" ht="15.75" customHeight="1">
      <c r="A701" s="35">
        <v>44445.0</v>
      </c>
      <c r="B701" s="38">
        <v>176.75</v>
      </c>
      <c r="C701" s="11">
        <f t="shared" si="1"/>
        <v>-0.01723658604</v>
      </c>
      <c r="D701" s="13">
        <f t="shared" si="2"/>
        <v>-0.01723658604</v>
      </c>
      <c r="E701" s="35">
        <v>44445.0</v>
      </c>
      <c r="F701" s="12">
        <v>15635.35</v>
      </c>
      <c r="G701" s="11">
        <v>-0.006654977</v>
      </c>
      <c r="H701" s="13">
        <v>-0.0067</v>
      </c>
      <c r="J701" s="15"/>
      <c r="K701" s="11"/>
      <c r="L701" s="11"/>
      <c r="M701" s="11"/>
      <c r="N701" s="11"/>
    </row>
    <row r="702" ht="15.75" customHeight="1">
      <c r="A702" s="35">
        <v>44414.0</v>
      </c>
      <c r="B702" s="38">
        <v>179.85</v>
      </c>
      <c r="C702" s="11">
        <f t="shared" si="1"/>
        <v>0.003907340218</v>
      </c>
      <c r="D702" s="13">
        <f t="shared" si="2"/>
        <v>0.003907340218</v>
      </c>
      <c r="E702" s="35">
        <v>44414.0</v>
      </c>
      <c r="F702" s="12">
        <v>15740.1</v>
      </c>
      <c r="G702" s="11">
        <v>-7.33257E-4</v>
      </c>
      <c r="H702" s="13">
        <v>-7.0E-4</v>
      </c>
      <c r="J702" s="15"/>
      <c r="K702" s="11"/>
      <c r="L702" s="11"/>
      <c r="M702" s="11"/>
      <c r="N702" s="11"/>
    </row>
    <row r="703" ht="15.75" customHeight="1">
      <c r="A703" s="35">
        <v>44383.0</v>
      </c>
      <c r="B703" s="38">
        <v>179.15</v>
      </c>
      <c r="C703" s="11">
        <f t="shared" si="1"/>
        <v>-0.0334502293</v>
      </c>
      <c r="D703" s="13">
        <f t="shared" si="2"/>
        <v>-0.0334502293</v>
      </c>
      <c r="E703" s="35">
        <v>44383.0</v>
      </c>
      <c r="F703" s="12">
        <v>15751.65</v>
      </c>
      <c r="G703" s="11">
        <v>0.005194557</v>
      </c>
      <c r="H703" s="13">
        <v>0.0052</v>
      </c>
      <c r="J703" s="15"/>
      <c r="K703" s="11"/>
      <c r="L703" s="11"/>
      <c r="M703" s="11"/>
      <c r="N703" s="11"/>
    </row>
    <row r="704" ht="15.75" customHeight="1">
      <c r="A704" s="35">
        <v>44292.0</v>
      </c>
      <c r="B704" s="38">
        <v>185.35</v>
      </c>
      <c r="C704" s="11">
        <f t="shared" si="1"/>
        <v>0.03954010095</v>
      </c>
      <c r="D704" s="13">
        <f t="shared" si="2"/>
        <v>0.03954010095</v>
      </c>
      <c r="E704" s="35">
        <v>44292.0</v>
      </c>
      <c r="F704" s="12">
        <v>15670.25</v>
      </c>
      <c r="G704" s="11">
        <v>-0.001281042</v>
      </c>
      <c r="H704" s="13">
        <v>-0.0013</v>
      </c>
      <c r="J704" s="15"/>
      <c r="K704" s="11"/>
      <c r="L704" s="11"/>
      <c r="M704" s="11"/>
      <c r="N704" s="11"/>
    </row>
    <row r="705" ht="15.75" customHeight="1">
      <c r="A705" s="35">
        <v>44261.0</v>
      </c>
      <c r="B705" s="38">
        <v>178.3</v>
      </c>
      <c r="C705" s="11">
        <f t="shared" si="1"/>
        <v>-0.01898211829</v>
      </c>
      <c r="D705" s="13">
        <f t="shared" si="2"/>
        <v>-0.01898211829</v>
      </c>
      <c r="E705" s="35">
        <v>44261.0</v>
      </c>
      <c r="F705" s="12">
        <v>15690.35</v>
      </c>
      <c r="G705" s="11">
        <v>0.007328488</v>
      </c>
      <c r="H705" s="13">
        <v>0.0073</v>
      </c>
      <c r="J705" s="15"/>
      <c r="K705" s="11"/>
      <c r="L705" s="11"/>
      <c r="M705" s="11"/>
      <c r="N705" s="11"/>
    </row>
    <row r="706" ht="15.75" customHeight="1">
      <c r="A706" s="35">
        <v>44233.0</v>
      </c>
      <c r="B706" s="38">
        <v>181.75</v>
      </c>
      <c r="C706" s="11">
        <f t="shared" si="1"/>
        <v>0.04997111496</v>
      </c>
      <c r="D706" s="13">
        <f t="shared" si="2"/>
        <v>0.04997111496</v>
      </c>
      <c r="E706" s="35">
        <v>44233.0</v>
      </c>
      <c r="F706" s="12">
        <v>15576.2</v>
      </c>
      <c r="G706" s="45">
        <v>8.66782E-5</v>
      </c>
      <c r="H706" s="13">
        <v>1.0E-4</v>
      </c>
      <c r="J706" s="15"/>
      <c r="K706" s="11"/>
      <c r="L706" s="11"/>
      <c r="M706" s="11"/>
      <c r="N706" s="11"/>
    </row>
    <row r="707" ht="15.75" customHeight="1">
      <c r="A707" s="35">
        <v>44202.0</v>
      </c>
      <c r="B707" s="38">
        <v>173.1</v>
      </c>
      <c r="C707" s="11">
        <f t="shared" si="1"/>
        <v>0.002316155182</v>
      </c>
      <c r="D707" s="13">
        <f t="shared" si="2"/>
        <v>0.002316155182</v>
      </c>
      <c r="E707" s="35">
        <v>44202.0</v>
      </c>
      <c r="F707" s="12">
        <v>15574.85</v>
      </c>
      <c r="G707" s="11">
        <v>-5.10178E-4</v>
      </c>
      <c r="H707" s="13">
        <v>-5.0E-4</v>
      </c>
      <c r="J707" s="15"/>
      <c r="K707" s="11"/>
      <c r="L707" s="11"/>
      <c r="M707" s="11"/>
      <c r="N707" s="11"/>
    </row>
    <row r="708" ht="15.75" customHeight="1">
      <c r="A708" s="11" t="s">
        <v>533</v>
      </c>
      <c r="B708" s="38">
        <v>172.7</v>
      </c>
      <c r="C708" s="11">
        <f t="shared" si="1"/>
        <v>-0.02125247946</v>
      </c>
      <c r="D708" s="13">
        <f t="shared" si="2"/>
        <v>-0.02125247946</v>
      </c>
      <c r="E708" s="11" t="s">
        <v>533</v>
      </c>
      <c r="F708" s="12">
        <v>15582.8</v>
      </c>
      <c r="G708" s="11">
        <v>0.009533126</v>
      </c>
      <c r="H708" s="13">
        <v>0.0095</v>
      </c>
      <c r="J708" s="15"/>
      <c r="K708" s="11"/>
      <c r="L708" s="11"/>
      <c r="M708" s="11"/>
      <c r="N708" s="11"/>
    </row>
    <row r="709" ht="15.75" customHeight="1">
      <c r="A709" s="11" t="s">
        <v>534</v>
      </c>
      <c r="B709" s="38">
        <v>176.45</v>
      </c>
      <c r="C709" s="11">
        <f t="shared" si="1"/>
        <v>-0.008429334083</v>
      </c>
      <c r="D709" s="13">
        <f t="shared" si="2"/>
        <v>-0.008429334083</v>
      </c>
      <c r="E709" s="11" t="s">
        <v>534</v>
      </c>
      <c r="F709" s="12">
        <v>15435.65</v>
      </c>
      <c r="G709" s="11">
        <v>0.006376383</v>
      </c>
      <c r="H709" s="13">
        <v>0.0064</v>
      </c>
      <c r="J709" s="15"/>
      <c r="K709" s="11"/>
      <c r="L709" s="11"/>
      <c r="M709" s="11"/>
      <c r="N709" s="11"/>
    </row>
    <row r="710" ht="15.75" customHeight="1">
      <c r="A710" s="11" t="s">
        <v>535</v>
      </c>
      <c r="B710" s="38">
        <v>177.95</v>
      </c>
      <c r="C710" s="11">
        <f t="shared" si="1"/>
        <v>-0.02009911894</v>
      </c>
      <c r="D710" s="13">
        <f t="shared" si="2"/>
        <v>-0.02009911894</v>
      </c>
      <c r="E710" s="11" t="s">
        <v>535</v>
      </c>
      <c r="F710" s="12">
        <v>15337.85</v>
      </c>
      <c r="G710" s="11">
        <v>0.00237886</v>
      </c>
      <c r="H710" s="13">
        <v>0.0024</v>
      </c>
      <c r="J710" s="15"/>
      <c r="K710" s="11"/>
      <c r="L710" s="11"/>
      <c r="M710" s="11"/>
      <c r="N710" s="11"/>
    </row>
    <row r="711" ht="15.75" customHeight="1">
      <c r="A711" s="11" t="s">
        <v>536</v>
      </c>
      <c r="B711" s="38">
        <v>181.6</v>
      </c>
      <c r="C711" s="11">
        <f t="shared" si="1"/>
        <v>-0.01008449169</v>
      </c>
      <c r="D711" s="13">
        <f t="shared" si="2"/>
        <v>-0.01008449169</v>
      </c>
      <c r="E711" s="11" t="s">
        <v>536</v>
      </c>
      <c r="F711" s="12">
        <v>15301.45</v>
      </c>
      <c r="G711" s="11">
        <v>0.006115022</v>
      </c>
      <c r="H711" s="13">
        <v>0.0061</v>
      </c>
      <c r="J711" s="15"/>
      <c r="K711" s="11"/>
      <c r="L711" s="11"/>
      <c r="M711" s="11"/>
      <c r="N711" s="11"/>
    </row>
    <row r="712" ht="15.75" customHeight="1">
      <c r="A712" s="11" t="s">
        <v>537</v>
      </c>
      <c r="B712" s="38">
        <v>183.45</v>
      </c>
      <c r="C712" s="11">
        <f t="shared" si="1"/>
        <v>0.04888507719</v>
      </c>
      <c r="D712" s="13">
        <f t="shared" si="2"/>
        <v>0.04888507719</v>
      </c>
      <c r="E712" s="11" t="s">
        <v>537</v>
      </c>
      <c r="F712" s="12">
        <v>15208.45</v>
      </c>
      <c r="G712" s="11">
        <v>7.07344E-4</v>
      </c>
      <c r="H712" s="13">
        <v>7.0E-4</v>
      </c>
      <c r="J712" s="15"/>
      <c r="K712" s="11"/>
      <c r="L712" s="11"/>
      <c r="M712" s="11"/>
      <c r="N712" s="11"/>
    </row>
    <row r="713" ht="15.75" customHeight="1">
      <c r="A713" s="11" t="s">
        <v>538</v>
      </c>
      <c r="B713" s="38">
        <v>174.9</v>
      </c>
      <c r="C713" s="11">
        <f t="shared" si="1"/>
        <v>-0.00653223516</v>
      </c>
      <c r="D713" s="13">
        <f t="shared" si="2"/>
        <v>-0.00653223516</v>
      </c>
      <c r="E713" s="11" t="s">
        <v>538</v>
      </c>
      <c r="F713" s="12">
        <v>15197.7</v>
      </c>
      <c r="G713" s="11">
        <v>0.001476083</v>
      </c>
      <c r="H713" s="13">
        <v>0.0015</v>
      </c>
      <c r="J713" s="15"/>
      <c r="K713" s="11"/>
      <c r="L713" s="11"/>
      <c r="M713" s="11"/>
      <c r="N713" s="11"/>
    </row>
    <row r="714" ht="15.75" customHeight="1">
      <c r="A714" s="11" t="s">
        <v>539</v>
      </c>
      <c r="B714" s="38">
        <v>176.05</v>
      </c>
      <c r="C714" s="11">
        <f t="shared" si="1"/>
        <v>-0.003678551217</v>
      </c>
      <c r="D714" s="13">
        <f t="shared" si="2"/>
        <v>-0.003678551217</v>
      </c>
      <c r="E714" s="11" t="s">
        <v>539</v>
      </c>
      <c r="F714" s="12">
        <v>15175.3</v>
      </c>
      <c r="G714" s="11">
        <v>0.018063135</v>
      </c>
      <c r="H714" s="13">
        <v>0.0181</v>
      </c>
      <c r="J714" s="15"/>
      <c r="K714" s="11"/>
      <c r="L714" s="11"/>
      <c r="M714" s="11"/>
      <c r="N714" s="11"/>
    </row>
    <row r="715" ht="15.75" customHeight="1">
      <c r="A715" s="11" t="s">
        <v>540</v>
      </c>
      <c r="B715" s="38">
        <v>176.7</v>
      </c>
      <c r="C715" s="11">
        <f t="shared" si="1"/>
        <v>-0.01642081826</v>
      </c>
      <c r="D715" s="13">
        <f t="shared" si="2"/>
        <v>-0.01642081826</v>
      </c>
      <c r="E715" s="11" t="s">
        <v>540</v>
      </c>
      <c r="F715" s="12">
        <v>14906.05</v>
      </c>
      <c r="G715" s="11">
        <v>-0.008256737</v>
      </c>
      <c r="H715" s="13">
        <v>-0.0083</v>
      </c>
      <c r="J715" s="15"/>
      <c r="K715" s="11"/>
      <c r="L715" s="11"/>
      <c r="M715" s="11"/>
      <c r="N715" s="11"/>
    </row>
    <row r="716" ht="15.75" customHeight="1">
      <c r="A716" s="11" t="s">
        <v>541</v>
      </c>
      <c r="B716" s="38">
        <v>179.65</v>
      </c>
      <c r="C716" s="11">
        <f t="shared" si="1"/>
        <v>-0.0002782415136</v>
      </c>
      <c r="D716" s="13">
        <f t="shared" si="2"/>
        <v>-0.0002782415136</v>
      </c>
      <c r="E716" s="11" t="s">
        <v>541</v>
      </c>
      <c r="F716" s="12">
        <v>15030.15</v>
      </c>
      <c r="G716" s="11">
        <v>-0.005159484</v>
      </c>
      <c r="H716" s="13">
        <v>-0.0052</v>
      </c>
      <c r="J716" s="15"/>
      <c r="K716" s="11"/>
      <c r="L716" s="11"/>
      <c r="M716" s="11"/>
      <c r="N716" s="11"/>
    </row>
    <row r="717" ht="15.75" customHeight="1">
      <c r="A717" s="11" t="s">
        <v>542</v>
      </c>
      <c r="B717" s="38">
        <v>179.7</v>
      </c>
      <c r="C717" s="11">
        <f t="shared" si="1"/>
        <v>0.01697792869</v>
      </c>
      <c r="D717" s="13">
        <f t="shared" si="2"/>
        <v>0.01697792869</v>
      </c>
      <c r="E717" s="11" t="s">
        <v>542</v>
      </c>
      <c r="F717" s="12">
        <v>15108.1</v>
      </c>
      <c r="G717" s="11">
        <v>0.012393496</v>
      </c>
      <c r="H717" s="13">
        <v>0.0124</v>
      </c>
      <c r="J717" s="15"/>
      <c r="K717" s="11"/>
      <c r="L717" s="11"/>
      <c r="M717" s="11"/>
      <c r="N717" s="11"/>
    </row>
    <row r="718" ht="15.75" customHeight="1">
      <c r="A718" s="11" t="s">
        <v>543</v>
      </c>
      <c r="B718" s="38">
        <v>176.7</v>
      </c>
      <c r="C718" s="11">
        <f t="shared" si="1"/>
        <v>0.01058049757</v>
      </c>
      <c r="D718" s="13">
        <f t="shared" si="2"/>
        <v>0.01058049757</v>
      </c>
      <c r="E718" s="11" t="s">
        <v>543</v>
      </c>
      <c r="F718" s="12">
        <v>14923.15</v>
      </c>
      <c r="G718" s="11">
        <v>0.01671572</v>
      </c>
      <c r="H718" s="13">
        <v>0.0167</v>
      </c>
      <c r="J718" s="15"/>
      <c r="K718" s="11"/>
      <c r="L718" s="11"/>
      <c r="M718" s="11"/>
      <c r="N718" s="11"/>
    </row>
    <row r="719" ht="15.75" customHeight="1">
      <c r="A719" s="11" t="s">
        <v>544</v>
      </c>
      <c r="B719" s="38">
        <v>174.85</v>
      </c>
      <c r="C719" s="11">
        <f t="shared" si="1"/>
        <v>-0.03531034483</v>
      </c>
      <c r="D719" s="13">
        <f t="shared" si="2"/>
        <v>-0.03531034483</v>
      </c>
      <c r="E719" s="11" t="s">
        <v>544</v>
      </c>
      <c r="F719" s="12">
        <v>14677.8</v>
      </c>
      <c r="G719" s="11">
        <v>-0.001272412</v>
      </c>
      <c r="H719" s="13">
        <v>-0.0013</v>
      </c>
      <c r="J719" s="15"/>
      <c r="K719" s="11"/>
      <c r="L719" s="11"/>
      <c r="M719" s="11"/>
      <c r="N719" s="11"/>
    </row>
    <row r="720" ht="15.75" customHeight="1">
      <c r="A720" s="35">
        <v>44535.0</v>
      </c>
      <c r="B720" s="38">
        <v>181.25</v>
      </c>
      <c r="C720" s="11">
        <f t="shared" si="1"/>
        <v>0.001934770591</v>
      </c>
      <c r="D720" s="13">
        <f t="shared" si="2"/>
        <v>0.001934770591</v>
      </c>
      <c r="E720" s="35">
        <v>44535.0</v>
      </c>
      <c r="F720" s="12">
        <v>14696.5</v>
      </c>
      <c r="G720" s="11">
        <v>-0.010386681</v>
      </c>
      <c r="H720" s="13">
        <v>-0.0104</v>
      </c>
      <c r="J720" s="15"/>
      <c r="K720" s="11"/>
      <c r="L720" s="11"/>
      <c r="M720" s="11"/>
      <c r="N720" s="11"/>
    </row>
    <row r="721" ht="15.75" customHeight="1">
      <c r="A721" s="35">
        <v>44505.0</v>
      </c>
      <c r="B721" s="38">
        <v>180.9</v>
      </c>
      <c r="C721" s="11">
        <f t="shared" si="1"/>
        <v>-0.02083897158</v>
      </c>
      <c r="D721" s="13">
        <f t="shared" si="2"/>
        <v>-0.02083897158</v>
      </c>
      <c r="E721" s="35">
        <v>44505.0</v>
      </c>
      <c r="F721" s="12">
        <v>14850.75</v>
      </c>
      <c r="G721" s="11">
        <v>-0.006130227</v>
      </c>
      <c r="H721" s="13">
        <v>-0.0061</v>
      </c>
      <c r="J721" s="15"/>
      <c r="K721" s="11"/>
      <c r="L721" s="11"/>
      <c r="M721" s="11"/>
      <c r="N721" s="11"/>
    </row>
    <row r="722" ht="15.75" customHeight="1">
      <c r="A722" s="35">
        <v>44474.0</v>
      </c>
      <c r="B722" s="38">
        <v>184.75</v>
      </c>
      <c r="C722" s="11">
        <f t="shared" si="1"/>
        <v>-0.01519189765</v>
      </c>
      <c r="D722" s="13">
        <f t="shared" si="2"/>
        <v>-0.01519189765</v>
      </c>
      <c r="E722" s="35">
        <v>44474.0</v>
      </c>
      <c r="F722" s="12">
        <v>14942.35</v>
      </c>
      <c r="G722" s="11">
        <v>0.008041476</v>
      </c>
      <c r="H722" s="13">
        <v>0.008</v>
      </c>
      <c r="J722" s="15"/>
      <c r="K722" s="11"/>
      <c r="L722" s="11"/>
      <c r="M722" s="11"/>
      <c r="N722" s="11"/>
    </row>
    <row r="723" ht="15.75" customHeight="1">
      <c r="A723" s="35">
        <v>44382.0</v>
      </c>
      <c r="B723" s="38">
        <v>187.6</v>
      </c>
      <c r="C723" s="11">
        <f t="shared" si="1"/>
        <v>-0.003188097768</v>
      </c>
      <c r="D723" s="13">
        <f t="shared" si="2"/>
        <v>-0.003188097768</v>
      </c>
      <c r="E723" s="35">
        <v>44382.0</v>
      </c>
      <c r="F723" s="12">
        <v>14823.15</v>
      </c>
      <c r="G723" s="11">
        <v>0.006679208</v>
      </c>
      <c r="H723" s="13">
        <v>0.0067</v>
      </c>
      <c r="J723" s="15"/>
      <c r="K723" s="11"/>
      <c r="L723" s="11"/>
      <c r="M723" s="11"/>
      <c r="N723" s="11"/>
    </row>
    <row r="724" ht="15.75" customHeight="1">
      <c r="A724" s="35">
        <v>44352.0</v>
      </c>
      <c r="B724" s="38">
        <v>188.2</v>
      </c>
      <c r="C724" s="11">
        <f t="shared" si="1"/>
        <v>0.04993026499</v>
      </c>
      <c r="D724" s="13">
        <f t="shared" si="2"/>
        <v>0.04993026499</v>
      </c>
      <c r="E724" s="35">
        <v>44352.0</v>
      </c>
      <c r="F724" s="12">
        <v>14724.8</v>
      </c>
      <c r="G724" s="11">
        <v>0.007316397</v>
      </c>
      <c r="H724" s="13">
        <v>0.0073</v>
      </c>
      <c r="J724" s="15"/>
      <c r="K724" s="11"/>
      <c r="L724" s="11"/>
      <c r="M724" s="11"/>
      <c r="N724" s="11"/>
    </row>
    <row r="725" ht="15.75" customHeight="1">
      <c r="A725" s="35">
        <v>44321.0</v>
      </c>
      <c r="B725" s="38">
        <v>179.25</v>
      </c>
      <c r="C725" s="11">
        <f t="shared" si="1"/>
        <v>-0.0118522602</v>
      </c>
      <c r="D725" s="13">
        <f t="shared" si="2"/>
        <v>-0.0118522602</v>
      </c>
      <c r="E725" s="35">
        <v>44321.0</v>
      </c>
      <c r="F725" s="12">
        <v>14617.85</v>
      </c>
      <c r="G725" s="11">
        <v>0.008370986</v>
      </c>
      <c r="H725" s="13">
        <v>0.0084</v>
      </c>
      <c r="J725" s="15"/>
      <c r="K725" s="11"/>
      <c r="L725" s="11"/>
      <c r="M725" s="11"/>
      <c r="N725" s="11"/>
    </row>
    <row r="726" ht="15.75" customHeight="1">
      <c r="A726" s="35">
        <v>44291.0</v>
      </c>
      <c r="B726" s="38">
        <v>181.4</v>
      </c>
      <c r="C726" s="11">
        <f t="shared" si="1"/>
        <v>-0.03020582732</v>
      </c>
      <c r="D726" s="13">
        <f t="shared" si="2"/>
        <v>-0.03020582732</v>
      </c>
      <c r="E726" s="35">
        <v>44291.0</v>
      </c>
      <c r="F726" s="12">
        <v>14496.5</v>
      </c>
      <c r="G726" s="11">
        <v>-0.009406081</v>
      </c>
      <c r="H726" s="13">
        <v>-0.0094</v>
      </c>
      <c r="J726" s="15"/>
      <c r="K726" s="11"/>
      <c r="L726" s="11"/>
      <c r="M726" s="11"/>
      <c r="N726" s="11"/>
    </row>
    <row r="727" ht="15.75" customHeight="1">
      <c r="A727" s="35">
        <v>44260.0</v>
      </c>
      <c r="B727" s="38">
        <v>187.05</v>
      </c>
      <c r="C727" s="11">
        <f t="shared" si="1"/>
        <v>-0.003728362184</v>
      </c>
      <c r="D727" s="13">
        <f t="shared" si="2"/>
        <v>-0.003728362184</v>
      </c>
      <c r="E727" s="35">
        <v>44260.0</v>
      </c>
      <c r="F727" s="12">
        <v>14634.15</v>
      </c>
      <c r="G727" s="11">
        <v>2.0846E-4</v>
      </c>
      <c r="H727" s="13">
        <v>2.0E-4</v>
      </c>
      <c r="J727" s="15"/>
      <c r="K727" s="11"/>
      <c r="L727" s="11"/>
      <c r="M727" s="11"/>
      <c r="N727" s="11"/>
    </row>
    <row r="728" ht="15.75" customHeight="1">
      <c r="A728" s="11" t="s">
        <v>545</v>
      </c>
      <c r="B728" s="38">
        <v>187.75</v>
      </c>
      <c r="C728" s="11">
        <f t="shared" si="1"/>
        <v>-0.01675831369</v>
      </c>
      <c r="D728" s="13">
        <f t="shared" si="2"/>
        <v>-0.01675831369</v>
      </c>
      <c r="E728" s="11" t="s">
        <v>545</v>
      </c>
      <c r="F728" s="12">
        <v>14631.1</v>
      </c>
      <c r="G728" s="11">
        <v>-0.01771076</v>
      </c>
      <c r="H728" s="13">
        <v>-0.0177</v>
      </c>
      <c r="J728" s="15"/>
      <c r="K728" s="11"/>
      <c r="L728" s="11"/>
      <c r="M728" s="11"/>
      <c r="N728" s="11"/>
    </row>
    <row r="729" ht="15.75" customHeight="1">
      <c r="A729" s="11" t="s">
        <v>546</v>
      </c>
      <c r="B729" s="38">
        <v>190.95</v>
      </c>
      <c r="C729" s="11">
        <f t="shared" si="1"/>
        <v>-0.04501125281</v>
      </c>
      <c r="D729" s="13">
        <f t="shared" si="2"/>
        <v>-0.04501125281</v>
      </c>
      <c r="E729" s="11" t="s">
        <v>546</v>
      </c>
      <c r="F729" s="12">
        <v>14894.9</v>
      </c>
      <c r="G729" s="11">
        <v>0.002041771</v>
      </c>
      <c r="H729" s="13">
        <v>0.002</v>
      </c>
      <c r="J729" s="15"/>
      <c r="K729" s="11"/>
      <c r="L729" s="11"/>
      <c r="M729" s="11"/>
      <c r="N729" s="11"/>
    </row>
    <row r="730" ht="15.75" customHeight="1">
      <c r="A730" s="11" t="s">
        <v>547</v>
      </c>
      <c r="B730" s="38">
        <v>199.95</v>
      </c>
      <c r="C730" s="11">
        <f t="shared" si="1"/>
        <v>0.04576359833</v>
      </c>
      <c r="D730" s="13">
        <f t="shared" si="2"/>
        <v>0.04576359833</v>
      </c>
      <c r="E730" s="11" t="s">
        <v>547</v>
      </c>
      <c r="F730" s="12">
        <v>14864.55</v>
      </c>
      <c r="G730" s="11">
        <v>0.014433855</v>
      </c>
      <c r="H730" s="13">
        <v>0.0144</v>
      </c>
      <c r="J730" s="15"/>
      <c r="K730" s="11"/>
      <c r="L730" s="11"/>
      <c r="M730" s="11"/>
      <c r="N730" s="11"/>
    </row>
    <row r="731" ht="15.75" customHeight="1">
      <c r="A731" s="11" t="s">
        <v>548</v>
      </c>
      <c r="B731" s="38">
        <v>191.2</v>
      </c>
      <c r="C731" s="11">
        <f t="shared" si="1"/>
        <v>-0.01214156549</v>
      </c>
      <c r="D731" s="13">
        <f t="shared" si="2"/>
        <v>-0.01214156549</v>
      </c>
      <c r="E731" s="11" t="s">
        <v>548</v>
      </c>
      <c r="F731" s="12">
        <v>14653.05</v>
      </c>
      <c r="G731" s="11">
        <v>0.011601657</v>
      </c>
      <c r="H731" s="13">
        <v>0.0116</v>
      </c>
      <c r="J731" s="15"/>
      <c r="K731" s="11"/>
      <c r="L731" s="11"/>
      <c r="M731" s="11"/>
      <c r="N731" s="11"/>
    </row>
    <row r="732" ht="15.75" customHeight="1">
      <c r="A732" s="11" t="s">
        <v>549</v>
      </c>
      <c r="B732" s="38">
        <v>193.55</v>
      </c>
      <c r="C732" s="11">
        <f t="shared" si="1"/>
        <v>0.04990507187</v>
      </c>
      <c r="D732" s="13">
        <f t="shared" si="2"/>
        <v>0.04990507187</v>
      </c>
      <c r="E732" s="11" t="s">
        <v>549</v>
      </c>
      <c r="F732" s="12">
        <v>14485.0</v>
      </c>
      <c r="G732" s="11">
        <v>0.010016491</v>
      </c>
      <c r="H732" s="13">
        <v>0.01</v>
      </c>
      <c r="J732" s="15"/>
      <c r="K732" s="11"/>
      <c r="L732" s="11"/>
      <c r="M732" s="11"/>
      <c r="N732" s="11"/>
    </row>
    <row r="733" ht="15.75" customHeight="1">
      <c r="A733" s="11" t="s">
        <v>550</v>
      </c>
      <c r="B733" s="38">
        <v>184.35</v>
      </c>
      <c r="C733" s="11">
        <f t="shared" si="1"/>
        <v>0.04982915718</v>
      </c>
      <c r="D733" s="13">
        <f t="shared" si="2"/>
        <v>0.04982915718</v>
      </c>
      <c r="E733" s="11" t="s">
        <v>550</v>
      </c>
      <c r="F733" s="12">
        <v>14341.35</v>
      </c>
      <c r="G733" s="11">
        <v>-0.004498079</v>
      </c>
      <c r="H733" s="13">
        <v>-0.0045</v>
      </c>
      <c r="J733" s="15"/>
      <c r="K733" s="11"/>
      <c r="L733" s="11"/>
      <c r="M733" s="11"/>
      <c r="N733" s="11"/>
    </row>
    <row r="734" ht="15.75" customHeight="1">
      <c r="A734" s="11" t="s">
        <v>551</v>
      </c>
      <c r="B734" s="38">
        <v>175.6</v>
      </c>
      <c r="C734" s="11">
        <f t="shared" si="1"/>
        <v>0.04992526158</v>
      </c>
      <c r="D734" s="13">
        <f t="shared" si="2"/>
        <v>0.04992526158</v>
      </c>
      <c r="E734" s="11" t="s">
        <v>551</v>
      </c>
      <c r="F734" s="12">
        <v>14406.15</v>
      </c>
      <c r="G734" s="11">
        <v>0.007676758</v>
      </c>
      <c r="H734" s="13">
        <v>0.0077</v>
      </c>
      <c r="J734" s="15"/>
      <c r="K734" s="11"/>
      <c r="L734" s="11"/>
      <c r="M734" s="11"/>
      <c r="N734" s="11"/>
    </row>
    <row r="735" ht="15.75" customHeight="1">
      <c r="A735" s="11" t="s">
        <v>552</v>
      </c>
      <c r="B735" s="38">
        <v>167.25</v>
      </c>
      <c r="C735" s="11">
        <f t="shared" si="1"/>
        <v>0.04990583804</v>
      </c>
      <c r="D735" s="13">
        <f t="shared" si="2"/>
        <v>0.04990583804</v>
      </c>
      <c r="E735" s="11" t="s">
        <v>552</v>
      </c>
      <c r="F735" s="12">
        <v>14296.4</v>
      </c>
      <c r="G735" s="11">
        <v>-0.004390837</v>
      </c>
      <c r="H735" s="13">
        <v>-0.0044</v>
      </c>
      <c r="J735" s="15"/>
      <c r="K735" s="11"/>
      <c r="L735" s="11"/>
      <c r="M735" s="11"/>
      <c r="N735" s="11"/>
    </row>
    <row r="736" ht="15.75" customHeight="1">
      <c r="A736" s="11" t="s">
        <v>553</v>
      </c>
      <c r="B736" s="38">
        <v>159.3</v>
      </c>
      <c r="C736" s="11">
        <f t="shared" si="1"/>
        <v>-0.03688029021</v>
      </c>
      <c r="D736" s="13">
        <f t="shared" si="2"/>
        <v>-0.03688029021</v>
      </c>
      <c r="E736" s="11" t="s">
        <v>553</v>
      </c>
      <c r="F736" s="12">
        <v>14359.45</v>
      </c>
      <c r="G736" s="11">
        <v>-0.017677018</v>
      </c>
      <c r="H736" s="13">
        <v>-0.0177</v>
      </c>
      <c r="J736" s="15"/>
      <c r="K736" s="11"/>
      <c r="L736" s="11"/>
      <c r="M736" s="11"/>
      <c r="N736" s="11"/>
    </row>
    <row r="737" ht="15.75" customHeight="1">
      <c r="A737" s="11" t="s">
        <v>554</v>
      </c>
      <c r="B737" s="38">
        <v>165.4</v>
      </c>
      <c r="C737" s="11">
        <f t="shared" si="1"/>
        <v>0.0200431699</v>
      </c>
      <c r="D737" s="13">
        <f t="shared" si="2"/>
        <v>0.0200431699</v>
      </c>
      <c r="E737" s="11" t="s">
        <v>554</v>
      </c>
      <c r="F737" s="12">
        <v>14617.85</v>
      </c>
      <c r="G737" s="11">
        <v>0.002496322</v>
      </c>
      <c r="H737" s="13">
        <v>0.0025</v>
      </c>
      <c r="J737" s="15"/>
      <c r="K737" s="11"/>
      <c r="L737" s="11"/>
      <c r="M737" s="11"/>
      <c r="N737" s="11"/>
    </row>
    <row r="738" ht="15.75" customHeight="1">
      <c r="A738" s="11" t="s">
        <v>555</v>
      </c>
      <c r="B738" s="38">
        <v>162.15</v>
      </c>
      <c r="C738" s="11">
        <f t="shared" si="1"/>
        <v>-0.02671068427</v>
      </c>
      <c r="D738" s="13">
        <f t="shared" si="2"/>
        <v>-0.02671068427</v>
      </c>
      <c r="E738" s="11" t="s">
        <v>555</v>
      </c>
      <c r="F738" s="12">
        <v>14581.45</v>
      </c>
      <c r="G738" s="11">
        <v>0.005284458</v>
      </c>
      <c r="H738" s="13">
        <v>0.0053</v>
      </c>
      <c r="J738" s="15"/>
      <c r="K738" s="11"/>
      <c r="L738" s="11"/>
      <c r="M738" s="11"/>
      <c r="N738" s="11"/>
    </row>
    <row r="739" ht="15.75" customHeight="1">
      <c r="A739" s="11" t="s">
        <v>556</v>
      </c>
      <c r="B739" s="38">
        <v>166.6</v>
      </c>
      <c r="C739" s="11">
        <f t="shared" si="1"/>
        <v>-0.02230046948</v>
      </c>
      <c r="D739" s="13">
        <f t="shared" si="2"/>
        <v>-0.02230046948</v>
      </c>
      <c r="E739" s="11" t="s">
        <v>556</v>
      </c>
      <c r="F739" s="12">
        <v>14504.8</v>
      </c>
      <c r="G739" s="11">
        <v>0.013556195</v>
      </c>
      <c r="H739" s="13">
        <v>0.0136</v>
      </c>
      <c r="J739" s="15"/>
      <c r="K739" s="11"/>
      <c r="L739" s="11"/>
      <c r="M739" s="11"/>
      <c r="N739" s="11"/>
    </row>
    <row r="740" ht="15.75" customHeight="1">
      <c r="A740" s="35">
        <v>44534.0</v>
      </c>
      <c r="B740" s="38">
        <v>170.4</v>
      </c>
      <c r="C740" s="11">
        <f t="shared" si="1"/>
        <v>-0.04990242543</v>
      </c>
      <c r="D740" s="13">
        <f t="shared" si="2"/>
        <v>-0.04990242543</v>
      </c>
      <c r="E740" s="35">
        <v>44534.0</v>
      </c>
      <c r="F740" s="12">
        <v>14310.8</v>
      </c>
      <c r="G740" s="11">
        <v>-0.035325602</v>
      </c>
      <c r="H740" s="13">
        <v>-0.0353</v>
      </c>
      <c r="J740" s="15"/>
      <c r="K740" s="11"/>
      <c r="L740" s="11"/>
      <c r="M740" s="11"/>
      <c r="N740" s="11"/>
    </row>
    <row r="741" ht="15.75" customHeight="1">
      <c r="A741" s="35">
        <v>44443.0</v>
      </c>
      <c r="B741" s="38">
        <v>179.35</v>
      </c>
      <c r="C741" s="11">
        <f t="shared" si="1"/>
        <v>0.01270468662</v>
      </c>
      <c r="D741" s="13">
        <f t="shared" si="2"/>
        <v>0.01270468662</v>
      </c>
      <c r="E741" s="35">
        <v>44443.0</v>
      </c>
      <c r="F741" s="12">
        <v>14834.85</v>
      </c>
      <c r="G741" s="11">
        <v>-0.002618699</v>
      </c>
      <c r="H741" s="13">
        <v>-0.0026</v>
      </c>
      <c r="J741" s="15"/>
      <c r="K741" s="11"/>
      <c r="L741" s="11"/>
      <c r="M741" s="11"/>
      <c r="N741" s="11"/>
    </row>
    <row r="742" ht="15.75" customHeight="1">
      <c r="A742" s="35">
        <v>44412.0</v>
      </c>
      <c r="B742" s="38">
        <v>177.1</v>
      </c>
      <c r="C742" s="11">
        <f t="shared" si="1"/>
        <v>-0.02477973568</v>
      </c>
      <c r="D742" s="13">
        <f t="shared" si="2"/>
        <v>-0.02477973568</v>
      </c>
      <c r="E742" s="35">
        <v>44412.0</v>
      </c>
      <c r="F742" s="12">
        <v>14873.8</v>
      </c>
      <c r="G742" s="11">
        <v>0.003694569</v>
      </c>
      <c r="H742" s="13">
        <v>0.0037</v>
      </c>
      <c r="J742" s="15"/>
      <c r="K742" s="11"/>
      <c r="L742" s="11"/>
      <c r="M742" s="11"/>
      <c r="N742" s="11"/>
    </row>
    <row r="743" ht="15.75" customHeight="1">
      <c r="A743" s="35">
        <v>44381.0</v>
      </c>
      <c r="B743" s="38">
        <v>181.6</v>
      </c>
      <c r="C743" s="11">
        <f t="shared" si="1"/>
        <v>-0.01250679717</v>
      </c>
      <c r="D743" s="13">
        <f t="shared" si="2"/>
        <v>-0.01250679717</v>
      </c>
      <c r="E743" s="35">
        <v>44381.0</v>
      </c>
      <c r="F743" s="12">
        <v>14819.05</v>
      </c>
      <c r="G743" s="11">
        <v>0.00923145</v>
      </c>
      <c r="H743" s="13">
        <v>0.0092</v>
      </c>
      <c r="J743" s="15"/>
      <c r="K743" s="11"/>
      <c r="L743" s="11"/>
      <c r="M743" s="11"/>
      <c r="N743" s="11"/>
    </row>
    <row r="744" ht="15.75" customHeight="1">
      <c r="A744" s="35">
        <v>44351.0</v>
      </c>
      <c r="B744" s="38">
        <v>183.9</v>
      </c>
      <c r="C744" s="11">
        <f t="shared" si="1"/>
        <v>0.04995717956</v>
      </c>
      <c r="D744" s="13">
        <f t="shared" si="2"/>
        <v>0.04995717956</v>
      </c>
      <c r="E744" s="35">
        <v>44351.0</v>
      </c>
      <c r="F744" s="12">
        <v>14683.5</v>
      </c>
      <c r="G744" s="11">
        <v>0.003122054</v>
      </c>
      <c r="H744" s="13">
        <v>0.0031</v>
      </c>
      <c r="J744" s="15"/>
      <c r="K744" s="11"/>
      <c r="L744" s="11"/>
      <c r="M744" s="11"/>
      <c r="N744" s="11"/>
    </row>
    <row r="745" ht="15.75" customHeight="1">
      <c r="A745" s="35">
        <v>44320.0</v>
      </c>
      <c r="B745" s="38">
        <v>175.15</v>
      </c>
      <c r="C745" s="11">
        <f t="shared" si="1"/>
        <v>0.04974528019</v>
      </c>
      <c r="D745" s="13">
        <f t="shared" si="2"/>
        <v>0.04974528019</v>
      </c>
      <c r="E745" s="35">
        <v>44320.0</v>
      </c>
      <c r="F745" s="12">
        <v>14637.8</v>
      </c>
      <c r="G745" s="11">
        <v>-0.015439873</v>
      </c>
      <c r="H745" s="13">
        <v>-0.0154</v>
      </c>
      <c r="J745" s="15"/>
      <c r="K745" s="11"/>
      <c r="L745" s="11"/>
      <c r="M745" s="11"/>
      <c r="N745" s="11"/>
    </row>
    <row r="746" ht="15.75" customHeight="1">
      <c r="A746" s="35">
        <v>44200.0</v>
      </c>
      <c r="B746" s="38">
        <v>166.85</v>
      </c>
      <c r="C746" s="11">
        <v>0.068</v>
      </c>
      <c r="D746" s="13">
        <f t="shared" si="2"/>
        <v>0.068</v>
      </c>
      <c r="E746" s="35">
        <v>44200.0</v>
      </c>
      <c r="F746" s="12">
        <v>14867.35</v>
      </c>
      <c r="G746" s="11">
        <f>0.012</f>
        <v>0.012</v>
      </c>
      <c r="H746" s="13">
        <v>0.012</v>
      </c>
      <c r="J746" s="15"/>
      <c r="K746" s="11"/>
      <c r="L746" s="11"/>
      <c r="M746" s="11"/>
      <c r="N746" s="11"/>
    </row>
    <row r="747" ht="15.75" customHeight="1">
      <c r="A747" s="11"/>
      <c r="J747" s="15"/>
      <c r="K747" s="11"/>
      <c r="L747" s="11"/>
      <c r="M747" s="11"/>
      <c r="N747" s="11"/>
    </row>
    <row r="748" ht="15.75" customHeight="1">
      <c r="A748" s="11"/>
      <c r="J748" s="15"/>
      <c r="K748" s="11"/>
      <c r="L748" s="11"/>
      <c r="M748" s="11"/>
      <c r="N748" s="11"/>
    </row>
    <row r="749" ht="15.75" customHeight="1">
      <c r="A749" s="11"/>
      <c r="J749" s="15"/>
      <c r="K749" s="11"/>
      <c r="L749" s="11"/>
      <c r="M749" s="11"/>
      <c r="N749" s="11"/>
    </row>
    <row r="750" ht="15.75" customHeight="1">
      <c r="A750" s="11"/>
      <c r="J750" s="15"/>
      <c r="K750" s="11"/>
      <c r="L750" s="11"/>
      <c r="M750" s="11"/>
      <c r="N750" s="11"/>
    </row>
    <row r="751" ht="15.75" customHeight="1">
      <c r="A751" s="11"/>
      <c r="J751" s="15"/>
      <c r="K751" s="11"/>
      <c r="L751" s="11"/>
      <c r="M751" s="11"/>
      <c r="N751" s="11"/>
    </row>
    <row r="752" ht="15.75" customHeight="1">
      <c r="A752" s="11"/>
      <c r="J752" s="15"/>
      <c r="K752" s="11"/>
      <c r="L752" s="11"/>
      <c r="M752" s="11"/>
      <c r="N752" s="11"/>
    </row>
    <row r="753" ht="15.75" customHeight="1">
      <c r="A753" s="11"/>
      <c r="J753" s="15"/>
      <c r="K753" s="11"/>
      <c r="L753" s="11"/>
      <c r="M753" s="11"/>
      <c r="N753" s="11"/>
    </row>
    <row r="754" ht="15.75" customHeight="1">
      <c r="A754" s="11"/>
      <c r="J754" s="15"/>
      <c r="K754" s="11"/>
      <c r="L754" s="11"/>
      <c r="M754" s="11"/>
      <c r="N754" s="11"/>
    </row>
    <row r="755" ht="15.75" customHeight="1">
      <c r="A755" s="11"/>
      <c r="J755" s="15"/>
      <c r="K755" s="11"/>
      <c r="L755" s="11"/>
      <c r="M755" s="11"/>
      <c r="N755" s="11"/>
    </row>
    <row r="756" ht="15.75" customHeight="1">
      <c r="A756" s="11"/>
      <c r="J756" s="15"/>
      <c r="K756" s="11"/>
      <c r="L756" s="11"/>
      <c r="M756" s="11"/>
      <c r="N756" s="11"/>
    </row>
    <row r="757" ht="15.75" customHeight="1">
      <c r="A757" s="11"/>
      <c r="J757" s="15"/>
      <c r="K757" s="11"/>
      <c r="L757" s="11"/>
      <c r="M757" s="11"/>
      <c r="N757" s="11"/>
    </row>
    <row r="758" ht="15.75" customHeight="1">
      <c r="A758" s="11"/>
      <c r="J758" s="15"/>
      <c r="K758" s="11"/>
      <c r="L758" s="11"/>
      <c r="M758" s="11"/>
      <c r="N758" s="11"/>
    </row>
    <row r="759" ht="15.75" customHeight="1">
      <c r="A759" s="11"/>
      <c r="J759" s="15"/>
      <c r="K759" s="11"/>
      <c r="L759" s="11"/>
      <c r="M759" s="11"/>
      <c r="N759" s="11"/>
    </row>
    <row r="760" ht="15.75" customHeight="1">
      <c r="A760" s="11"/>
      <c r="J760" s="15"/>
      <c r="K760" s="11"/>
      <c r="L760" s="11"/>
      <c r="M760" s="11"/>
      <c r="N760" s="11"/>
    </row>
    <row r="761" ht="15.75" customHeight="1">
      <c r="A761" s="11"/>
      <c r="J761" s="15"/>
      <c r="K761" s="11"/>
      <c r="L761" s="11"/>
      <c r="M761" s="11"/>
      <c r="N761" s="11"/>
    </row>
    <row r="762" ht="15.75" customHeight="1">
      <c r="A762" s="11"/>
      <c r="J762" s="15"/>
      <c r="K762" s="11"/>
      <c r="L762" s="11"/>
      <c r="M762" s="11"/>
      <c r="N762" s="11"/>
    </row>
    <row r="763" ht="15.75" customHeight="1">
      <c r="A763" s="11"/>
      <c r="J763" s="15"/>
      <c r="K763" s="11"/>
      <c r="L763" s="11"/>
      <c r="M763" s="11"/>
      <c r="N763" s="11"/>
    </row>
    <row r="764" ht="15.75" customHeight="1">
      <c r="A764" s="11"/>
      <c r="J764" s="15"/>
      <c r="K764" s="11"/>
      <c r="L764" s="11"/>
      <c r="M764" s="11"/>
      <c r="N764" s="11"/>
    </row>
    <row r="765" ht="15.75" customHeight="1">
      <c r="A765" s="11"/>
      <c r="J765" s="15"/>
      <c r="K765" s="11"/>
      <c r="L765" s="11"/>
      <c r="M765" s="11"/>
      <c r="N765" s="11"/>
    </row>
    <row r="766" ht="15.75" customHeight="1">
      <c r="A766" s="11"/>
      <c r="J766" s="15"/>
      <c r="K766" s="11"/>
      <c r="L766" s="11"/>
      <c r="M766" s="11"/>
      <c r="N766" s="11"/>
    </row>
    <row r="767" ht="15.75" customHeight="1">
      <c r="A767" s="11"/>
      <c r="J767" s="15"/>
      <c r="K767" s="11"/>
      <c r="L767" s="11"/>
      <c r="M767" s="11"/>
      <c r="N767" s="11"/>
    </row>
    <row r="768" ht="15.75" customHeight="1">
      <c r="A768" s="11"/>
      <c r="J768" s="15"/>
      <c r="K768" s="11"/>
      <c r="L768" s="11"/>
      <c r="M768" s="11"/>
      <c r="N768" s="11"/>
    </row>
    <row r="769" ht="15.75" customHeight="1">
      <c r="A769" s="11"/>
      <c r="J769" s="15"/>
      <c r="K769" s="11"/>
      <c r="L769" s="11"/>
      <c r="M769" s="11"/>
      <c r="N769" s="11"/>
    </row>
    <row r="770" ht="15.75" customHeight="1">
      <c r="A770" s="11"/>
      <c r="J770" s="15"/>
      <c r="K770" s="11"/>
      <c r="L770" s="11"/>
      <c r="M770" s="11"/>
      <c r="N770" s="11"/>
    </row>
    <row r="771" ht="15.75" customHeight="1">
      <c r="A771" s="11"/>
      <c r="J771" s="15"/>
      <c r="K771" s="11"/>
      <c r="L771" s="11"/>
      <c r="M771" s="11"/>
      <c r="N771" s="11"/>
    </row>
    <row r="772" ht="15.75" customHeight="1">
      <c r="A772" s="11"/>
      <c r="J772" s="15"/>
      <c r="K772" s="11"/>
      <c r="L772" s="11"/>
      <c r="M772" s="11"/>
      <c r="N772" s="11"/>
    </row>
    <row r="773" ht="15.75" customHeight="1">
      <c r="A773" s="11"/>
      <c r="J773" s="15"/>
      <c r="K773" s="11"/>
      <c r="L773" s="11"/>
      <c r="M773" s="11"/>
      <c r="N773" s="11"/>
    </row>
    <row r="774" ht="15.75" customHeight="1">
      <c r="A774" s="11"/>
      <c r="J774" s="15"/>
      <c r="K774" s="11"/>
      <c r="L774" s="11"/>
      <c r="M774" s="11"/>
      <c r="N774" s="11"/>
    </row>
    <row r="775" ht="15.75" customHeight="1">
      <c r="A775" s="11"/>
      <c r="J775" s="15"/>
      <c r="K775" s="11"/>
      <c r="L775" s="11"/>
      <c r="M775" s="11"/>
      <c r="N775" s="11"/>
    </row>
    <row r="776" ht="15.75" customHeight="1">
      <c r="A776" s="11"/>
      <c r="J776" s="15"/>
      <c r="K776" s="11"/>
      <c r="L776" s="11"/>
      <c r="M776" s="11"/>
      <c r="N776" s="11"/>
    </row>
    <row r="777" ht="15.75" customHeight="1">
      <c r="A777" s="11"/>
      <c r="J777" s="15"/>
      <c r="K777" s="11"/>
      <c r="L777" s="11"/>
      <c r="M777" s="11"/>
      <c r="N777" s="11"/>
    </row>
    <row r="778" ht="15.75" customHeight="1">
      <c r="A778" s="11"/>
      <c r="J778" s="15"/>
      <c r="K778" s="11"/>
      <c r="L778" s="11"/>
      <c r="M778" s="11"/>
      <c r="N778" s="11"/>
    </row>
    <row r="779" ht="15.75" customHeight="1">
      <c r="A779" s="11"/>
      <c r="J779" s="15"/>
      <c r="K779" s="11"/>
      <c r="L779" s="11"/>
      <c r="M779" s="11"/>
      <c r="N779" s="11"/>
    </row>
    <row r="780" ht="15.75" customHeight="1">
      <c r="A780" s="11"/>
      <c r="J780" s="15"/>
      <c r="K780" s="11"/>
      <c r="L780" s="11"/>
      <c r="M780" s="11"/>
      <c r="N780" s="11"/>
    </row>
    <row r="781" ht="15.75" customHeight="1">
      <c r="A781" s="11"/>
      <c r="J781" s="15"/>
      <c r="K781" s="11"/>
      <c r="L781" s="11"/>
      <c r="M781" s="11"/>
      <c r="N781" s="11"/>
    </row>
    <row r="782" ht="15.75" customHeight="1">
      <c r="A782" s="11"/>
      <c r="J782" s="15"/>
      <c r="K782" s="11"/>
      <c r="L782" s="11"/>
      <c r="M782" s="11"/>
      <c r="N782" s="11"/>
    </row>
    <row r="783" ht="15.75" customHeight="1">
      <c r="A783" s="11"/>
      <c r="J783" s="15"/>
      <c r="K783" s="11"/>
      <c r="L783" s="11"/>
      <c r="M783" s="11"/>
      <c r="N783" s="11"/>
    </row>
    <row r="784" ht="15.75" customHeight="1">
      <c r="A784" s="11"/>
      <c r="J784" s="15"/>
      <c r="K784" s="11"/>
      <c r="L784" s="11"/>
      <c r="M784" s="11"/>
      <c r="N784" s="11"/>
    </row>
    <row r="785" ht="15.75" customHeight="1">
      <c r="A785" s="11"/>
      <c r="J785" s="15"/>
      <c r="K785" s="11"/>
      <c r="L785" s="11"/>
      <c r="M785" s="11"/>
      <c r="N785" s="11"/>
    </row>
    <row r="786" ht="15.75" customHeight="1">
      <c r="A786" s="11"/>
      <c r="J786" s="15"/>
      <c r="K786" s="11"/>
      <c r="L786" s="11"/>
      <c r="M786" s="11"/>
      <c r="N786" s="11"/>
    </row>
    <row r="787" ht="15.75" customHeight="1">
      <c r="A787" s="11"/>
      <c r="J787" s="15"/>
      <c r="K787" s="11"/>
      <c r="L787" s="11"/>
      <c r="M787" s="11"/>
      <c r="N787" s="11"/>
    </row>
    <row r="788" ht="15.75" customHeight="1">
      <c r="A788" s="11"/>
      <c r="J788" s="15"/>
      <c r="K788" s="11"/>
      <c r="L788" s="11"/>
      <c r="M788" s="11"/>
      <c r="N788" s="11"/>
    </row>
    <row r="789" ht="15.75" customHeight="1">
      <c r="A789" s="11"/>
      <c r="J789" s="15"/>
      <c r="K789" s="11"/>
      <c r="L789" s="11"/>
      <c r="M789" s="11"/>
      <c r="N789" s="11"/>
    </row>
    <row r="790" ht="15.75" customHeight="1">
      <c r="A790" s="11"/>
      <c r="J790" s="15"/>
      <c r="K790" s="11"/>
      <c r="L790" s="11"/>
      <c r="M790" s="11"/>
      <c r="N790" s="11"/>
    </row>
    <row r="791" ht="15.75" customHeight="1">
      <c r="A791" s="11"/>
      <c r="J791" s="15"/>
      <c r="K791" s="11"/>
      <c r="L791" s="11"/>
      <c r="M791" s="11"/>
      <c r="N791" s="11"/>
    </row>
    <row r="792" ht="15.75" customHeight="1">
      <c r="A792" s="11"/>
      <c r="J792" s="15"/>
      <c r="K792" s="11"/>
      <c r="L792" s="11"/>
      <c r="M792" s="11"/>
      <c r="N792" s="11"/>
    </row>
    <row r="793" ht="15.75" customHeight="1">
      <c r="A793" s="11"/>
      <c r="J793" s="15"/>
      <c r="K793" s="11"/>
      <c r="L793" s="11"/>
      <c r="M793" s="11"/>
      <c r="N793" s="11"/>
    </row>
    <row r="794" ht="15.75" customHeight="1">
      <c r="A794" s="11"/>
      <c r="J794" s="15"/>
      <c r="K794" s="11"/>
      <c r="L794" s="11"/>
      <c r="M794" s="11"/>
      <c r="N794" s="11"/>
    </row>
    <row r="795" ht="15.75" customHeight="1">
      <c r="A795" s="11"/>
      <c r="J795" s="15"/>
      <c r="K795" s="11"/>
      <c r="L795" s="11"/>
      <c r="M795" s="11"/>
      <c r="N795" s="11"/>
    </row>
    <row r="796" ht="15.75" customHeight="1">
      <c r="A796" s="11"/>
      <c r="J796" s="15"/>
      <c r="K796" s="11"/>
      <c r="L796" s="11"/>
      <c r="M796" s="11"/>
      <c r="N796" s="11"/>
    </row>
    <row r="797" ht="15.75" customHeight="1">
      <c r="A797" s="11"/>
      <c r="J797" s="15"/>
      <c r="K797" s="11"/>
      <c r="L797" s="11"/>
      <c r="M797" s="11"/>
      <c r="N797" s="11"/>
    </row>
    <row r="798" ht="15.75" customHeight="1">
      <c r="A798" s="11"/>
      <c r="J798" s="15"/>
      <c r="K798" s="11"/>
      <c r="L798" s="11"/>
      <c r="M798" s="11"/>
      <c r="N798" s="11"/>
    </row>
    <row r="799" ht="15.75" customHeight="1">
      <c r="A799" s="11"/>
      <c r="J799" s="15"/>
      <c r="K799" s="11"/>
      <c r="L799" s="11"/>
      <c r="M799" s="11"/>
      <c r="N799" s="11"/>
    </row>
    <row r="800" ht="15.75" customHeight="1">
      <c r="A800" s="11"/>
      <c r="J800" s="15"/>
      <c r="K800" s="11"/>
      <c r="L800" s="11"/>
      <c r="M800" s="11"/>
      <c r="N800" s="11"/>
    </row>
    <row r="801" ht="15.75" customHeight="1">
      <c r="A801" s="11"/>
      <c r="J801" s="15"/>
      <c r="K801" s="11"/>
      <c r="L801" s="11"/>
      <c r="M801" s="11"/>
      <c r="N801" s="11"/>
    </row>
    <row r="802" ht="15.75" customHeight="1">
      <c r="A802" s="11"/>
      <c r="J802" s="15"/>
      <c r="K802" s="11"/>
      <c r="L802" s="11"/>
      <c r="M802" s="11"/>
      <c r="N802" s="11"/>
    </row>
    <row r="803" ht="15.75" customHeight="1">
      <c r="A803" s="11"/>
      <c r="J803" s="15"/>
      <c r="K803" s="11"/>
      <c r="L803" s="11"/>
      <c r="M803" s="11"/>
      <c r="N803" s="11"/>
    </row>
    <row r="804" ht="15.75" customHeight="1">
      <c r="A804" s="11"/>
      <c r="J804" s="15"/>
      <c r="K804" s="11"/>
      <c r="L804" s="11"/>
      <c r="M804" s="11"/>
      <c r="N804" s="11"/>
    </row>
    <row r="805" ht="15.75" customHeight="1">
      <c r="A805" s="11"/>
      <c r="J805" s="15"/>
      <c r="K805" s="11"/>
      <c r="L805" s="11"/>
      <c r="M805" s="11"/>
      <c r="N805" s="11"/>
    </row>
    <row r="806" ht="15.75" customHeight="1">
      <c r="A806" s="11"/>
      <c r="J806" s="15"/>
      <c r="K806" s="11"/>
      <c r="L806" s="11"/>
      <c r="M806" s="11"/>
      <c r="N806" s="11"/>
    </row>
    <row r="807" ht="15.75" customHeight="1">
      <c r="A807" s="11"/>
      <c r="J807" s="15"/>
      <c r="K807" s="11"/>
      <c r="L807" s="11"/>
      <c r="M807" s="11"/>
      <c r="N807" s="11"/>
    </row>
    <row r="808" ht="15.75" customHeight="1">
      <c r="A808" s="11"/>
      <c r="J808" s="15"/>
      <c r="K808" s="11"/>
      <c r="L808" s="11"/>
      <c r="M808" s="11"/>
      <c r="N808" s="11"/>
    </row>
    <row r="809" ht="15.75" customHeight="1">
      <c r="A809" s="11"/>
      <c r="J809" s="15"/>
      <c r="K809" s="11"/>
      <c r="L809" s="11"/>
      <c r="M809" s="11"/>
      <c r="N809" s="11"/>
    </row>
    <row r="810" ht="15.75" customHeight="1">
      <c r="A810" s="11"/>
      <c r="J810" s="15"/>
      <c r="K810" s="11"/>
      <c r="L810" s="11"/>
      <c r="M810" s="11"/>
      <c r="N810" s="11"/>
    </row>
    <row r="811" ht="15.75" customHeight="1">
      <c r="A811" s="11"/>
      <c r="J811" s="15"/>
      <c r="K811" s="11"/>
      <c r="L811" s="11"/>
      <c r="M811" s="11"/>
      <c r="N811" s="11"/>
    </row>
    <row r="812" ht="15.75" customHeight="1">
      <c r="A812" s="11"/>
      <c r="J812" s="15"/>
      <c r="K812" s="11"/>
      <c r="L812" s="11"/>
      <c r="M812" s="11"/>
      <c r="N812" s="11"/>
    </row>
    <row r="813" ht="15.75" customHeight="1">
      <c r="A813" s="11"/>
      <c r="J813" s="15"/>
      <c r="K813" s="11"/>
      <c r="L813" s="11"/>
      <c r="M813" s="11"/>
      <c r="N813" s="11"/>
    </row>
    <row r="814" ht="15.75" customHeight="1">
      <c r="A814" s="11"/>
      <c r="J814" s="15"/>
      <c r="K814" s="11"/>
      <c r="L814" s="11"/>
      <c r="M814" s="11"/>
      <c r="N814" s="11"/>
    </row>
    <row r="815" ht="15.75" customHeight="1">
      <c r="A815" s="11"/>
      <c r="J815" s="15"/>
      <c r="K815" s="11"/>
      <c r="L815" s="11"/>
      <c r="M815" s="11"/>
      <c r="N815" s="11"/>
    </row>
    <row r="816" ht="15.75" customHeight="1">
      <c r="A816" s="11"/>
      <c r="J816" s="15"/>
      <c r="K816" s="11"/>
      <c r="L816" s="11"/>
      <c r="M816" s="11"/>
      <c r="N816" s="11"/>
    </row>
    <row r="817" ht="15.75" customHeight="1">
      <c r="A817" s="11"/>
      <c r="J817" s="15"/>
      <c r="K817" s="11"/>
      <c r="L817" s="11"/>
      <c r="M817" s="11"/>
      <c r="N817" s="11"/>
    </row>
    <row r="818" ht="15.75" customHeight="1">
      <c r="A818" s="11"/>
      <c r="J818" s="15"/>
      <c r="K818" s="11"/>
      <c r="L818" s="11"/>
      <c r="M818" s="11"/>
      <c r="N818" s="11"/>
    </row>
    <row r="819" ht="15.75" customHeight="1">
      <c r="A819" s="11"/>
      <c r="J819" s="15"/>
      <c r="K819" s="11"/>
      <c r="L819" s="11"/>
      <c r="M819" s="11"/>
      <c r="N819" s="11"/>
    </row>
    <row r="820" ht="15.75" customHeight="1">
      <c r="A820" s="11"/>
      <c r="J820" s="15"/>
      <c r="K820" s="11"/>
      <c r="L820" s="11"/>
      <c r="M820" s="11"/>
      <c r="N820" s="11"/>
    </row>
    <row r="821" ht="15.75" customHeight="1">
      <c r="A821" s="11"/>
      <c r="J821" s="15"/>
      <c r="K821" s="11"/>
      <c r="L821" s="11"/>
      <c r="M821" s="11"/>
      <c r="N821" s="11"/>
    </row>
    <row r="822" ht="15.75" customHeight="1">
      <c r="A822" s="11"/>
      <c r="J822" s="15"/>
      <c r="K822" s="11"/>
      <c r="L822" s="11"/>
      <c r="M822" s="11"/>
      <c r="N822" s="11"/>
    </row>
    <row r="823" ht="15.75" customHeight="1">
      <c r="A823" s="11"/>
      <c r="J823" s="15"/>
      <c r="K823" s="11"/>
      <c r="L823" s="11"/>
      <c r="M823" s="11"/>
      <c r="N823" s="11"/>
    </row>
    <row r="824" ht="15.75" customHeight="1">
      <c r="A824" s="11"/>
      <c r="J824" s="15"/>
      <c r="K824" s="11"/>
      <c r="L824" s="11"/>
      <c r="M824" s="11"/>
      <c r="N824" s="11"/>
    </row>
    <row r="825" ht="15.75" customHeight="1">
      <c r="A825" s="11"/>
      <c r="J825" s="15"/>
      <c r="K825" s="11"/>
      <c r="L825" s="11"/>
      <c r="M825" s="11"/>
      <c r="N825" s="11"/>
    </row>
    <row r="826" ht="15.75" customHeight="1">
      <c r="A826" s="11"/>
      <c r="J826" s="15"/>
      <c r="K826" s="11"/>
      <c r="L826" s="11"/>
      <c r="M826" s="11"/>
      <c r="N826" s="11"/>
    </row>
    <row r="827" ht="15.75" customHeight="1">
      <c r="A827" s="11"/>
      <c r="J827" s="15"/>
      <c r="K827" s="11"/>
      <c r="L827" s="11"/>
      <c r="M827" s="11"/>
      <c r="N827" s="11"/>
    </row>
    <row r="828" ht="15.75" customHeight="1">
      <c r="A828" s="11"/>
      <c r="J828" s="15"/>
      <c r="K828" s="11"/>
      <c r="L828" s="11"/>
      <c r="M828" s="11"/>
      <c r="N828" s="11"/>
    </row>
    <row r="829" ht="15.75" customHeight="1">
      <c r="A829" s="11"/>
      <c r="J829" s="15"/>
      <c r="K829" s="11"/>
      <c r="L829" s="11"/>
      <c r="M829" s="11"/>
      <c r="N829" s="11"/>
    </row>
    <row r="830" ht="15.75" customHeight="1">
      <c r="A830" s="11"/>
      <c r="J830" s="15"/>
      <c r="K830" s="11"/>
      <c r="L830" s="11"/>
      <c r="M830" s="11"/>
      <c r="N830" s="11"/>
    </row>
    <row r="831" ht="15.75" customHeight="1">
      <c r="A831" s="11"/>
      <c r="J831" s="15"/>
      <c r="K831" s="11"/>
      <c r="L831" s="11"/>
      <c r="M831" s="11"/>
      <c r="N831" s="11"/>
    </row>
    <row r="832" ht="15.75" customHeight="1">
      <c r="A832" s="11"/>
      <c r="J832" s="15"/>
      <c r="K832" s="11"/>
      <c r="L832" s="11"/>
      <c r="M832" s="11"/>
      <c r="N832" s="11"/>
    </row>
    <row r="833" ht="15.75" customHeight="1">
      <c r="A833" s="11"/>
      <c r="J833" s="15"/>
      <c r="K833" s="11"/>
      <c r="L833" s="11"/>
      <c r="M833" s="11"/>
      <c r="N833" s="11"/>
    </row>
    <row r="834" ht="15.75" customHeight="1">
      <c r="A834" s="11"/>
      <c r="J834" s="15"/>
      <c r="K834" s="11"/>
      <c r="L834" s="11"/>
      <c r="M834" s="11"/>
      <c r="N834" s="11"/>
    </row>
    <row r="835" ht="15.75" customHeight="1">
      <c r="A835" s="11"/>
      <c r="J835" s="15"/>
      <c r="K835" s="11"/>
      <c r="L835" s="11"/>
      <c r="M835" s="11"/>
      <c r="N835" s="11"/>
    </row>
    <row r="836" ht="15.75" customHeight="1">
      <c r="A836" s="11"/>
      <c r="J836" s="15"/>
      <c r="K836" s="11"/>
      <c r="L836" s="11"/>
      <c r="M836" s="11"/>
      <c r="N836" s="11"/>
    </row>
    <row r="837" ht="15.75" customHeight="1">
      <c r="A837" s="11"/>
      <c r="J837" s="15"/>
      <c r="K837" s="11"/>
      <c r="L837" s="11"/>
      <c r="M837" s="11"/>
      <c r="N837" s="11"/>
    </row>
    <row r="838" ht="15.75" customHeight="1">
      <c r="A838" s="11"/>
      <c r="J838" s="15"/>
      <c r="K838" s="11"/>
      <c r="L838" s="11"/>
      <c r="M838" s="11"/>
      <c r="N838" s="11"/>
    </row>
    <row r="839" ht="15.75" customHeight="1">
      <c r="A839" s="11"/>
      <c r="J839" s="15"/>
      <c r="K839" s="11"/>
      <c r="L839" s="11"/>
      <c r="M839" s="11"/>
      <c r="N839" s="11"/>
    </row>
    <row r="840" ht="15.75" customHeight="1">
      <c r="A840" s="11"/>
      <c r="J840" s="15"/>
      <c r="K840" s="11"/>
      <c r="L840" s="11"/>
      <c r="M840" s="11"/>
      <c r="N840" s="11"/>
    </row>
    <row r="841" ht="15.75" customHeight="1">
      <c r="A841" s="11"/>
      <c r="J841" s="15"/>
      <c r="K841" s="11"/>
      <c r="L841" s="11"/>
      <c r="M841" s="11"/>
      <c r="N841" s="11"/>
    </row>
    <row r="842" ht="15.75" customHeight="1">
      <c r="A842" s="11"/>
      <c r="J842" s="15"/>
      <c r="K842" s="11"/>
      <c r="L842" s="11"/>
      <c r="M842" s="11"/>
      <c r="N842" s="11"/>
    </row>
    <row r="843" ht="15.75" customHeight="1">
      <c r="A843" s="11"/>
      <c r="J843" s="15"/>
      <c r="K843" s="11"/>
      <c r="L843" s="11"/>
      <c r="M843" s="11"/>
      <c r="N843" s="11"/>
    </row>
    <row r="844" ht="15.75" customHeight="1">
      <c r="A844" s="11"/>
      <c r="J844" s="15"/>
      <c r="K844" s="11"/>
      <c r="L844" s="11"/>
      <c r="M844" s="11"/>
      <c r="N844" s="11"/>
    </row>
    <row r="845" ht="15.75" customHeight="1">
      <c r="A845" s="11"/>
      <c r="J845" s="15"/>
      <c r="K845" s="11"/>
      <c r="L845" s="11"/>
      <c r="M845" s="11"/>
      <c r="N845" s="11"/>
    </row>
    <row r="846" ht="15.75" customHeight="1">
      <c r="A846" s="11"/>
      <c r="J846" s="15"/>
      <c r="K846" s="11"/>
      <c r="L846" s="11"/>
      <c r="M846" s="11"/>
      <c r="N846" s="11"/>
    </row>
    <row r="847" ht="15.75" customHeight="1">
      <c r="A847" s="11"/>
      <c r="J847" s="15"/>
      <c r="K847" s="11"/>
      <c r="L847" s="11"/>
      <c r="M847" s="11"/>
      <c r="N847" s="11"/>
    </row>
    <row r="848" ht="15.75" customHeight="1">
      <c r="A848" s="11"/>
      <c r="J848" s="15"/>
      <c r="K848" s="11"/>
      <c r="L848" s="11"/>
      <c r="M848" s="11"/>
      <c r="N848" s="11"/>
    </row>
    <row r="849" ht="15.75" customHeight="1">
      <c r="A849" s="11"/>
      <c r="J849" s="15"/>
      <c r="K849" s="11"/>
      <c r="L849" s="11"/>
      <c r="M849" s="11"/>
      <c r="N849" s="11"/>
    </row>
    <row r="850" ht="15.75" customHeight="1">
      <c r="A850" s="11"/>
      <c r="J850" s="15"/>
      <c r="K850" s="11"/>
      <c r="L850" s="11"/>
      <c r="M850" s="11"/>
      <c r="N850" s="11"/>
    </row>
    <row r="851" ht="15.75" customHeight="1">
      <c r="A851" s="11"/>
      <c r="J851" s="15"/>
      <c r="K851" s="11"/>
      <c r="L851" s="11"/>
      <c r="M851" s="11"/>
      <c r="N851" s="11"/>
    </row>
    <row r="852" ht="15.75" customHeight="1">
      <c r="A852" s="11"/>
      <c r="J852" s="15"/>
      <c r="K852" s="11"/>
      <c r="L852" s="11"/>
      <c r="M852" s="11"/>
      <c r="N852" s="11"/>
    </row>
    <row r="853" ht="15.75" customHeight="1">
      <c r="A853" s="11"/>
      <c r="J853" s="15"/>
      <c r="K853" s="11"/>
      <c r="L853" s="11"/>
      <c r="M853" s="11"/>
      <c r="N853" s="11"/>
    </row>
    <row r="854" ht="15.75" customHeight="1">
      <c r="A854" s="11"/>
      <c r="J854" s="15"/>
      <c r="K854" s="11"/>
      <c r="L854" s="11"/>
      <c r="M854" s="11"/>
      <c r="N854" s="11"/>
    </row>
    <row r="855" ht="15.75" customHeight="1">
      <c r="A855" s="11"/>
      <c r="J855" s="15"/>
      <c r="K855" s="11"/>
      <c r="L855" s="11"/>
      <c r="M855" s="11"/>
      <c r="N855" s="11"/>
    </row>
    <row r="856" ht="15.75" customHeight="1">
      <c r="A856" s="11"/>
      <c r="J856" s="15"/>
      <c r="K856" s="11"/>
      <c r="L856" s="11"/>
      <c r="M856" s="11"/>
      <c r="N856" s="11"/>
    </row>
    <row r="857" ht="15.75" customHeight="1">
      <c r="A857" s="11"/>
      <c r="J857" s="15"/>
      <c r="K857" s="11"/>
      <c r="L857" s="11"/>
      <c r="M857" s="11"/>
      <c r="N857" s="11"/>
    </row>
    <row r="858" ht="15.75" customHeight="1">
      <c r="A858" s="11"/>
      <c r="J858" s="15"/>
      <c r="K858" s="11"/>
      <c r="L858" s="11"/>
      <c r="M858" s="11"/>
      <c r="N858" s="11"/>
    </row>
    <row r="859" ht="15.75" customHeight="1">
      <c r="A859" s="11"/>
      <c r="J859" s="15"/>
      <c r="K859" s="11"/>
      <c r="L859" s="11"/>
      <c r="M859" s="11"/>
      <c r="N859" s="11"/>
    </row>
    <row r="860" ht="15.75" customHeight="1">
      <c r="A860" s="11"/>
      <c r="J860" s="15"/>
      <c r="K860" s="11"/>
      <c r="L860" s="11"/>
      <c r="M860" s="11"/>
      <c r="N860" s="11"/>
    </row>
    <row r="861" ht="15.75" customHeight="1">
      <c r="A861" s="11"/>
      <c r="J861" s="15"/>
      <c r="K861" s="11"/>
      <c r="L861" s="11"/>
      <c r="M861" s="11"/>
      <c r="N861" s="11"/>
    </row>
    <row r="862" ht="15.75" customHeight="1">
      <c r="A862" s="11"/>
      <c r="J862" s="15"/>
      <c r="K862" s="11"/>
      <c r="L862" s="11"/>
      <c r="M862" s="11"/>
      <c r="N862" s="11"/>
    </row>
    <row r="863" ht="15.75" customHeight="1">
      <c r="A863" s="11"/>
      <c r="J863" s="15"/>
      <c r="K863" s="11"/>
      <c r="L863" s="11"/>
      <c r="M863" s="11"/>
      <c r="N863" s="11"/>
    </row>
    <row r="864" ht="15.75" customHeight="1">
      <c r="A864" s="11"/>
      <c r="J864" s="15"/>
      <c r="K864" s="11"/>
      <c r="L864" s="11"/>
      <c r="M864" s="11"/>
      <c r="N864" s="11"/>
    </row>
    <row r="865" ht="15.75" customHeight="1">
      <c r="A865" s="11"/>
      <c r="J865" s="15"/>
      <c r="K865" s="11"/>
      <c r="L865" s="11"/>
      <c r="M865" s="11"/>
      <c r="N865" s="11"/>
    </row>
    <row r="866" ht="15.75" customHeight="1">
      <c r="A866" s="11"/>
      <c r="J866" s="15"/>
      <c r="K866" s="11"/>
      <c r="L866" s="11"/>
      <c r="M866" s="11"/>
      <c r="N866" s="11"/>
    </row>
    <row r="867" ht="15.75" customHeight="1">
      <c r="A867" s="11"/>
      <c r="J867" s="15"/>
      <c r="K867" s="11"/>
      <c r="L867" s="11"/>
      <c r="M867" s="11"/>
      <c r="N867" s="11"/>
    </row>
    <row r="868" ht="15.75" customHeight="1">
      <c r="A868" s="11"/>
      <c r="J868" s="15"/>
      <c r="K868" s="11"/>
      <c r="L868" s="11"/>
      <c r="M868" s="11"/>
      <c r="N868" s="11"/>
    </row>
    <row r="869" ht="15.75" customHeight="1">
      <c r="A869" s="11"/>
      <c r="J869" s="15"/>
      <c r="K869" s="11"/>
      <c r="L869" s="11"/>
      <c r="M869" s="11"/>
      <c r="N869" s="11"/>
    </row>
    <row r="870" ht="15.75" customHeight="1">
      <c r="A870" s="11"/>
      <c r="J870" s="15"/>
      <c r="K870" s="11"/>
      <c r="L870" s="11"/>
      <c r="M870" s="11"/>
      <c r="N870" s="11"/>
    </row>
    <row r="871" ht="15.75" customHeight="1">
      <c r="A871" s="11"/>
      <c r="J871" s="15"/>
      <c r="K871" s="11"/>
      <c r="L871" s="11"/>
      <c r="M871" s="11"/>
      <c r="N871" s="11"/>
    </row>
    <row r="872" ht="15.75" customHeight="1">
      <c r="A872" s="11"/>
      <c r="J872" s="15"/>
      <c r="K872" s="11"/>
      <c r="L872" s="11"/>
      <c r="M872" s="11"/>
      <c r="N872" s="11"/>
    </row>
    <row r="873" ht="15.75" customHeight="1">
      <c r="A873" s="11"/>
      <c r="J873" s="15"/>
      <c r="K873" s="11"/>
      <c r="L873" s="11"/>
      <c r="M873" s="11"/>
      <c r="N873" s="11"/>
    </row>
    <row r="874" ht="15.75" customHeight="1">
      <c r="A874" s="11"/>
      <c r="J874" s="15"/>
      <c r="K874" s="11"/>
      <c r="L874" s="11"/>
      <c r="M874" s="11"/>
      <c r="N874" s="11"/>
    </row>
    <row r="875" ht="15.75" customHeight="1">
      <c r="A875" s="11"/>
      <c r="J875" s="15"/>
      <c r="K875" s="11"/>
      <c r="L875" s="11"/>
      <c r="M875" s="11"/>
      <c r="N875" s="11"/>
    </row>
    <row r="876" ht="15.75" customHeight="1">
      <c r="A876" s="11"/>
      <c r="J876" s="15"/>
      <c r="K876" s="11"/>
      <c r="L876" s="11"/>
      <c r="M876" s="11"/>
      <c r="N876" s="11"/>
    </row>
    <row r="877" ht="15.75" customHeight="1">
      <c r="A877" s="11"/>
      <c r="J877" s="15"/>
      <c r="K877" s="11"/>
      <c r="L877" s="11"/>
      <c r="M877" s="11"/>
      <c r="N877" s="11"/>
    </row>
    <row r="878" ht="15.75" customHeight="1">
      <c r="A878" s="11"/>
      <c r="J878" s="15"/>
      <c r="K878" s="11"/>
      <c r="L878" s="11"/>
      <c r="M878" s="11"/>
      <c r="N878" s="11"/>
    </row>
    <row r="879" ht="15.75" customHeight="1">
      <c r="A879" s="11"/>
      <c r="J879" s="15"/>
      <c r="K879" s="11"/>
      <c r="L879" s="11"/>
      <c r="M879" s="11"/>
      <c r="N879" s="11"/>
    </row>
    <row r="880" ht="15.75" customHeight="1">
      <c r="A880" s="11"/>
      <c r="J880" s="15"/>
      <c r="K880" s="11"/>
      <c r="L880" s="11"/>
      <c r="M880" s="11"/>
      <c r="N880" s="11"/>
    </row>
    <row r="881" ht="15.75" customHeight="1">
      <c r="A881" s="11"/>
      <c r="J881" s="15"/>
      <c r="K881" s="11"/>
      <c r="L881" s="11"/>
      <c r="M881" s="11"/>
      <c r="N881" s="11"/>
    </row>
    <row r="882" ht="15.75" customHeight="1">
      <c r="A882" s="11"/>
      <c r="J882" s="15"/>
      <c r="K882" s="11"/>
      <c r="L882" s="11"/>
      <c r="M882" s="11"/>
      <c r="N882" s="11"/>
    </row>
    <row r="883" ht="15.75" customHeight="1">
      <c r="A883" s="11"/>
      <c r="J883" s="15"/>
      <c r="K883" s="11"/>
      <c r="L883" s="11"/>
      <c r="M883" s="11"/>
      <c r="N883" s="11"/>
    </row>
    <row r="884" ht="15.75" customHeight="1">
      <c r="A884" s="11"/>
      <c r="J884" s="15"/>
      <c r="K884" s="11"/>
      <c r="L884" s="11"/>
      <c r="M884" s="11"/>
      <c r="N884" s="11"/>
    </row>
    <row r="885" ht="15.75" customHeight="1">
      <c r="A885" s="11"/>
      <c r="J885" s="15"/>
      <c r="K885" s="11"/>
      <c r="L885" s="11"/>
      <c r="M885" s="11"/>
      <c r="N885" s="11"/>
    </row>
    <row r="886" ht="15.75" customHeight="1">
      <c r="A886" s="11"/>
      <c r="J886" s="15"/>
      <c r="K886" s="11"/>
      <c r="L886" s="11"/>
      <c r="M886" s="11"/>
      <c r="N886" s="11"/>
    </row>
    <row r="887" ht="15.75" customHeight="1">
      <c r="A887" s="11"/>
      <c r="J887" s="15"/>
      <c r="K887" s="11"/>
      <c r="L887" s="11"/>
      <c r="M887" s="11"/>
      <c r="N887" s="11"/>
    </row>
    <row r="888" ht="15.75" customHeight="1">
      <c r="A888" s="11"/>
      <c r="J888" s="15"/>
      <c r="K888" s="11"/>
      <c r="L888" s="11"/>
      <c r="M888" s="11"/>
      <c r="N888" s="11"/>
    </row>
    <row r="889" ht="15.75" customHeight="1">
      <c r="A889" s="11"/>
      <c r="J889" s="15"/>
      <c r="K889" s="11"/>
      <c r="L889" s="11"/>
      <c r="M889" s="11"/>
      <c r="N889" s="11"/>
    </row>
    <row r="890" ht="15.75" customHeight="1">
      <c r="A890" s="11"/>
      <c r="J890" s="15"/>
      <c r="K890" s="11"/>
      <c r="L890" s="11"/>
      <c r="M890" s="11"/>
      <c r="N890" s="11"/>
    </row>
    <row r="891" ht="15.75" customHeight="1">
      <c r="A891" s="11"/>
      <c r="J891" s="15"/>
      <c r="K891" s="11"/>
      <c r="L891" s="11"/>
      <c r="M891" s="11"/>
      <c r="N891" s="11"/>
    </row>
    <row r="892" ht="15.75" customHeight="1">
      <c r="A892" s="11"/>
      <c r="J892" s="15"/>
      <c r="K892" s="11"/>
      <c r="L892" s="11"/>
      <c r="M892" s="11"/>
      <c r="N892" s="11"/>
    </row>
    <row r="893" ht="15.75" customHeight="1">
      <c r="A893" s="11"/>
      <c r="J893" s="15"/>
      <c r="K893" s="11"/>
      <c r="L893" s="11"/>
      <c r="M893" s="11"/>
      <c r="N893" s="11"/>
    </row>
    <row r="894" ht="15.75" customHeight="1">
      <c r="A894" s="11"/>
      <c r="J894" s="15"/>
      <c r="K894" s="11"/>
      <c r="L894" s="11"/>
      <c r="M894" s="11"/>
      <c r="N894" s="11"/>
    </row>
    <row r="895" ht="15.75" customHeight="1">
      <c r="A895" s="11"/>
      <c r="J895" s="15"/>
      <c r="K895" s="11"/>
      <c r="L895" s="11"/>
      <c r="M895" s="11"/>
      <c r="N895" s="11"/>
    </row>
    <row r="896" ht="15.75" customHeight="1">
      <c r="A896" s="11"/>
      <c r="J896" s="15"/>
      <c r="K896" s="11"/>
      <c r="L896" s="11"/>
      <c r="M896" s="11"/>
      <c r="N896" s="11"/>
    </row>
    <row r="897" ht="15.75" customHeight="1">
      <c r="A897" s="11"/>
      <c r="J897" s="15"/>
      <c r="K897" s="11"/>
      <c r="L897" s="11"/>
      <c r="M897" s="11"/>
      <c r="N897" s="11"/>
    </row>
    <row r="898" ht="15.75" customHeight="1">
      <c r="A898" s="11"/>
      <c r="J898" s="15"/>
      <c r="K898" s="11"/>
      <c r="L898" s="11"/>
      <c r="M898" s="11"/>
      <c r="N898" s="11"/>
    </row>
    <row r="899" ht="15.75" customHeight="1">
      <c r="A899" s="11"/>
      <c r="J899" s="15"/>
      <c r="K899" s="11"/>
      <c r="L899" s="11"/>
      <c r="M899" s="11"/>
      <c r="N899" s="11"/>
    </row>
    <row r="900" ht="15.75" customHeight="1">
      <c r="A900" s="11"/>
      <c r="J900" s="15"/>
      <c r="K900" s="11"/>
      <c r="L900" s="11"/>
      <c r="M900" s="11"/>
      <c r="N900" s="11"/>
    </row>
    <row r="901" ht="15.75" customHeight="1">
      <c r="A901" s="11"/>
      <c r="J901" s="15"/>
      <c r="K901" s="11"/>
      <c r="L901" s="11"/>
      <c r="M901" s="11"/>
      <c r="N901" s="11"/>
    </row>
    <row r="902" ht="15.75" customHeight="1">
      <c r="A902" s="11"/>
      <c r="J902" s="15"/>
      <c r="K902" s="11"/>
      <c r="L902" s="11"/>
      <c r="M902" s="11"/>
      <c r="N902" s="11"/>
    </row>
    <row r="903" ht="15.75" customHeight="1">
      <c r="A903" s="11"/>
      <c r="J903" s="15"/>
      <c r="K903" s="11"/>
      <c r="L903" s="11"/>
      <c r="M903" s="11"/>
      <c r="N903" s="11"/>
    </row>
    <row r="904" ht="15.75" customHeight="1">
      <c r="A904" s="11"/>
      <c r="J904" s="15"/>
      <c r="K904" s="11"/>
      <c r="L904" s="11"/>
      <c r="M904" s="11"/>
      <c r="N904" s="11"/>
    </row>
    <row r="905" ht="15.75" customHeight="1">
      <c r="A905" s="11"/>
      <c r="J905" s="15"/>
      <c r="K905" s="11"/>
      <c r="L905" s="11"/>
      <c r="M905" s="11"/>
      <c r="N905" s="11"/>
    </row>
    <row r="906" ht="15.75" customHeight="1">
      <c r="A906" s="11"/>
      <c r="J906" s="15"/>
      <c r="K906" s="11"/>
      <c r="L906" s="11"/>
      <c r="M906" s="11"/>
      <c r="N906" s="11"/>
    </row>
    <row r="907" ht="15.75" customHeight="1">
      <c r="A907" s="11"/>
      <c r="J907" s="15"/>
      <c r="K907" s="11"/>
      <c r="L907" s="11"/>
      <c r="M907" s="11"/>
      <c r="N907" s="11"/>
    </row>
    <row r="908" ht="15.75" customHeight="1">
      <c r="A908" s="11"/>
      <c r="J908" s="15"/>
      <c r="K908" s="11"/>
      <c r="L908" s="11"/>
      <c r="M908" s="11"/>
      <c r="N908" s="11"/>
    </row>
    <row r="909" ht="15.75" customHeight="1">
      <c r="A909" s="11"/>
      <c r="J909" s="15"/>
      <c r="K909" s="11"/>
      <c r="L909" s="11"/>
      <c r="M909" s="11"/>
      <c r="N909" s="11"/>
    </row>
    <row r="910" ht="15.75" customHeight="1">
      <c r="A910" s="11"/>
      <c r="J910" s="15"/>
      <c r="K910" s="11"/>
      <c r="L910" s="11"/>
      <c r="M910" s="11"/>
      <c r="N910" s="11"/>
    </row>
    <row r="911" ht="15.75" customHeight="1">
      <c r="A911" s="11"/>
      <c r="J911" s="15"/>
      <c r="K911" s="11"/>
      <c r="L911" s="11"/>
      <c r="M911" s="11"/>
      <c r="N911" s="11"/>
    </row>
    <row r="912" ht="15.75" customHeight="1">
      <c r="A912" s="11"/>
      <c r="J912" s="15"/>
      <c r="K912" s="11"/>
      <c r="L912" s="11"/>
      <c r="M912" s="11"/>
      <c r="N912" s="11"/>
    </row>
    <row r="913" ht="15.75" customHeight="1">
      <c r="A913" s="11"/>
      <c r="J913" s="15"/>
      <c r="K913" s="11"/>
      <c r="L913" s="11"/>
      <c r="M913" s="11"/>
      <c r="N913" s="11"/>
    </row>
    <row r="914" ht="15.75" customHeight="1">
      <c r="A914" s="11"/>
      <c r="J914" s="15"/>
      <c r="K914" s="11"/>
      <c r="L914" s="11"/>
      <c r="M914" s="11"/>
      <c r="N914" s="11"/>
    </row>
    <row r="915" ht="15.75" customHeight="1">
      <c r="A915" s="11"/>
      <c r="J915" s="15"/>
      <c r="K915" s="11"/>
      <c r="L915" s="11"/>
      <c r="M915" s="11"/>
      <c r="N915" s="11"/>
    </row>
    <row r="916" ht="15.75" customHeight="1">
      <c r="A916" s="11"/>
      <c r="J916" s="15"/>
      <c r="K916" s="11"/>
      <c r="L916" s="11"/>
      <c r="M916" s="11"/>
      <c r="N916" s="11"/>
    </row>
    <row r="917" ht="15.75" customHeight="1">
      <c r="A917" s="11"/>
      <c r="J917" s="15"/>
      <c r="K917" s="11"/>
      <c r="L917" s="11"/>
      <c r="M917" s="11"/>
      <c r="N917" s="11"/>
    </row>
    <row r="918" ht="15.75" customHeight="1">
      <c r="A918" s="11"/>
      <c r="J918" s="15"/>
      <c r="K918" s="11"/>
      <c r="L918" s="11"/>
      <c r="M918" s="11"/>
      <c r="N918" s="11"/>
    </row>
    <row r="919" ht="15.75" customHeight="1">
      <c r="A919" s="11"/>
      <c r="J919" s="15"/>
      <c r="K919" s="11"/>
      <c r="L919" s="11"/>
      <c r="M919" s="11"/>
      <c r="N919" s="11"/>
    </row>
    <row r="920" ht="15.75" customHeight="1">
      <c r="A920" s="11"/>
      <c r="J920" s="15"/>
      <c r="K920" s="11"/>
      <c r="L920" s="11"/>
      <c r="M920" s="11"/>
      <c r="N920" s="11"/>
    </row>
    <row r="921" ht="15.75" customHeight="1">
      <c r="A921" s="11"/>
      <c r="J921" s="15"/>
      <c r="K921" s="11"/>
      <c r="L921" s="11"/>
      <c r="M921" s="11"/>
      <c r="N921" s="11"/>
    </row>
    <row r="922" ht="15.75" customHeight="1">
      <c r="A922" s="11"/>
      <c r="J922" s="15"/>
      <c r="K922" s="11"/>
      <c r="L922" s="11"/>
      <c r="M922" s="11"/>
      <c r="N922" s="11"/>
    </row>
    <row r="923" ht="15.75" customHeight="1">
      <c r="A923" s="11"/>
      <c r="J923" s="15"/>
      <c r="K923" s="11"/>
      <c r="L923" s="11"/>
      <c r="M923" s="11"/>
      <c r="N923" s="11"/>
    </row>
    <row r="924" ht="15.75" customHeight="1">
      <c r="A924" s="11"/>
      <c r="J924" s="15"/>
      <c r="K924" s="11"/>
      <c r="L924" s="11"/>
      <c r="M924" s="11"/>
      <c r="N924" s="11"/>
    </row>
    <row r="925" ht="15.75" customHeight="1">
      <c r="A925" s="11"/>
      <c r="J925" s="15"/>
      <c r="K925" s="11"/>
      <c r="L925" s="11"/>
      <c r="M925" s="11"/>
      <c r="N925" s="11"/>
    </row>
    <row r="926" ht="15.75" customHeight="1">
      <c r="A926" s="11"/>
      <c r="J926" s="15"/>
      <c r="K926" s="11"/>
      <c r="L926" s="11"/>
      <c r="M926" s="11"/>
      <c r="N926" s="11"/>
    </row>
    <row r="927" ht="15.75" customHeight="1">
      <c r="A927" s="11"/>
      <c r="J927" s="15"/>
      <c r="K927" s="11"/>
      <c r="L927" s="11"/>
      <c r="M927" s="11"/>
      <c r="N927" s="11"/>
    </row>
    <row r="928" ht="15.75" customHeight="1">
      <c r="A928" s="11"/>
      <c r="J928" s="15"/>
      <c r="K928" s="11"/>
      <c r="L928" s="11"/>
      <c r="M928" s="11"/>
      <c r="N928" s="11"/>
    </row>
    <row r="929" ht="15.75" customHeight="1">
      <c r="A929" s="11"/>
      <c r="J929" s="15"/>
      <c r="K929" s="11"/>
      <c r="L929" s="11"/>
      <c r="M929" s="11"/>
      <c r="N929" s="11"/>
    </row>
    <row r="930" ht="15.75" customHeight="1">
      <c r="A930" s="11"/>
      <c r="J930" s="15"/>
      <c r="K930" s="11"/>
      <c r="L930" s="11"/>
      <c r="M930" s="11"/>
      <c r="N930" s="11"/>
    </row>
    <row r="931" ht="15.75" customHeight="1">
      <c r="A931" s="11"/>
      <c r="J931" s="15"/>
      <c r="K931" s="11"/>
      <c r="L931" s="11"/>
      <c r="M931" s="11"/>
      <c r="N931" s="11"/>
    </row>
    <row r="932" ht="15.75" customHeight="1">
      <c r="A932" s="11"/>
      <c r="J932" s="15"/>
      <c r="K932" s="11"/>
      <c r="L932" s="11"/>
      <c r="M932" s="11"/>
      <c r="N932" s="11"/>
    </row>
    <row r="933" ht="15.75" customHeight="1">
      <c r="A933" s="11"/>
      <c r="J933" s="15"/>
      <c r="K933" s="11"/>
      <c r="L933" s="11"/>
      <c r="M933" s="11"/>
      <c r="N933" s="11"/>
    </row>
    <row r="934" ht="15.75" customHeight="1">
      <c r="A934" s="11"/>
      <c r="J934" s="15"/>
      <c r="K934" s="11"/>
      <c r="L934" s="11"/>
      <c r="M934" s="11"/>
      <c r="N934" s="11"/>
    </row>
    <row r="935" ht="15.75" customHeight="1">
      <c r="A935" s="11"/>
      <c r="J935" s="15"/>
      <c r="K935" s="11"/>
      <c r="L935" s="11"/>
      <c r="M935" s="11"/>
      <c r="N935" s="11"/>
    </row>
    <row r="936" ht="15.75" customHeight="1">
      <c r="A936" s="11"/>
      <c r="J936" s="15"/>
      <c r="K936" s="11"/>
      <c r="L936" s="11"/>
      <c r="M936" s="11"/>
      <c r="N936" s="11"/>
    </row>
    <row r="937" ht="15.75" customHeight="1">
      <c r="A937" s="11"/>
      <c r="J937" s="15"/>
      <c r="K937" s="11"/>
      <c r="L937" s="11"/>
      <c r="M937" s="11"/>
      <c r="N937" s="11"/>
    </row>
    <row r="938" ht="15.75" customHeight="1">
      <c r="A938" s="11"/>
      <c r="J938" s="15"/>
      <c r="K938" s="11"/>
      <c r="L938" s="11"/>
      <c r="M938" s="11"/>
      <c r="N938" s="11"/>
    </row>
    <row r="939" ht="15.75" customHeight="1">
      <c r="A939" s="11"/>
      <c r="J939" s="15"/>
      <c r="K939" s="11"/>
      <c r="L939" s="11"/>
      <c r="M939" s="11"/>
      <c r="N939" s="11"/>
    </row>
    <row r="940" ht="15.75" customHeight="1">
      <c r="A940" s="11"/>
      <c r="J940" s="15"/>
      <c r="K940" s="11"/>
      <c r="L940" s="11"/>
      <c r="M940" s="11"/>
      <c r="N940" s="11"/>
    </row>
    <row r="941" ht="15.75" customHeight="1">
      <c r="A941" s="11"/>
      <c r="J941" s="15"/>
      <c r="K941" s="11"/>
      <c r="L941" s="11"/>
      <c r="M941" s="11"/>
      <c r="N941" s="11"/>
    </row>
    <row r="942" ht="15.75" customHeight="1">
      <c r="A942" s="11"/>
      <c r="J942" s="15"/>
      <c r="K942" s="11"/>
      <c r="L942" s="11"/>
      <c r="M942" s="11"/>
      <c r="N942" s="11"/>
    </row>
    <row r="943" ht="15.75" customHeight="1">
      <c r="A943" s="11"/>
      <c r="J943" s="15"/>
      <c r="K943" s="11"/>
      <c r="L943" s="11"/>
      <c r="M943" s="11"/>
      <c r="N943" s="11"/>
    </row>
    <row r="944" ht="15.75" customHeight="1">
      <c r="A944" s="11"/>
      <c r="J944" s="15"/>
      <c r="K944" s="11"/>
      <c r="L944" s="11"/>
      <c r="M944" s="11"/>
      <c r="N944" s="11"/>
    </row>
    <row r="945" ht="15.75" customHeight="1">
      <c r="A945" s="11"/>
      <c r="J945" s="15"/>
      <c r="K945" s="11"/>
      <c r="L945" s="11"/>
      <c r="M945" s="11"/>
      <c r="N945" s="11"/>
    </row>
    <row r="946" ht="15.75" customHeight="1">
      <c r="A946" s="11"/>
      <c r="J946" s="15"/>
      <c r="K946" s="11"/>
      <c r="L946" s="11"/>
      <c r="M946" s="11"/>
      <c r="N946" s="11"/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2.63"/>
    <col customWidth="1" min="3" max="3" width="17.5"/>
    <col customWidth="1" min="4" max="4" width="12.5"/>
    <col customWidth="1" min="5" max="5" width="12.63"/>
    <col customWidth="1" min="6" max="6" width="16.0"/>
    <col customWidth="1" min="10" max="10" width="21.25"/>
    <col customWidth="1" min="11" max="11" width="22.38"/>
    <col customWidth="1" min="12" max="12" width="12.13"/>
    <col customWidth="1" min="13" max="13" width="15.13"/>
    <col customWidth="1" min="14" max="14" width="23.13"/>
  </cols>
  <sheetData>
    <row r="1">
      <c r="A1" s="98" t="s">
        <v>578</v>
      </c>
      <c r="B1" s="99"/>
      <c r="C1" s="99"/>
      <c r="D1" s="99"/>
      <c r="E1" s="99"/>
      <c r="F1" s="99"/>
      <c r="G1" s="99"/>
      <c r="H1" s="99"/>
      <c r="I1" s="100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92"/>
      <c r="B2" s="92"/>
      <c r="C2" s="92"/>
      <c r="D2" s="92"/>
      <c r="E2" s="92"/>
      <c r="F2" s="92"/>
      <c r="G2" s="92"/>
      <c r="H2" s="92"/>
      <c r="I2" s="93"/>
      <c r="J2" s="9" t="s">
        <v>576</v>
      </c>
      <c r="K2" s="6"/>
      <c r="L2" s="6"/>
      <c r="M2" s="6"/>
      <c r="N2" s="6"/>
      <c r="O2" s="10"/>
      <c r="P2" s="10"/>
      <c r="Q2" s="10"/>
      <c r="R2" s="10"/>
      <c r="S2" s="10"/>
      <c r="T2" s="10"/>
      <c r="U2" s="10"/>
      <c r="V2" s="10"/>
      <c r="W2" s="10"/>
    </row>
    <row r="3">
      <c r="A3" s="92" t="s">
        <v>16</v>
      </c>
      <c r="B3" s="92" t="s">
        <v>17</v>
      </c>
      <c r="C3" s="92" t="s">
        <v>18</v>
      </c>
      <c r="D3" s="92" t="s">
        <v>19</v>
      </c>
      <c r="E3" s="92" t="s">
        <v>16</v>
      </c>
      <c r="F3" s="92" t="s">
        <v>17</v>
      </c>
      <c r="G3" s="92" t="s">
        <v>18</v>
      </c>
      <c r="H3" s="92" t="s">
        <v>19</v>
      </c>
      <c r="I3" s="93"/>
      <c r="J3" s="9"/>
      <c r="K3" s="6"/>
      <c r="L3" s="6"/>
      <c r="M3" s="6"/>
      <c r="N3" s="6"/>
      <c r="O3" s="10"/>
      <c r="P3" s="10"/>
      <c r="Q3" s="10"/>
      <c r="R3" s="10"/>
      <c r="S3" s="10"/>
      <c r="T3" s="10"/>
      <c r="U3" s="10"/>
      <c r="V3" s="10"/>
      <c r="W3" s="10"/>
    </row>
    <row r="4">
      <c r="A4" s="11" t="s">
        <v>21</v>
      </c>
      <c r="B4" s="38">
        <v>252.7</v>
      </c>
      <c r="C4" s="11">
        <f t="shared" ref="C4:C746" si="1">B4/B5-1</f>
        <v>-0.00453023439</v>
      </c>
      <c r="D4" s="13">
        <f t="shared" ref="D4:D746" si="2">C4</f>
        <v>-0.00453023439</v>
      </c>
      <c r="E4" s="11" t="s">
        <v>21</v>
      </c>
      <c r="F4" s="12">
        <v>22326.9</v>
      </c>
      <c r="G4" s="11">
        <v>0.009187001</v>
      </c>
      <c r="H4" s="13">
        <v>0.0092</v>
      </c>
      <c r="I4" s="14"/>
    </row>
    <row r="5">
      <c r="A5" s="11" t="s">
        <v>23</v>
      </c>
      <c r="B5" s="38">
        <v>253.85</v>
      </c>
      <c r="C5" s="11">
        <f t="shared" si="1"/>
        <v>0.004749653671</v>
      </c>
      <c r="D5" s="13">
        <f t="shared" si="2"/>
        <v>0.004749653671</v>
      </c>
      <c r="E5" s="11" t="s">
        <v>23</v>
      </c>
      <c r="F5" s="12">
        <v>22123.65</v>
      </c>
      <c r="G5" s="11">
        <v>0.005405663</v>
      </c>
      <c r="H5" s="13">
        <v>0.0054</v>
      </c>
      <c r="I5" s="11"/>
      <c r="J5" s="15"/>
      <c r="K5" s="16">
        <f>(B4/B746)^(1/3)</f>
        <v>1.29207478</v>
      </c>
      <c r="L5" s="11"/>
      <c r="M5" s="11"/>
      <c r="N5" s="11"/>
    </row>
    <row r="6">
      <c r="A6" s="11" t="s">
        <v>24</v>
      </c>
      <c r="B6" s="38">
        <v>252.65</v>
      </c>
      <c r="C6" s="11">
        <f t="shared" si="1"/>
        <v>-0.03199233716</v>
      </c>
      <c r="D6" s="13">
        <f t="shared" si="2"/>
        <v>-0.03199233716</v>
      </c>
      <c r="E6" s="11" t="s">
        <v>24</v>
      </c>
      <c r="F6" s="12">
        <v>22004.7</v>
      </c>
      <c r="G6" s="11">
        <v>-0.004165771</v>
      </c>
      <c r="H6" s="13">
        <v>-0.0042</v>
      </c>
      <c r="J6" s="101" t="s">
        <v>25</v>
      </c>
      <c r="K6" s="16">
        <f>K5-1</f>
        <v>0.2920747803</v>
      </c>
      <c r="L6" s="11"/>
      <c r="M6" s="11"/>
      <c r="N6" s="102">
        <f>(7.08+7.29+4.64)/3</f>
        <v>6.336666667</v>
      </c>
    </row>
    <row r="7">
      <c r="A7" s="11" t="s">
        <v>27</v>
      </c>
      <c r="B7" s="38">
        <v>261.0</v>
      </c>
      <c r="C7" s="11">
        <f t="shared" si="1"/>
        <v>0.01913315111</v>
      </c>
      <c r="D7" s="13">
        <f t="shared" si="2"/>
        <v>0.01913315111</v>
      </c>
      <c r="E7" s="11" t="s">
        <v>27</v>
      </c>
      <c r="F7" s="12">
        <v>22096.75</v>
      </c>
      <c r="G7" s="11">
        <v>0.003852453</v>
      </c>
      <c r="H7" s="13">
        <v>0.0039</v>
      </c>
      <c r="J7" s="15"/>
      <c r="K7" s="16">
        <v>33.94912735</v>
      </c>
      <c r="L7" s="15"/>
      <c r="M7" s="20" t="s">
        <v>28</v>
      </c>
      <c r="N7" s="21">
        <v>0.0633</v>
      </c>
      <c r="O7" s="81" t="s">
        <v>29</v>
      </c>
      <c r="P7" s="81"/>
      <c r="Q7" s="81"/>
    </row>
    <row r="8">
      <c r="A8" s="11" t="s">
        <v>30</v>
      </c>
      <c r="B8" s="38">
        <v>256.1</v>
      </c>
      <c r="C8" s="11">
        <f t="shared" si="1"/>
        <v>0.03037618185</v>
      </c>
      <c r="D8" s="13">
        <f t="shared" si="2"/>
        <v>0.03037618185</v>
      </c>
      <c r="E8" s="11" t="s">
        <v>30</v>
      </c>
      <c r="F8" s="12">
        <v>22011.95</v>
      </c>
      <c r="G8" s="11">
        <v>0.007914703</v>
      </c>
      <c r="H8" s="13">
        <v>0.0079</v>
      </c>
      <c r="J8" s="15"/>
      <c r="K8" s="11"/>
      <c r="L8" s="11"/>
      <c r="M8" s="11"/>
      <c r="N8" s="20">
        <v>0.0633</v>
      </c>
    </row>
    <row r="9">
      <c r="A9" s="11" t="s">
        <v>31</v>
      </c>
      <c r="B9" s="38">
        <v>248.55</v>
      </c>
      <c r="C9" s="11">
        <f t="shared" si="1"/>
        <v>-0.01271102284</v>
      </c>
      <c r="D9" s="13">
        <f t="shared" si="2"/>
        <v>-0.01271102284</v>
      </c>
      <c r="E9" s="11" t="s">
        <v>31</v>
      </c>
      <c r="F9" s="12">
        <v>21839.1</v>
      </c>
      <c r="G9" s="11">
        <v>9.92325E-4</v>
      </c>
      <c r="H9" s="13">
        <v>0.001</v>
      </c>
      <c r="J9" s="103" t="s">
        <v>32</v>
      </c>
      <c r="K9" s="20">
        <f>_xlfn.COVARIANCE.P(C4:C745,G4:G745)/_xlfn.VAR.P(G4:G745)</f>
        <v>0.8678872415</v>
      </c>
      <c r="L9" s="11"/>
      <c r="M9" s="11"/>
      <c r="N9" s="11"/>
    </row>
    <row r="10">
      <c r="A10" s="11" t="s">
        <v>33</v>
      </c>
      <c r="B10" s="38">
        <v>251.75</v>
      </c>
      <c r="C10" s="11">
        <f t="shared" si="1"/>
        <v>-0.01602501466</v>
      </c>
      <c r="D10" s="13">
        <f t="shared" si="2"/>
        <v>-0.01602501466</v>
      </c>
      <c r="E10" s="11" t="s">
        <v>33</v>
      </c>
      <c r="F10" s="12">
        <v>21817.45</v>
      </c>
      <c r="G10" s="11">
        <v>-0.010802196</v>
      </c>
      <c r="H10" s="13">
        <v>-0.0108</v>
      </c>
      <c r="J10" s="103" t="s">
        <v>34</v>
      </c>
      <c r="K10" s="20">
        <f>SLOPE(C4:C745,G4:G745)</f>
        <v>0.8678872415</v>
      </c>
      <c r="L10" s="11"/>
      <c r="M10" s="11"/>
      <c r="N10" s="23" t="s">
        <v>35</v>
      </c>
      <c r="O10" s="24" t="s">
        <v>36</v>
      </c>
      <c r="P10" s="24" t="s">
        <v>37</v>
      </c>
      <c r="Q10" s="24" t="s">
        <v>38</v>
      </c>
    </row>
    <row r="11">
      <c r="A11" s="11" t="s">
        <v>44</v>
      </c>
      <c r="B11" s="38">
        <v>255.85</v>
      </c>
      <c r="C11" s="11">
        <f t="shared" si="1"/>
        <v>-0.0157722639</v>
      </c>
      <c r="D11" s="13">
        <f t="shared" si="2"/>
        <v>-0.0157722639</v>
      </c>
      <c r="E11" s="11" t="s">
        <v>44</v>
      </c>
      <c r="F11" s="12">
        <v>22055.7</v>
      </c>
      <c r="G11" s="11">
        <v>0.001468896</v>
      </c>
      <c r="H11" s="13">
        <v>0.0015</v>
      </c>
      <c r="J11" s="103" t="s">
        <v>45</v>
      </c>
      <c r="K11" s="20">
        <f>0.7853</f>
        <v>0.7853</v>
      </c>
      <c r="L11" s="11"/>
      <c r="M11" s="11"/>
      <c r="N11" s="23" t="s">
        <v>46</v>
      </c>
      <c r="O11" s="24">
        <f t="shared" ref="O11:O12" si="3">AVERAGE(C499:C746)</f>
        <v>-0.0004914925337</v>
      </c>
      <c r="P11" s="24">
        <f>AVERAGE(C250:C498)</f>
        <v>0.0001750312274</v>
      </c>
      <c r="Q11" s="24">
        <f>AVERAGE(C4:C249)</f>
        <v>0.004983658767</v>
      </c>
    </row>
    <row r="12">
      <c r="A12" s="11" t="s">
        <v>48</v>
      </c>
      <c r="B12" s="38">
        <v>259.95</v>
      </c>
      <c r="C12" s="11">
        <f t="shared" si="1"/>
        <v>-0.06002531188</v>
      </c>
      <c r="D12" s="13">
        <f t="shared" si="2"/>
        <v>-0.06002531188</v>
      </c>
      <c r="E12" s="11" t="s">
        <v>48</v>
      </c>
      <c r="F12" s="12">
        <v>22023.35</v>
      </c>
      <c r="G12" s="11">
        <v>-0.005567433</v>
      </c>
      <c r="H12" s="13">
        <v>-0.0056</v>
      </c>
      <c r="J12" s="15" t="s">
        <v>49</v>
      </c>
      <c r="K12" s="11">
        <f>K6-N8</f>
        <v>0.2287747803</v>
      </c>
      <c r="N12" s="23" t="s">
        <v>46</v>
      </c>
      <c r="O12" s="29">
        <f t="shared" si="3"/>
        <v>-0.0004092225328</v>
      </c>
      <c r="P12" s="29">
        <f t="shared" ref="P12:Q12" si="4">P11</f>
        <v>0.0001750312274</v>
      </c>
      <c r="Q12" s="30">
        <f t="shared" si="4"/>
        <v>0.004983658767</v>
      </c>
    </row>
    <row r="13">
      <c r="A13" s="11" t="s">
        <v>51</v>
      </c>
      <c r="B13" s="38">
        <v>276.55</v>
      </c>
      <c r="C13" s="11">
        <f t="shared" si="1"/>
        <v>0.1831016043</v>
      </c>
      <c r="D13" s="13">
        <f t="shared" si="2"/>
        <v>0.1831016043</v>
      </c>
      <c r="E13" s="11" t="s">
        <v>51</v>
      </c>
      <c r="F13" s="12">
        <v>22146.65</v>
      </c>
      <c r="G13" s="11">
        <v>0.006771162</v>
      </c>
      <c r="H13" s="13">
        <v>0.0068</v>
      </c>
      <c r="J13" s="15" t="s">
        <v>52</v>
      </c>
      <c r="K13" s="11">
        <f>K12*K9</f>
        <v>0.198550713</v>
      </c>
      <c r="N13" s="23" t="s">
        <v>53</v>
      </c>
      <c r="O13" s="29">
        <f>AVERAGE(O12:Q12)</f>
        <v>0.001583155821</v>
      </c>
      <c r="P13" s="31"/>
      <c r="Q13" s="31"/>
    </row>
    <row r="14">
      <c r="A14" s="11" t="s">
        <v>55</v>
      </c>
      <c r="B14" s="38">
        <v>233.75</v>
      </c>
      <c r="C14" s="11">
        <f t="shared" si="1"/>
        <v>-0.1059475999</v>
      </c>
      <c r="D14" s="13">
        <f t="shared" si="2"/>
        <v>-0.1059475999</v>
      </c>
      <c r="E14" s="11" t="s">
        <v>55</v>
      </c>
      <c r="F14" s="12">
        <v>21997.7</v>
      </c>
      <c r="G14" s="11">
        <v>-0.015132725</v>
      </c>
      <c r="H14" s="13">
        <v>-0.0151</v>
      </c>
      <c r="J14" s="32" t="s">
        <v>56</v>
      </c>
      <c r="K14" s="11">
        <f>K13+N8</f>
        <v>0.261850713</v>
      </c>
      <c r="N14" s="23" t="s">
        <v>57</v>
      </c>
      <c r="O14" s="31">
        <f>B746/B499-1</f>
        <v>0.2146189736</v>
      </c>
      <c r="P14" s="31">
        <f>B250/B498-1</f>
        <v>-0.09077155825</v>
      </c>
      <c r="Q14" s="31">
        <f>B4/B249-1</f>
        <v>1.776923077</v>
      </c>
    </row>
    <row r="15">
      <c r="A15" s="35">
        <v>45629.0</v>
      </c>
      <c r="B15" s="38">
        <v>261.45</v>
      </c>
      <c r="C15" s="11">
        <f t="shared" si="1"/>
        <v>-0.01321003963</v>
      </c>
      <c r="D15" s="13">
        <f t="shared" si="2"/>
        <v>-0.01321003963</v>
      </c>
      <c r="E15" s="35">
        <v>45629.0</v>
      </c>
      <c r="F15" s="12">
        <v>22335.7</v>
      </c>
      <c r="G15" s="11">
        <v>1.36571E-4</v>
      </c>
      <c r="H15" s="13">
        <v>1.0E-4</v>
      </c>
      <c r="J15" s="32" t="s">
        <v>59</v>
      </c>
      <c r="K15" s="36">
        <f>K14</f>
        <v>0.261850713</v>
      </c>
      <c r="N15" s="23" t="s">
        <v>60</v>
      </c>
      <c r="O15" s="29">
        <f t="shared" ref="O15:Q15" si="5">O14</f>
        <v>0.2146189736</v>
      </c>
      <c r="P15" s="29">
        <f t="shared" si="5"/>
        <v>-0.09077155825</v>
      </c>
      <c r="Q15" s="29">
        <f t="shared" si="5"/>
        <v>1.776923077</v>
      </c>
    </row>
    <row r="16">
      <c r="A16" s="35">
        <v>45599.0</v>
      </c>
      <c r="B16" s="38">
        <v>264.95</v>
      </c>
      <c r="C16" s="11">
        <f t="shared" si="1"/>
        <v>-0.0545941124</v>
      </c>
      <c r="D16" s="13">
        <f t="shared" si="2"/>
        <v>-0.0545941124</v>
      </c>
      <c r="E16" s="35">
        <v>45599.0</v>
      </c>
      <c r="F16" s="12">
        <v>22332.65</v>
      </c>
      <c r="G16" s="11">
        <v>-0.007153162</v>
      </c>
      <c r="H16" s="13">
        <v>-0.0072</v>
      </c>
      <c r="J16" s="15"/>
      <c r="K16" s="11"/>
      <c r="L16" s="11"/>
      <c r="M16" s="11"/>
      <c r="N16" s="23" t="s">
        <v>61</v>
      </c>
      <c r="O16" s="29">
        <f>AVERAGE(O15:Q15)</f>
        <v>0.6335901641</v>
      </c>
      <c r="P16" s="31"/>
      <c r="Q16" s="31"/>
    </row>
    <row r="17">
      <c r="A17" s="35">
        <v>45476.0</v>
      </c>
      <c r="B17" s="38">
        <v>280.25</v>
      </c>
      <c r="C17" s="11">
        <f t="shared" si="1"/>
        <v>-0.01216073317</v>
      </c>
      <c r="D17" s="13">
        <f t="shared" si="2"/>
        <v>-0.01216073317</v>
      </c>
      <c r="E17" s="35">
        <v>45476.0</v>
      </c>
      <c r="F17" s="12">
        <v>22493.55</v>
      </c>
      <c r="G17" s="11">
        <v>8.67667E-4</v>
      </c>
      <c r="H17" s="13">
        <v>9.0E-4</v>
      </c>
      <c r="J17" s="15"/>
      <c r="K17" s="11"/>
      <c r="L17" s="11"/>
      <c r="M17" s="11"/>
      <c r="N17" s="11"/>
      <c r="O17" s="37"/>
      <c r="P17" s="37"/>
      <c r="Q17" s="37"/>
    </row>
    <row r="18">
      <c r="A18" s="35">
        <v>45446.0</v>
      </c>
      <c r="B18" s="38">
        <v>283.7</v>
      </c>
      <c r="C18" s="11">
        <f t="shared" si="1"/>
        <v>-0.02020376446</v>
      </c>
      <c r="D18" s="13">
        <f t="shared" si="2"/>
        <v>-0.02020376446</v>
      </c>
      <c r="E18" s="35">
        <v>45446.0</v>
      </c>
      <c r="F18" s="12">
        <v>22474.05</v>
      </c>
      <c r="G18" s="11">
        <v>0.005266972</v>
      </c>
      <c r="H18" s="13">
        <v>0.0053</v>
      </c>
      <c r="J18" s="15"/>
      <c r="K18" s="11"/>
      <c r="L18" s="11"/>
      <c r="M18" s="11"/>
      <c r="N18" s="11"/>
    </row>
    <row r="19">
      <c r="A19" s="35">
        <v>45415.0</v>
      </c>
      <c r="B19" s="38">
        <v>289.55</v>
      </c>
      <c r="C19" s="11">
        <f t="shared" si="1"/>
        <v>-0.01194335438</v>
      </c>
      <c r="D19" s="13">
        <f t="shared" si="2"/>
        <v>-0.01194335438</v>
      </c>
      <c r="E19" s="35">
        <v>45415.0</v>
      </c>
      <c r="F19" s="12">
        <v>22356.3</v>
      </c>
      <c r="G19" s="11">
        <v>-0.002200343</v>
      </c>
      <c r="H19" s="13">
        <v>-0.0022</v>
      </c>
      <c r="J19" s="15"/>
      <c r="K19" s="11"/>
      <c r="L19" s="11"/>
      <c r="M19" s="11"/>
      <c r="N19" s="11"/>
    </row>
    <row r="20">
      <c r="A20" s="35">
        <v>45385.0</v>
      </c>
      <c r="B20" s="38">
        <v>293.05</v>
      </c>
      <c r="C20" s="11">
        <f t="shared" si="1"/>
        <v>-0.007283197832</v>
      </c>
      <c r="D20" s="13">
        <f t="shared" si="2"/>
        <v>-0.007283197832</v>
      </c>
      <c r="E20" s="35">
        <v>45385.0</v>
      </c>
      <c r="F20" s="12">
        <v>22405.6</v>
      </c>
      <c r="G20" s="11">
        <v>0.001215458</v>
      </c>
      <c r="H20" s="13">
        <v>0.0012</v>
      </c>
      <c r="J20" s="15"/>
      <c r="K20" s="11"/>
      <c r="L20" s="11"/>
      <c r="M20" s="11"/>
      <c r="N20" s="11"/>
    </row>
    <row r="21" ht="15.75" customHeight="1">
      <c r="A21" s="35">
        <v>45325.0</v>
      </c>
      <c r="B21" s="38">
        <v>295.2</v>
      </c>
      <c r="C21" s="11">
        <f t="shared" si="1"/>
        <v>0.009921313719</v>
      </c>
      <c r="D21" s="13">
        <f t="shared" si="2"/>
        <v>0.009921313719</v>
      </c>
      <c r="E21" s="35">
        <v>45325.0</v>
      </c>
      <c r="F21" s="12">
        <v>22378.4</v>
      </c>
      <c r="G21" s="11">
        <v>0.001774943</v>
      </c>
      <c r="H21" s="13">
        <v>0.0018</v>
      </c>
      <c r="J21" s="15"/>
      <c r="K21" s="11"/>
      <c r="L21" s="11"/>
      <c r="M21" s="11"/>
      <c r="N21" s="11"/>
    </row>
    <row r="22" ht="15.75" customHeight="1">
      <c r="A22" s="35">
        <v>45294.0</v>
      </c>
      <c r="B22" s="38">
        <v>292.3</v>
      </c>
      <c r="C22" s="11">
        <f t="shared" si="1"/>
        <v>-0.02060646674</v>
      </c>
      <c r="D22" s="13">
        <f t="shared" si="2"/>
        <v>-0.02060646674</v>
      </c>
      <c r="E22" s="35">
        <v>45294.0</v>
      </c>
      <c r="F22" s="12">
        <v>22338.75</v>
      </c>
      <c r="G22" s="11">
        <v>0.016192205</v>
      </c>
      <c r="H22" s="13">
        <v>0.0162</v>
      </c>
      <c r="J22" s="15"/>
      <c r="K22" s="11"/>
      <c r="L22" s="11"/>
      <c r="M22" s="11"/>
      <c r="N22" s="11"/>
    </row>
    <row r="23" ht="15.75" customHeight="1">
      <c r="A23" s="11" t="s">
        <v>62</v>
      </c>
      <c r="B23" s="38">
        <v>298.45</v>
      </c>
      <c r="C23" s="11">
        <f t="shared" si="1"/>
        <v>-0.0106083209</v>
      </c>
      <c r="D23" s="13">
        <f t="shared" si="2"/>
        <v>-0.0106083209</v>
      </c>
      <c r="E23" s="11" t="s">
        <v>62</v>
      </c>
      <c r="F23" s="12">
        <v>21982.8</v>
      </c>
      <c r="G23" s="11">
        <v>0.001441838</v>
      </c>
      <c r="H23" s="13">
        <v>0.0014</v>
      </c>
      <c r="J23" s="15"/>
      <c r="K23" s="11"/>
      <c r="L23" s="11"/>
      <c r="M23" s="11"/>
      <c r="N23" s="11"/>
    </row>
    <row r="24" ht="15.75" customHeight="1">
      <c r="A24" s="11" t="s">
        <v>63</v>
      </c>
      <c r="B24" s="38">
        <v>301.65</v>
      </c>
      <c r="C24" s="11">
        <f t="shared" si="1"/>
        <v>-0.04268486195</v>
      </c>
      <c r="D24" s="13">
        <f t="shared" si="2"/>
        <v>-0.04268486195</v>
      </c>
      <c r="E24" s="11" t="s">
        <v>63</v>
      </c>
      <c r="F24" s="12">
        <v>21951.15</v>
      </c>
      <c r="G24" s="11">
        <v>-0.011135963</v>
      </c>
      <c r="H24" s="13">
        <v>-0.0111</v>
      </c>
      <c r="J24" s="9"/>
      <c r="K24" s="11"/>
      <c r="L24" s="11"/>
      <c r="M24" s="11"/>
      <c r="N24" s="11"/>
    </row>
    <row r="25" ht="15.75" customHeight="1">
      <c r="A25" s="11" t="s">
        <v>66</v>
      </c>
      <c r="B25" s="38">
        <v>315.1</v>
      </c>
      <c r="C25" s="11">
        <f t="shared" si="1"/>
        <v>-0.01067503925</v>
      </c>
      <c r="D25" s="13">
        <f t="shared" si="2"/>
        <v>-0.01067503925</v>
      </c>
      <c r="E25" s="11" t="s">
        <v>66</v>
      </c>
      <c r="F25" s="12">
        <v>22198.35</v>
      </c>
      <c r="G25" s="11">
        <v>0.003449047</v>
      </c>
      <c r="H25" s="13">
        <v>0.0034</v>
      </c>
      <c r="J25" s="15"/>
      <c r="K25" s="11"/>
      <c r="L25" s="11"/>
      <c r="M25" s="11"/>
      <c r="N25" s="11"/>
    </row>
    <row r="26" ht="15.75" customHeight="1">
      <c r="A26" s="11" t="s">
        <v>69</v>
      </c>
      <c r="B26" s="38">
        <v>318.5</v>
      </c>
      <c r="C26" s="11">
        <f t="shared" si="1"/>
        <v>0.01223581758</v>
      </c>
      <c r="D26" s="13">
        <f t="shared" si="2"/>
        <v>0.01223581758</v>
      </c>
      <c r="E26" s="11" t="s">
        <v>69</v>
      </c>
      <c r="F26" s="12">
        <v>22122.05</v>
      </c>
      <c r="G26" s="11">
        <v>-0.004080999</v>
      </c>
      <c r="H26" s="13">
        <v>-0.0041</v>
      </c>
      <c r="J26" s="15"/>
      <c r="K26" s="11"/>
      <c r="L26" s="11"/>
      <c r="M26" s="11"/>
      <c r="N26" s="11"/>
    </row>
    <row r="27" ht="15.75" customHeight="1">
      <c r="A27" s="11" t="s">
        <v>71</v>
      </c>
      <c r="B27" s="38">
        <v>314.65</v>
      </c>
      <c r="C27" s="11">
        <f t="shared" si="1"/>
        <v>0.007202304738</v>
      </c>
      <c r="D27" s="13">
        <f t="shared" si="2"/>
        <v>0.007202304738</v>
      </c>
      <c r="E27" s="11" t="s">
        <v>71</v>
      </c>
      <c r="F27" s="12">
        <v>22212.7</v>
      </c>
      <c r="G27" s="11">
        <v>-2.13796E-4</v>
      </c>
      <c r="H27" s="13">
        <v>-2.0E-4</v>
      </c>
      <c r="J27" s="15"/>
      <c r="K27" s="11"/>
      <c r="L27" s="11"/>
      <c r="M27" s="11"/>
      <c r="N27" s="11"/>
    </row>
    <row r="28" ht="15.75" customHeight="1">
      <c r="A28" s="11" t="s">
        <v>77</v>
      </c>
      <c r="B28" s="38">
        <v>312.4</v>
      </c>
      <c r="C28" s="11">
        <f t="shared" si="1"/>
        <v>-0.007150802479</v>
      </c>
      <c r="D28" s="13">
        <f t="shared" si="2"/>
        <v>-0.007150802479</v>
      </c>
      <c r="E28" s="11" t="s">
        <v>77</v>
      </c>
      <c r="F28" s="12">
        <v>22217.45</v>
      </c>
      <c r="G28" s="11">
        <v>0.007363393</v>
      </c>
      <c r="H28" s="13">
        <v>0.0074</v>
      </c>
      <c r="J28" s="15"/>
      <c r="K28" s="13"/>
      <c r="L28" s="13"/>
      <c r="M28" s="13"/>
      <c r="N28" s="13"/>
    </row>
    <row r="29" ht="15.75" customHeight="1">
      <c r="A29" s="11" t="s">
        <v>79</v>
      </c>
      <c r="B29" s="38">
        <v>314.65</v>
      </c>
      <c r="C29" s="11">
        <f t="shared" si="1"/>
        <v>-0.03303626306</v>
      </c>
      <c r="D29" s="13">
        <f t="shared" si="2"/>
        <v>-0.03303626306</v>
      </c>
      <c r="E29" s="11" t="s">
        <v>79</v>
      </c>
      <c r="F29" s="12">
        <v>22055.05</v>
      </c>
      <c r="G29" s="11">
        <v>-0.00639277</v>
      </c>
      <c r="H29" s="13">
        <v>-0.0064</v>
      </c>
      <c r="J29" s="15"/>
      <c r="K29" s="6"/>
      <c r="L29" s="6"/>
      <c r="M29" s="6"/>
      <c r="N29" s="11"/>
      <c r="P29" s="81" t="s">
        <v>81</v>
      </c>
      <c r="Q29" s="81"/>
      <c r="R29" s="81"/>
      <c r="S29" s="81"/>
    </row>
    <row r="30" ht="15.75" customHeight="1">
      <c r="A30" s="11" t="s">
        <v>82</v>
      </c>
      <c r="B30" s="38">
        <v>325.4</v>
      </c>
      <c r="C30" s="11">
        <f t="shared" si="1"/>
        <v>-0.005653170359</v>
      </c>
      <c r="D30" s="13">
        <f t="shared" si="2"/>
        <v>-0.005653170359</v>
      </c>
      <c r="E30" s="11" t="s">
        <v>82</v>
      </c>
      <c r="F30" s="12">
        <v>22196.95</v>
      </c>
      <c r="G30" s="11">
        <v>0.003376691</v>
      </c>
      <c r="H30" s="13">
        <v>0.0034</v>
      </c>
      <c r="J30" s="15"/>
      <c r="K30" s="11"/>
      <c r="L30" s="11"/>
      <c r="M30" s="11"/>
      <c r="N30" s="11"/>
      <c r="P30" s="81"/>
      <c r="Q30" s="81"/>
      <c r="R30" s="81"/>
      <c r="S30" s="81"/>
    </row>
    <row r="31" ht="15.75" customHeight="1">
      <c r="A31" s="11" t="s">
        <v>84</v>
      </c>
      <c r="B31" s="38">
        <v>327.25</v>
      </c>
      <c r="C31" s="11">
        <f t="shared" si="1"/>
        <v>0.0472</v>
      </c>
      <c r="D31" s="13">
        <f t="shared" si="2"/>
        <v>0.0472</v>
      </c>
      <c r="E31" s="11" t="s">
        <v>84</v>
      </c>
      <c r="F31" s="12">
        <v>22122.25</v>
      </c>
      <c r="G31" s="11">
        <v>0.003699973</v>
      </c>
      <c r="H31" s="13">
        <v>0.0037</v>
      </c>
      <c r="J31" s="15"/>
      <c r="K31" s="85"/>
      <c r="L31" s="85"/>
      <c r="M31" s="85"/>
      <c r="N31" s="85"/>
    </row>
    <row r="32" ht="15.75" customHeight="1">
      <c r="A32" s="11" t="s">
        <v>86</v>
      </c>
      <c r="B32" s="38">
        <v>312.5</v>
      </c>
      <c r="C32" s="11">
        <f t="shared" si="1"/>
        <v>-0.01076289965</v>
      </c>
      <c r="D32" s="13">
        <f t="shared" si="2"/>
        <v>-0.01076289965</v>
      </c>
      <c r="E32" s="11" t="s">
        <v>86</v>
      </c>
      <c r="F32" s="12">
        <v>22040.7</v>
      </c>
      <c r="G32" s="11">
        <v>0.005930879</v>
      </c>
      <c r="H32" s="13">
        <v>0.0059</v>
      </c>
      <c r="J32" s="15"/>
      <c r="K32" s="13"/>
      <c r="L32" s="13"/>
      <c r="M32" s="13"/>
      <c r="N32" s="13"/>
    </row>
    <row r="33" ht="15.75" customHeight="1">
      <c r="A33" s="11" t="s">
        <v>88</v>
      </c>
      <c r="B33" s="38">
        <v>315.9</v>
      </c>
      <c r="C33" s="11">
        <f t="shared" si="1"/>
        <v>0.06525037936</v>
      </c>
      <c r="D33" s="13">
        <f t="shared" si="2"/>
        <v>0.06525037936</v>
      </c>
      <c r="E33" s="11" t="s">
        <v>88</v>
      </c>
      <c r="F33" s="12">
        <v>21910.75</v>
      </c>
      <c r="G33" s="11">
        <v>0.003237172</v>
      </c>
      <c r="H33" s="13">
        <v>0.0032</v>
      </c>
      <c r="J33" s="15"/>
      <c r="K33" s="11"/>
      <c r="L33" s="11"/>
      <c r="M33" s="11"/>
      <c r="N33" s="11"/>
    </row>
    <row r="34" ht="15.75" customHeight="1">
      <c r="A34" s="11" t="s">
        <v>91</v>
      </c>
      <c r="B34" s="38">
        <v>296.55</v>
      </c>
      <c r="C34" s="11">
        <f t="shared" si="1"/>
        <v>0.01332649923</v>
      </c>
      <c r="D34" s="13">
        <f t="shared" si="2"/>
        <v>0.01332649923</v>
      </c>
      <c r="E34" s="11" t="s">
        <v>91</v>
      </c>
      <c r="F34" s="12">
        <v>21840.05</v>
      </c>
      <c r="G34" s="11">
        <v>0.004451956</v>
      </c>
      <c r="H34" s="13">
        <v>0.0045</v>
      </c>
      <c r="J34" s="15"/>
      <c r="K34" s="11"/>
      <c r="L34" s="11"/>
      <c r="M34" s="11"/>
      <c r="N34" s="11"/>
    </row>
    <row r="35" ht="15.75" customHeight="1">
      <c r="A35" s="11" t="s">
        <v>94</v>
      </c>
      <c r="B35" s="38">
        <v>292.65</v>
      </c>
      <c r="C35" s="11">
        <f t="shared" si="1"/>
        <v>0.04053333333</v>
      </c>
      <c r="D35" s="13">
        <f t="shared" si="2"/>
        <v>0.04053333333</v>
      </c>
      <c r="E35" s="11" t="s">
        <v>94</v>
      </c>
      <c r="F35" s="12">
        <v>21743.25</v>
      </c>
      <c r="G35" s="11">
        <v>0.005884516</v>
      </c>
      <c r="H35" s="13">
        <v>0.0059</v>
      </c>
      <c r="J35" s="15"/>
      <c r="K35" s="11"/>
      <c r="L35" s="11"/>
      <c r="M35" s="11"/>
      <c r="N35" s="11"/>
    </row>
    <row r="36" ht="15.75" customHeight="1">
      <c r="A36" s="35">
        <v>45628.0</v>
      </c>
      <c r="B36" s="38">
        <v>281.25</v>
      </c>
      <c r="C36" s="11">
        <f t="shared" si="1"/>
        <v>-0.1413524653</v>
      </c>
      <c r="D36" s="13">
        <f t="shared" si="2"/>
        <v>-0.1413524653</v>
      </c>
      <c r="E36" s="35">
        <v>45628.0</v>
      </c>
      <c r="F36" s="12">
        <v>21616.05</v>
      </c>
      <c r="G36" s="11">
        <v>-0.007641455</v>
      </c>
      <c r="H36" s="13">
        <v>-0.0076</v>
      </c>
      <c r="J36" s="15"/>
      <c r="K36" s="11"/>
      <c r="L36" s="11"/>
      <c r="M36" s="11"/>
      <c r="N36" s="11"/>
    </row>
    <row r="37" ht="15.75" customHeight="1">
      <c r="A37" s="35">
        <v>45537.0</v>
      </c>
      <c r="B37" s="38">
        <v>327.55</v>
      </c>
      <c r="C37" s="11">
        <f t="shared" si="1"/>
        <v>-0.04601718363</v>
      </c>
      <c r="D37" s="13">
        <f t="shared" si="2"/>
        <v>-0.04601718363</v>
      </c>
      <c r="E37" s="35">
        <v>45537.0</v>
      </c>
      <c r="F37" s="12">
        <v>21782.5</v>
      </c>
      <c r="G37" s="11">
        <v>0.002972196</v>
      </c>
      <c r="H37" s="13">
        <v>0.003</v>
      </c>
      <c r="J37" s="15"/>
      <c r="K37" s="11"/>
      <c r="L37" s="11"/>
      <c r="M37" s="11"/>
      <c r="N37" s="11"/>
    </row>
    <row r="38" ht="15.75" customHeight="1">
      <c r="A38" s="35">
        <v>45506.0</v>
      </c>
      <c r="B38" s="38">
        <v>343.35</v>
      </c>
      <c r="C38" s="11">
        <f t="shared" si="1"/>
        <v>-0.01534270146</v>
      </c>
      <c r="D38" s="13">
        <f t="shared" si="2"/>
        <v>-0.01534270146</v>
      </c>
      <c r="E38" s="35">
        <v>45506.0</v>
      </c>
      <c r="F38" s="12">
        <v>21717.95</v>
      </c>
      <c r="G38" s="11">
        <v>-0.009691981</v>
      </c>
      <c r="H38" s="13">
        <v>-0.0097</v>
      </c>
      <c r="J38" s="15"/>
      <c r="K38" s="11"/>
      <c r="L38" s="11"/>
      <c r="M38" s="11"/>
      <c r="N38" s="11"/>
    </row>
    <row r="39" ht="15.75" customHeight="1">
      <c r="A39" s="35">
        <v>45475.0</v>
      </c>
      <c r="B39" s="38">
        <v>348.7</v>
      </c>
      <c r="C39" s="11">
        <f t="shared" si="1"/>
        <v>-0.01399688958</v>
      </c>
      <c r="D39" s="13">
        <f t="shared" si="2"/>
        <v>-0.01399688958</v>
      </c>
      <c r="E39" s="35">
        <v>45475.0</v>
      </c>
      <c r="F39" s="12">
        <v>21930.5</v>
      </c>
      <c r="G39" s="45">
        <v>5.0161E-5</v>
      </c>
      <c r="H39" s="13">
        <v>1.0E-4</v>
      </c>
      <c r="J39" s="15"/>
      <c r="K39" s="13"/>
      <c r="L39" s="13"/>
      <c r="M39" s="13"/>
      <c r="N39" s="13"/>
    </row>
    <row r="40" ht="15.75" customHeight="1">
      <c r="A40" s="35">
        <v>45445.0</v>
      </c>
      <c r="B40" s="38">
        <v>353.65</v>
      </c>
      <c r="C40" s="11">
        <f t="shared" si="1"/>
        <v>0.02790292109</v>
      </c>
      <c r="D40" s="13">
        <f t="shared" si="2"/>
        <v>0.02790292109</v>
      </c>
      <c r="E40" s="35">
        <v>45445.0</v>
      </c>
      <c r="F40" s="12">
        <v>21929.4</v>
      </c>
      <c r="G40" s="11">
        <v>0.007243348</v>
      </c>
      <c r="H40" s="13">
        <v>0.0072</v>
      </c>
      <c r="I40" s="11"/>
      <c r="J40" s="15"/>
      <c r="K40" s="11"/>
      <c r="L40" s="11"/>
      <c r="M40" s="11"/>
      <c r="N40" s="11"/>
    </row>
    <row r="41" ht="15.75" customHeight="1">
      <c r="A41" s="35">
        <v>45414.0</v>
      </c>
      <c r="B41" s="38">
        <v>344.05</v>
      </c>
      <c r="C41" s="11">
        <f t="shared" si="1"/>
        <v>0.006288388418</v>
      </c>
      <c r="D41" s="13">
        <f t="shared" si="2"/>
        <v>0.006288388418</v>
      </c>
      <c r="E41" s="35">
        <v>45414.0</v>
      </c>
      <c r="F41" s="12">
        <v>21771.7</v>
      </c>
      <c r="G41" s="11">
        <v>-0.003756784</v>
      </c>
      <c r="H41" s="13">
        <v>-0.0038</v>
      </c>
      <c r="J41" s="96"/>
      <c r="K41" s="97"/>
      <c r="L41" s="11"/>
      <c r="M41" s="11"/>
      <c r="N41" s="11"/>
    </row>
    <row r="42" ht="15.75" customHeight="1">
      <c r="A42" s="35">
        <v>45324.0</v>
      </c>
      <c r="B42" s="38">
        <v>341.9</v>
      </c>
      <c r="C42" s="11">
        <f t="shared" si="1"/>
        <v>-0.0002923976608</v>
      </c>
      <c r="D42" s="13">
        <f t="shared" si="2"/>
        <v>-0.0002923976608</v>
      </c>
      <c r="E42" s="35">
        <v>45324.0</v>
      </c>
      <c r="F42" s="12">
        <v>21853.8</v>
      </c>
      <c r="G42" s="11">
        <v>0.007205916</v>
      </c>
      <c r="H42" s="13">
        <v>0.0072</v>
      </c>
    </row>
    <row r="43" ht="15.75" customHeight="1">
      <c r="A43" s="35">
        <v>45293.0</v>
      </c>
      <c r="B43" s="38">
        <v>342.0</v>
      </c>
      <c r="C43" s="11">
        <f t="shared" si="1"/>
        <v>0.00278551532</v>
      </c>
      <c r="D43" s="13">
        <f t="shared" si="2"/>
        <v>0.00278551532</v>
      </c>
      <c r="E43" s="35">
        <v>45293.0</v>
      </c>
      <c r="F43" s="12">
        <v>21697.45</v>
      </c>
      <c r="G43" s="11">
        <v>-0.001300303</v>
      </c>
      <c r="H43" s="13">
        <v>-0.0013</v>
      </c>
    </row>
    <row r="44" ht="15.75" customHeight="1">
      <c r="A44" s="11" t="s">
        <v>101</v>
      </c>
      <c r="B44" s="38">
        <v>341.05</v>
      </c>
      <c r="C44" s="11">
        <f t="shared" si="1"/>
        <v>0.007086962941</v>
      </c>
      <c r="D44" s="13">
        <f t="shared" si="2"/>
        <v>0.007086962941</v>
      </c>
      <c r="E44" s="11" t="s">
        <v>101</v>
      </c>
      <c r="F44" s="12">
        <v>21725.7</v>
      </c>
      <c r="G44" s="11">
        <v>0.009460043</v>
      </c>
      <c r="H44" s="13">
        <v>0.0095</v>
      </c>
    </row>
    <row r="45" ht="15.75" customHeight="1">
      <c r="A45" s="11" t="s">
        <v>102</v>
      </c>
      <c r="B45" s="38">
        <v>338.65</v>
      </c>
      <c r="C45" s="11">
        <f t="shared" si="1"/>
        <v>0.01666166316</v>
      </c>
      <c r="D45" s="13">
        <f t="shared" si="2"/>
        <v>0.01666166316</v>
      </c>
      <c r="E45" s="11" t="s">
        <v>102</v>
      </c>
      <c r="F45" s="12">
        <v>21522.1</v>
      </c>
      <c r="G45" s="11">
        <v>-0.009913698</v>
      </c>
      <c r="H45" s="13">
        <v>-0.0099</v>
      </c>
    </row>
    <row r="46" ht="15.75" customHeight="1">
      <c r="A46" s="11" t="s">
        <v>103</v>
      </c>
      <c r="B46" s="38">
        <v>333.1</v>
      </c>
      <c r="C46" s="11">
        <f t="shared" si="1"/>
        <v>-0.02502561101</v>
      </c>
      <c r="D46" s="13">
        <f t="shared" si="2"/>
        <v>-0.02502561101</v>
      </c>
      <c r="E46" s="11" t="s">
        <v>103</v>
      </c>
      <c r="F46" s="12">
        <v>21737.6</v>
      </c>
      <c r="G46" s="11">
        <v>0.018030591</v>
      </c>
      <c r="H46" s="13">
        <v>0.018</v>
      </c>
    </row>
    <row r="47" ht="15.75" customHeight="1">
      <c r="A47" s="11" t="s">
        <v>104</v>
      </c>
      <c r="B47" s="38">
        <v>341.65</v>
      </c>
      <c r="C47" s="11">
        <f t="shared" si="1"/>
        <v>-0.00538573508</v>
      </c>
      <c r="D47" s="13">
        <f t="shared" si="2"/>
        <v>-0.00538573508</v>
      </c>
      <c r="E47" s="11" t="s">
        <v>104</v>
      </c>
      <c r="F47" s="12">
        <v>21352.6</v>
      </c>
      <c r="G47" s="11">
        <v>-0.004724072</v>
      </c>
      <c r="H47" s="13">
        <v>-0.0047</v>
      </c>
    </row>
    <row r="48" ht="15.75" customHeight="1">
      <c r="A48" s="11" t="s">
        <v>105</v>
      </c>
      <c r="B48" s="38">
        <v>343.5</v>
      </c>
      <c r="C48" s="11">
        <f t="shared" si="1"/>
        <v>0.03807796917</v>
      </c>
      <c r="D48" s="13">
        <f t="shared" si="2"/>
        <v>0.03807796917</v>
      </c>
      <c r="E48" s="11" t="s">
        <v>105</v>
      </c>
      <c r="F48" s="12">
        <v>21453.95</v>
      </c>
      <c r="G48" s="11">
        <v>0.010130045</v>
      </c>
      <c r="H48" s="13">
        <v>0.0101</v>
      </c>
    </row>
    <row r="49" ht="15.75" customHeight="1">
      <c r="A49" s="11" t="s">
        <v>106</v>
      </c>
      <c r="B49" s="38">
        <v>330.9</v>
      </c>
      <c r="C49" s="11">
        <f t="shared" si="1"/>
        <v>-0.0651221924</v>
      </c>
      <c r="D49" s="13">
        <f t="shared" si="2"/>
        <v>-0.0651221924</v>
      </c>
      <c r="E49" s="11" t="s">
        <v>106</v>
      </c>
      <c r="F49" s="12">
        <v>21238.8</v>
      </c>
      <c r="G49" s="11">
        <v>-0.01543682</v>
      </c>
      <c r="H49" s="13">
        <v>-0.0154</v>
      </c>
    </row>
    <row r="50" ht="15.75" customHeight="1">
      <c r="A50" s="11" t="s">
        <v>107</v>
      </c>
      <c r="B50" s="38">
        <v>353.95</v>
      </c>
      <c r="C50" s="11">
        <f t="shared" si="1"/>
        <v>0.03252625438</v>
      </c>
      <c r="D50" s="13">
        <f t="shared" si="2"/>
        <v>0.03252625438</v>
      </c>
      <c r="E50" s="11" t="s">
        <v>107</v>
      </c>
      <c r="F50" s="12">
        <v>21571.8</v>
      </c>
      <c r="G50" s="11">
        <v>-0.002340166</v>
      </c>
      <c r="H50" s="13">
        <v>-0.0023</v>
      </c>
    </row>
    <row r="51" ht="15.75" customHeight="1">
      <c r="A51" s="11" t="s">
        <v>108</v>
      </c>
      <c r="B51" s="38">
        <v>342.8</v>
      </c>
      <c r="C51" s="11">
        <f t="shared" si="1"/>
        <v>-0.01224607405</v>
      </c>
      <c r="D51" s="13">
        <f t="shared" si="2"/>
        <v>-0.01224607405</v>
      </c>
      <c r="E51" s="11" t="s">
        <v>108</v>
      </c>
      <c r="F51" s="12">
        <v>21622.4</v>
      </c>
      <c r="G51" s="11">
        <v>0.007461939</v>
      </c>
      <c r="H51" s="13">
        <v>0.0075</v>
      </c>
    </row>
    <row r="52" ht="15.75" customHeight="1">
      <c r="A52" s="11" t="s">
        <v>109</v>
      </c>
      <c r="B52" s="38">
        <v>347.05</v>
      </c>
      <c r="C52" s="11">
        <f t="shared" si="1"/>
        <v>-0.05345697532</v>
      </c>
      <c r="D52" s="13">
        <f t="shared" si="2"/>
        <v>-0.05345697532</v>
      </c>
      <c r="E52" s="11" t="s">
        <v>109</v>
      </c>
      <c r="F52" s="12">
        <v>21462.25</v>
      </c>
      <c r="G52" s="11">
        <v>-0.005085308</v>
      </c>
      <c r="H52" s="13">
        <v>-0.0051</v>
      </c>
    </row>
    <row r="53" ht="15.75" customHeight="1">
      <c r="A53" s="11" t="s">
        <v>110</v>
      </c>
      <c r="B53" s="38">
        <v>366.65</v>
      </c>
      <c r="C53" s="11">
        <f t="shared" si="1"/>
        <v>-0.01925906112</v>
      </c>
      <c r="D53" s="13">
        <f t="shared" si="2"/>
        <v>-0.01925906112</v>
      </c>
      <c r="E53" s="11" t="s">
        <v>110</v>
      </c>
      <c r="F53" s="12">
        <v>21571.95</v>
      </c>
      <c r="G53" s="11">
        <v>-0.020894323</v>
      </c>
      <c r="H53" s="13">
        <v>-0.0209</v>
      </c>
    </row>
    <row r="54" ht="15.75" customHeight="1">
      <c r="A54" s="11" t="s">
        <v>111</v>
      </c>
      <c r="B54" s="38">
        <v>373.85</v>
      </c>
      <c r="C54" s="11">
        <f t="shared" si="1"/>
        <v>0.1856961624</v>
      </c>
      <c r="D54" s="13">
        <f t="shared" si="2"/>
        <v>0.1856961624</v>
      </c>
      <c r="E54" s="11" t="s">
        <v>111</v>
      </c>
      <c r="F54" s="12">
        <v>22032.3</v>
      </c>
      <c r="G54" s="11">
        <v>-0.002948304</v>
      </c>
      <c r="H54" s="13">
        <v>-0.0029</v>
      </c>
    </row>
    <row r="55" ht="15.75" customHeight="1">
      <c r="A55" s="11" t="s">
        <v>112</v>
      </c>
      <c r="B55" s="38">
        <v>315.3</v>
      </c>
      <c r="C55" s="11">
        <f t="shared" si="1"/>
        <v>0.03056054911</v>
      </c>
      <c r="D55" s="13">
        <f t="shared" si="2"/>
        <v>0.03056054911</v>
      </c>
      <c r="E55" s="11" t="s">
        <v>112</v>
      </c>
      <c r="F55" s="12">
        <v>22097.45</v>
      </c>
      <c r="G55" s="11">
        <v>0.009267146</v>
      </c>
      <c r="H55" s="13">
        <v>0.0093</v>
      </c>
    </row>
    <row r="56" ht="15.75" customHeight="1">
      <c r="A56" s="35">
        <v>45627.0</v>
      </c>
      <c r="B56" s="38">
        <v>305.95</v>
      </c>
      <c r="C56" s="11">
        <f t="shared" si="1"/>
        <v>-0.001957266351</v>
      </c>
      <c r="D56" s="13">
        <f t="shared" si="2"/>
        <v>-0.001957266351</v>
      </c>
      <c r="E56" s="35">
        <v>45627.0</v>
      </c>
      <c r="F56" s="12">
        <v>21894.55</v>
      </c>
      <c r="G56" s="11">
        <v>0.01142642</v>
      </c>
      <c r="H56" s="13">
        <v>0.0114</v>
      </c>
    </row>
    <row r="57" ht="15.75" customHeight="1">
      <c r="A57" s="35">
        <v>45597.0</v>
      </c>
      <c r="B57" s="38">
        <v>306.55</v>
      </c>
      <c r="C57" s="11">
        <f t="shared" si="1"/>
        <v>0.0006528480496</v>
      </c>
      <c r="D57" s="13">
        <f t="shared" si="2"/>
        <v>0.0006528480496</v>
      </c>
      <c r="E57" s="35">
        <v>45597.0</v>
      </c>
      <c r="F57" s="12">
        <v>21647.2</v>
      </c>
      <c r="G57" s="11">
        <v>0.001318303</v>
      </c>
      <c r="H57" s="13">
        <v>0.0013</v>
      </c>
      <c r="J57" s="15"/>
      <c r="K57" s="11"/>
      <c r="L57" s="11"/>
      <c r="M57" s="11"/>
      <c r="N57" s="11"/>
    </row>
    <row r="58" ht="15.75" customHeight="1">
      <c r="A58" s="35">
        <v>45566.0</v>
      </c>
      <c r="B58" s="38">
        <v>306.35</v>
      </c>
      <c r="C58" s="11">
        <f t="shared" si="1"/>
        <v>-0.003415744958</v>
      </c>
      <c r="D58" s="13">
        <f t="shared" si="2"/>
        <v>-0.003415744958</v>
      </c>
      <c r="E58" s="35">
        <v>45566.0</v>
      </c>
      <c r="F58" s="12">
        <v>21618.7</v>
      </c>
      <c r="G58" s="11">
        <v>0.003427733</v>
      </c>
      <c r="H58" s="13">
        <v>0.0034</v>
      </c>
      <c r="J58" s="15"/>
      <c r="K58" s="11"/>
      <c r="L58" s="11"/>
      <c r="M58" s="11"/>
      <c r="N58" s="11"/>
    </row>
    <row r="59" ht="15.75" customHeight="1">
      <c r="A59" s="35">
        <v>45536.0</v>
      </c>
      <c r="B59" s="38">
        <v>307.4</v>
      </c>
      <c r="C59" s="11">
        <f t="shared" si="1"/>
        <v>0.01569469684</v>
      </c>
      <c r="D59" s="13">
        <f t="shared" si="2"/>
        <v>0.01569469684</v>
      </c>
      <c r="E59" s="35">
        <v>45536.0</v>
      </c>
      <c r="F59" s="12">
        <v>21544.85</v>
      </c>
      <c r="G59" s="11">
        <v>0.0014805</v>
      </c>
      <c r="H59" s="13">
        <v>0.0015</v>
      </c>
      <c r="J59" s="15"/>
      <c r="K59" s="11"/>
      <c r="L59" s="11"/>
      <c r="M59" s="11"/>
      <c r="N59" s="11"/>
    </row>
    <row r="60" ht="15.75" customHeight="1">
      <c r="A60" s="35">
        <v>45505.0</v>
      </c>
      <c r="B60" s="38">
        <v>302.65</v>
      </c>
      <c r="C60" s="11">
        <f t="shared" si="1"/>
        <v>-0.02872272144</v>
      </c>
      <c r="D60" s="13">
        <f t="shared" si="2"/>
        <v>-0.02872272144</v>
      </c>
      <c r="E60" s="35">
        <v>45505.0</v>
      </c>
      <c r="F60" s="12">
        <v>21513.0</v>
      </c>
      <c r="G60" s="11">
        <v>-0.009110673</v>
      </c>
      <c r="H60" s="13">
        <v>-0.0091</v>
      </c>
      <c r="J60" s="15"/>
      <c r="K60" s="11"/>
      <c r="L60" s="11"/>
      <c r="M60" s="11"/>
      <c r="N60" s="11"/>
    </row>
    <row r="61" ht="15.75" customHeight="1">
      <c r="A61" s="35">
        <v>45413.0</v>
      </c>
      <c r="B61" s="38">
        <v>311.6</v>
      </c>
      <c r="C61" s="11">
        <f t="shared" si="1"/>
        <v>-0.007169029791</v>
      </c>
      <c r="D61" s="13">
        <f t="shared" si="2"/>
        <v>-0.007169029791</v>
      </c>
      <c r="E61" s="35">
        <v>45413.0</v>
      </c>
      <c r="F61" s="12">
        <v>21710.8</v>
      </c>
      <c r="G61" s="11">
        <v>0.002410128</v>
      </c>
      <c r="H61" s="13">
        <v>0.0024</v>
      </c>
      <c r="J61" s="15"/>
      <c r="K61" s="11"/>
      <c r="L61" s="11"/>
      <c r="M61" s="11"/>
      <c r="N61" s="11"/>
    </row>
    <row r="62" ht="15.75" customHeight="1">
      <c r="A62" s="35">
        <v>45383.0</v>
      </c>
      <c r="B62" s="38">
        <v>313.85</v>
      </c>
      <c r="C62" s="11">
        <f t="shared" si="1"/>
        <v>0.006574727389</v>
      </c>
      <c r="D62" s="13">
        <f t="shared" si="2"/>
        <v>0.006574727389</v>
      </c>
      <c r="E62" s="35">
        <v>45383.0</v>
      </c>
      <c r="F62" s="12">
        <v>21658.6</v>
      </c>
      <c r="G62" s="11">
        <v>0.00656447</v>
      </c>
      <c r="H62" s="13">
        <v>0.0066</v>
      </c>
      <c r="J62" s="15"/>
      <c r="K62" s="11"/>
      <c r="L62" s="11"/>
      <c r="M62" s="11"/>
      <c r="N62" s="11"/>
    </row>
    <row r="63" ht="15.75" customHeight="1">
      <c r="A63" s="35">
        <v>45352.0</v>
      </c>
      <c r="B63" s="38">
        <v>311.8</v>
      </c>
      <c r="C63" s="11">
        <f t="shared" si="1"/>
        <v>0.001928020566</v>
      </c>
      <c r="D63" s="13">
        <f t="shared" si="2"/>
        <v>0.001928020566</v>
      </c>
      <c r="E63" s="35">
        <v>45352.0</v>
      </c>
      <c r="F63" s="12">
        <v>21517.35</v>
      </c>
      <c r="G63" s="11">
        <v>-0.006851813</v>
      </c>
      <c r="H63" s="13">
        <v>-0.0069</v>
      </c>
      <c r="J63" s="15"/>
      <c r="K63" s="11"/>
      <c r="L63" s="11"/>
      <c r="M63" s="11"/>
      <c r="N63" s="11"/>
    </row>
    <row r="64" ht="15.75" customHeight="1">
      <c r="A64" s="35">
        <v>45323.0</v>
      </c>
      <c r="B64" s="38">
        <v>311.2</v>
      </c>
      <c r="C64" s="11">
        <f t="shared" si="1"/>
        <v>0.01285598047</v>
      </c>
      <c r="D64" s="13">
        <f t="shared" si="2"/>
        <v>0.01285598047</v>
      </c>
      <c r="E64" s="35">
        <v>45323.0</v>
      </c>
      <c r="F64" s="12">
        <v>21665.8</v>
      </c>
      <c r="G64" s="11">
        <v>-0.003500154</v>
      </c>
      <c r="H64" s="13">
        <v>-0.0035</v>
      </c>
      <c r="I64" s="11"/>
      <c r="J64" s="15"/>
      <c r="K64" s="11"/>
      <c r="L64" s="11"/>
      <c r="M64" s="11"/>
      <c r="N64" s="11"/>
    </row>
    <row r="65" ht="15.75" customHeight="1">
      <c r="A65" s="35">
        <v>45292.0</v>
      </c>
      <c r="B65" s="38">
        <v>307.25</v>
      </c>
      <c r="C65" s="11">
        <f t="shared" si="1"/>
        <v>0.00886553932</v>
      </c>
      <c r="D65" s="13">
        <f t="shared" si="2"/>
        <v>0.00886553932</v>
      </c>
      <c r="E65" s="35">
        <v>45292.0</v>
      </c>
      <c r="F65" s="12">
        <v>21741.9</v>
      </c>
      <c r="G65" s="11">
        <v>4.83172E-4</v>
      </c>
      <c r="H65" s="13">
        <v>5.0E-4</v>
      </c>
      <c r="I65" s="11"/>
      <c r="J65" s="17" t="s">
        <v>116</v>
      </c>
      <c r="K65" s="16" t="s">
        <v>117</v>
      </c>
      <c r="L65" s="6"/>
      <c r="N65" s="6"/>
    </row>
    <row r="66" ht="15.75" customHeight="1">
      <c r="A66" s="11" t="s">
        <v>119</v>
      </c>
      <c r="B66" s="38">
        <v>304.55</v>
      </c>
      <c r="C66" s="11">
        <f t="shared" si="1"/>
        <v>0.0106188817</v>
      </c>
      <c r="D66" s="13">
        <f t="shared" si="2"/>
        <v>0.0106188817</v>
      </c>
      <c r="E66" s="11" t="s">
        <v>119</v>
      </c>
      <c r="F66" s="12">
        <v>21731.4</v>
      </c>
      <c r="G66" s="11">
        <v>-0.002171847</v>
      </c>
      <c r="H66" s="13">
        <v>-0.0022</v>
      </c>
      <c r="I66" s="11"/>
      <c r="J66" s="49">
        <f>_xlfn.VAR.S(C4:C745)</f>
        <v>0.00101362692</v>
      </c>
      <c r="K66" s="50">
        <f>_xlfn.VAR.P(G3:G745)</f>
        <v>0.00007456432323</v>
      </c>
      <c r="L66" s="11"/>
      <c r="N66" s="11"/>
    </row>
    <row r="67" ht="15.75" customHeight="1">
      <c r="A67" s="11" t="s">
        <v>120</v>
      </c>
      <c r="B67" s="38">
        <v>301.35</v>
      </c>
      <c r="C67" s="11">
        <f t="shared" si="1"/>
        <v>0.001828457447</v>
      </c>
      <c r="D67" s="13">
        <f t="shared" si="2"/>
        <v>0.001828457447</v>
      </c>
      <c r="E67" s="11" t="s">
        <v>120</v>
      </c>
      <c r="F67" s="12">
        <v>21778.7</v>
      </c>
      <c r="G67" s="11">
        <v>0.005723917</v>
      </c>
      <c r="H67" s="13">
        <v>0.0057</v>
      </c>
      <c r="I67" s="11"/>
      <c r="J67" s="15"/>
      <c r="K67" s="11"/>
      <c r="L67" s="11"/>
      <c r="M67" s="11"/>
      <c r="N67" s="11"/>
    </row>
    <row r="68" ht="15.75" customHeight="1">
      <c r="A68" s="11" t="s">
        <v>121</v>
      </c>
      <c r="B68" s="38">
        <v>300.8</v>
      </c>
      <c r="C68" s="11">
        <f t="shared" si="1"/>
        <v>-0.007260726073</v>
      </c>
      <c r="D68" s="13">
        <f t="shared" si="2"/>
        <v>-0.007260726073</v>
      </c>
      <c r="E68" s="11" t="s">
        <v>121</v>
      </c>
      <c r="F68" s="12">
        <v>21654.75</v>
      </c>
      <c r="G68" s="11">
        <v>0.009952732</v>
      </c>
      <c r="H68" s="13">
        <v>0.01</v>
      </c>
      <c r="I68" s="11"/>
      <c r="J68" s="51" t="s">
        <v>123</v>
      </c>
      <c r="K68" s="52">
        <f>J66-K69</f>
        <v>0.0009574629644</v>
      </c>
      <c r="L68" s="11"/>
    </row>
    <row r="69" ht="15.75" customHeight="1">
      <c r="A69" s="11" t="s">
        <v>125</v>
      </c>
      <c r="B69" s="38">
        <v>303.0</v>
      </c>
      <c r="C69" s="11">
        <f t="shared" si="1"/>
        <v>-0.004926108374</v>
      </c>
      <c r="D69" s="13">
        <f t="shared" si="2"/>
        <v>-0.004926108374</v>
      </c>
      <c r="E69" s="11" t="s">
        <v>125</v>
      </c>
      <c r="F69" s="12">
        <v>21441.35</v>
      </c>
      <c r="G69" s="11">
        <v>0.004306913</v>
      </c>
      <c r="H69" s="13">
        <v>0.0043</v>
      </c>
      <c r="J69" s="53" t="s">
        <v>54</v>
      </c>
      <c r="K69" s="54">
        <f>K66*K9^2</f>
        <v>0.00005616395573</v>
      </c>
    </row>
    <row r="70" ht="15.75" customHeight="1">
      <c r="A70" s="11" t="s">
        <v>127</v>
      </c>
      <c r="B70" s="38">
        <v>304.5</v>
      </c>
      <c r="C70" s="11">
        <f t="shared" si="1"/>
        <v>0.04693140794</v>
      </c>
      <c r="D70" s="13">
        <f t="shared" si="2"/>
        <v>0.04693140794</v>
      </c>
      <c r="E70" s="11" t="s">
        <v>127</v>
      </c>
      <c r="F70" s="12">
        <v>21349.4</v>
      </c>
      <c r="G70" s="11">
        <v>0.004438945</v>
      </c>
      <c r="H70" s="13">
        <v>0.0044</v>
      </c>
      <c r="K70" s="11"/>
    </row>
    <row r="71" ht="15.75" customHeight="1">
      <c r="A71" s="11" t="s">
        <v>129</v>
      </c>
      <c r="B71" s="38">
        <v>290.85</v>
      </c>
      <c r="C71" s="11">
        <f t="shared" si="1"/>
        <v>0.02901114453</v>
      </c>
      <c r="D71" s="13">
        <f t="shared" si="2"/>
        <v>0.02901114453</v>
      </c>
      <c r="E71" s="11" t="s">
        <v>129</v>
      </c>
      <c r="F71" s="12">
        <v>21255.05</v>
      </c>
      <c r="G71" s="11">
        <v>0.004959776</v>
      </c>
      <c r="H71" s="13">
        <v>0.005</v>
      </c>
    </row>
    <row r="72" ht="15.75" customHeight="1">
      <c r="A72" s="11" t="s">
        <v>130</v>
      </c>
      <c r="B72" s="38">
        <v>282.65</v>
      </c>
      <c r="C72" s="11">
        <f t="shared" si="1"/>
        <v>-0.04799595824</v>
      </c>
      <c r="D72" s="13">
        <f t="shared" si="2"/>
        <v>-0.04799595824</v>
      </c>
      <c r="E72" s="11" t="s">
        <v>130</v>
      </c>
      <c r="F72" s="12">
        <v>21150.15</v>
      </c>
      <c r="G72" s="11">
        <v>-0.014121502</v>
      </c>
      <c r="H72" s="13">
        <v>-0.0141</v>
      </c>
      <c r="I72" s="11"/>
      <c r="J72" s="15"/>
      <c r="K72" s="11"/>
      <c r="L72" s="11"/>
    </row>
    <row r="73" ht="15.75" customHeight="1">
      <c r="A73" s="11" t="s">
        <v>132</v>
      </c>
      <c r="B73" s="38">
        <v>296.9</v>
      </c>
      <c r="C73" s="11">
        <f t="shared" si="1"/>
        <v>-0.007355399532</v>
      </c>
      <c r="D73" s="13">
        <f t="shared" si="2"/>
        <v>-0.007355399532</v>
      </c>
      <c r="E73" s="11" t="s">
        <v>132</v>
      </c>
      <c r="F73" s="12">
        <v>21453.1</v>
      </c>
      <c r="G73" s="11">
        <v>0.001608411</v>
      </c>
      <c r="H73" s="13">
        <v>0.0016</v>
      </c>
      <c r="J73" s="15"/>
      <c r="K73" s="11"/>
      <c r="L73" s="11"/>
      <c r="M73" s="11"/>
      <c r="N73" s="11"/>
    </row>
    <row r="74" ht="15.75" customHeight="1">
      <c r="A74" s="11" t="s">
        <v>133</v>
      </c>
      <c r="B74" s="38">
        <v>299.1</v>
      </c>
      <c r="C74" s="11">
        <f t="shared" si="1"/>
        <v>-0.01140307387</v>
      </c>
      <c r="D74" s="13">
        <f t="shared" si="2"/>
        <v>-0.01140307387</v>
      </c>
      <c r="E74" s="11" t="s">
        <v>133</v>
      </c>
      <c r="F74" s="12">
        <v>21418.65</v>
      </c>
      <c r="G74" s="11">
        <v>-0.001771013</v>
      </c>
      <c r="H74" s="13">
        <v>-0.0018</v>
      </c>
      <c r="J74" s="15"/>
      <c r="K74" s="11"/>
      <c r="L74" s="11"/>
      <c r="M74" s="11"/>
      <c r="N74" s="11"/>
    </row>
    <row r="75" ht="15.75" customHeight="1">
      <c r="A75" s="11" t="s">
        <v>134</v>
      </c>
      <c r="B75" s="38">
        <v>302.55</v>
      </c>
      <c r="C75" s="11">
        <f t="shared" si="1"/>
        <v>-0.00624076203</v>
      </c>
      <c r="D75" s="13">
        <f t="shared" si="2"/>
        <v>-0.00624076203</v>
      </c>
      <c r="E75" s="11" t="s">
        <v>134</v>
      </c>
      <c r="F75" s="12">
        <v>21456.65</v>
      </c>
      <c r="G75" s="11">
        <v>0.012932723</v>
      </c>
      <c r="H75" s="13">
        <v>0.0129</v>
      </c>
      <c r="J75" s="15"/>
      <c r="K75" s="11"/>
      <c r="L75" s="11"/>
      <c r="M75" s="11"/>
      <c r="N75" s="11"/>
    </row>
    <row r="76" ht="15.75" customHeight="1">
      <c r="A76" s="11" t="s">
        <v>135</v>
      </c>
      <c r="B76" s="38">
        <v>304.45</v>
      </c>
      <c r="C76" s="11">
        <f t="shared" si="1"/>
        <v>0.00528314347</v>
      </c>
      <c r="D76" s="13">
        <f t="shared" si="2"/>
        <v>0.00528314347</v>
      </c>
      <c r="E76" s="11" t="s">
        <v>135</v>
      </c>
      <c r="F76" s="12">
        <v>21182.7</v>
      </c>
      <c r="G76" s="11">
        <v>0.012250106</v>
      </c>
      <c r="H76" s="13">
        <v>0.0123</v>
      </c>
      <c r="J76" s="15"/>
      <c r="K76" s="11"/>
      <c r="L76" s="11"/>
      <c r="M76" s="11"/>
      <c r="N76" s="11"/>
    </row>
    <row r="77" ht="15.75" customHeight="1">
      <c r="A77" s="11" t="s">
        <v>136</v>
      </c>
      <c r="B77" s="38">
        <v>302.85</v>
      </c>
      <c r="C77" s="11">
        <f t="shared" si="1"/>
        <v>0.007652636832</v>
      </c>
      <c r="D77" s="13">
        <f t="shared" si="2"/>
        <v>0.007652636832</v>
      </c>
      <c r="E77" s="11" t="s">
        <v>136</v>
      </c>
      <c r="F77" s="12">
        <v>20926.35</v>
      </c>
      <c r="G77" s="11">
        <v>9.54253E-4</v>
      </c>
      <c r="H77" s="13">
        <v>0.001</v>
      </c>
      <c r="J77" s="15"/>
      <c r="K77" s="11"/>
      <c r="L77" s="11"/>
      <c r="M77" s="11"/>
      <c r="N77" s="11"/>
    </row>
    <row r="78" ht="15.75" customHeight="1">
      <c r="A78" s="55">
        <v>45272.0</v>
      </c>
      <c r="B78" s="38">
        <v>300.55</v>
      </c>
      <c r="C78" s="11">
        <f t="shared" si="1"/>
        <v>0.005856760375</v>
      </c>
      <c r="D78" s="13">
        <f t="shared" si="2"/>
        <v>0.005856760375</v>
      </c>
      <c r="E78" s="55">
        <v>45272.0</v>
      </c>
      <c r="F78" s="12">
        <v>20906.4</v>
      </c>
      <c r="G78" s="11">
        <v>-0.004319644</v>
      </c>
      <c r="H78" s="13">
        <v>-0.0043</v>
      </c>
      <c r="J78" s="15"/>
      <c r="K78" s="11"/>
      <c r="L78" s="11"/>
      <c r="M78" s="11"/>
      <c r="N78" s="11"/>
    </row>
    <row r="79" ht="15.75" customHeight="1">
      <c r="A79" s="55">
        <v>45242.0</v>
      </c>
      <c r="B79" s="38">
        <v>298.8</v>
      </c>
      <c r="C79" s="11">
        <f t="shared" si="1"/>
        <v>0.01529051988</v>
      </c>
      <c r="D79" s="13">
        <f t="shared" si="2"/>
        <v>0.01529051988</v>
      </c>
      <c r="E79" s="55">
        <v>45242.0</v>
      </c>
      <c r="F79" s="12">
        <v>20997.1</v>
      </c>
      <c r="G79" s="11">
        <v>0.001320972</v>
      </c>
      <c r="H79" s="13">
        <v>0.0013</v>
      </c>
      <c r="J79" s="15"/>
      <c r="K79" s="11"/>
      <c r="L79" s="11"/>
      <c r="M79" s="11"/>
      <c r="N79" s="11"/>
    </row>
    <row r="80" ht="15.75" customHeight="1">
      <c r="A80" s="35">
        <v>45150.0</v>
      </c>
      <c r="B80" s="38">
        <v>294.3</v>
      </c>
      <c r="C80" s="11">
        <f t="shared" si="1"/>
        <v>-0.01932689104</v>
      </c>
      <c r="D80" s="13">
        <f t="shared" si="2"/>
        <v>-0.01932689104</v>
      </c>
      <c r="E80" s="35">
        <v>45150.0</v>
      </c>
      <c r="F80" s="12">
        <v>20969.4</v>
      </c>
      <c r="G80" s="11">
        <v>0.003265371</v>
      </c>
      <c r="H80" s="13">
        <v>0.0033</v>
      </c>
      <c r="J80" s="15"/>
      <c r="K80" s="11"/>
      <c r="L80" s="11"/>
      <c r="M80" s="11"/>
      <c r="N80" s="11"/>
    </row>
    <row r="81" ht="15.75" customHeight="1">
      <c r="A81" s="35">
        <v>45119.0</v>
      </c>
      <c r="B81" s="38">
        <v>300.1</v>
      </c>
      <c r="C81" s="11">
        <f t="shared" si="1"/>
        <v>0.1055442991</v>
      </c>
      <c r="D81" s="13">
        <f t="shared" si="2"/>
        <v>0.1055442991</v>
      </c>
      <c r="E81" s="35">
        <v>45119.0</v>
      </c>
      <c r="F81" s="12">
        <v>20901.15</v>
      </c>
      <c r="G81" s="11">
        <v>-0.001745655</v>
      </c>
      <c r="H81" s="13">
        <v>-0.0017</v>
      </c>
      <c r="J81" s="15"/>
      <c r="K81" s="11"/>
      <c r="L81" s="11"/>
      <c r="M81" s="11"/>
      <c r="N81" s="11"/>
    </row>
    <row r="82" ht="15.75" customHeight="1">
      <c r="A82" s="35">
        <v>45089.0</v>
      </c>
      <c r="B82" s="38">
        <v>271.45</v>
      </c>
      <c r="C82" s="11">
        <f t="shared" si="1"/>
        <v>-0.002388827637</v>
      </c>
      <c r="D82" s="13">
        <f t="shared" si="2"/>
        <v>-0.002388827637</v>
      </c>
      <c r="E82" s="35">
        <v>45089.0</v>
      </c>
      <c r="F82" s="12">
        <v>20937.7</v>
      </c>
      <c r="G82" s="11">
        <v>0.003960662</v>
      </c>
      <c r="H82" s="13">
        <v>0.004</v>
      </c>
      <c r="J82" s="15"/>
      <c r="K82" s="11"/>
      <c r="L82" s="11"/>
      <c r="M82" s="11"/>
      <c r="N82" s="11"/>
    </row>
    <row r="83" ht="15.75" customHeight="1">
      <c r="A83" s="35">
        <v>45058.0</v>
      </c>
      <c r="B83" s="38">
        <v>272.1</v>
      </c>
      <c r="C83" s="11">
        <f t="shared" si="1"/>
        <v>-0.009284543965</v>
      </c>
      <c r="D83" s="13">
        <f t="shared" si="2"/>
        <v>-0.009284543965</v>
      </c>
      <c r="E83" s="35">
        <v>45058.0</v>
      </c>
      <c r="F83" s="12">
        <v>20855.1</v>
      </c>
      <c r="G83" s="11">
        <v>0.008135623</v>
      </c>
      <c r="H83" s="13">
        <v>0.0081</v>
      </c>
      <c r="I83" s="11"/>
      <c r="J83" s="15"/>
      <c r="K83" s="11"/>
      <c r="L83" s="11"/>
      <c r="M83" s="11"/>
      <c r="N83" s="11"/>
    </row>
    <row r="84" ht="15.75" customHeight="1">
      <c r="A84" s="35">
        <v>45028.0</v>
      </c>
      <c r="B84" s="38">
        <v>274.65</v>
      </c>
      <c r="C84" s="11">
        <f t="shared" si="1"/>
        <v>0.0269209198</v>
      </c>
      <c r="D84" s="13">
        <f t="shared" si="2"/>
        <v>0.0269209198</v>
      </c>
      <c r="E84" s="35">
        <v>45028.0</v>
      </c>
      <c r="F84" s="12">
        <v>20686.8</v>
      </c>
      <c r="G84" s="11">
        <v>0.02066815</v>
      </c>
      <c r="H84" s="13">
        <v>0.0207</v>
      </c>
      <c r="J84" s="56"/>
      <c r="K84" s="11"/>
      <c r="L84" s="11"/>
      <c r="M84" s="11"/>
      <c r="N84" s="11"/>
    </row>
    <row r="85" ht="15.75" customHeight="1">
      <c r="A85" s="35">
        <v>44938.0</v>
      </c>
      <c r="B85" s="38">
        <v>267.45</v>
      </c>
      <c r="C85" s="11">
        <f t="shared" si="1"/>
        <v>-0.003168095416</v>
      </c>
      <c r="D85" s="13">
        <f t="shared" si="2"/>
        <v>-0.003168095416</v>
      </c>
      <c r="E85" s="35">
        <v>44938.0</v>
      </c>
      <c r="F85" s="12">
        <v>20267.9</v>
      </c>
      <c r="G85" s="11">
        <v>0.006692942</v>
      </c>
      <c r="H85" s="13">
        <v>0.0067</v>
      </c>
      <c r="J85" s="15"/>
      <c r="K85" s="11"/>
      <c r="L85" s="11"/>
      <c r="M85" s="11"/>
      <c r="N85" s="11"/>
    </row>
    <row r="86" ht="15.75" customHeight="1">
      <c r="A86" s="11" t="s">
        <v>140</v>
      </c>
      <c r="B86" s="38">
        <v>268.3</v>
      </c>
      <c r="C86" s="11">
        <f t="shared" si="1"/>
        <v>-0.02187386074</v>
      </c>
      <c r="D86" s="13">
        <f t="shared" si="2"/>
        <v>-0.02187386074</v>
      </c>
      <c r="E86" s="11" t="s">
        <v>140</v>
      </c>
      <c r="F86" s="12">
        <v>20133.15</v>
      </c>
      <c r="G86" s="11">
        <v>0.001818716</v>
      </c>
      <c r="H86" s="13">
        <v>0.0018</v>
      </c>
      <c r="J86" s="15"/>
      <c r="K86" s="11"/>
      <c r="L86" s="11"/>
      <c r="M86" s="13"/>
      <c r="N86" s="11"/>
    </row>
    <row r="87" ht="15.75" customHeight="1">
      <c r="A87" s="11" t="s">
        <v>141</v>
      </c>
      <c r="B87" s="38">
        <v>274.3</v>
      </c>
      <c r="C87" s="11">
        <f t="shared" si="1"/>
        <v>-0.004716981132</v>
      </c>
      <c r="D87" s="13">
        <f t="shared" si="2"/>
        <v>-0.004716981132</v>
      </c>
      <c r="E87" s="11" t="s">
        <v>141</v>
      </c>
      <c r="F87" s="12">
        <v>20096.6</v>
      </c>
      <c r="G87" s="11">
        <v>0.010402369</v>
      </c>
      <c r="H87" s="13">
        <v>0.0104</v>
      </c>
      <c r="J87" s="15"/>
      <c r="K87" s="11"/>
      <c r="L87" s="11"/>
      <c r="M87" s="13"/>
      <c r="N87" s="11"/>
    </row>
    <row r="88" ht="15.75" customHeight="1">
      <c r="A88" s="11" t="s">
        <v>142</v>
      </c>
      <c r="B88" s="38">
        <v>275.6</v>
      </c>
      <c r="C88" s="11">
        <f t="shared" si="1"/>
        <v>-0.02459741639</v>
      </c>
      <c r="D88" s="13">
        <f t="shared" si="2"/>
        <v>-0.02459741639</v>
      </c>
      <c r="E88" s="11" t="s">
        <v>142</v>
      </c>
      <c r="F88" s="12">
        <v>19889.7</v>
      </c>
      <c r="G88" s="11">
        <v>0.004799264</v>
      </c>
      <c r="H88" s="13">
        <v>0.0048</v>
      </c>
      <c r="J88" s="15"/>
      <c r="K88" s="11"/>
      <c r="L88" s="11"/>
      <c r="M88" s="13"/>
      <c r="N88" s="11"/>
    </row>
    <row r="89" ht="15.75" customHeight="1">
      <c r="A89" s="11" t="s">
        <v>143</v>
      </c>
      <c r="B89" s="38">
        <v>282.55</v>
      </c>
      <c r="C89" s="11">
        <f t="shared" si="1"/>
        <v>0.01600143833</v>
      </c>
      <c r="D89" s="13">
        <f t="shared" si="2"/>
        <v>0.01600143833</v>
      </c>
      <c r="E89" s="11" t="s">
        <v>143</v>
      </c>
      <c r="F89" s="12">
        <v>19794.7</v>
      </c>
      <c r="G89" s="11">
        <v>-3.6865E-4</v>
      </c>
      <c r="H89" s="13">
        <v>-4.0E-4</v>
      </c>
      <c r="J89" s="9"/>
      <c r="K89" s="88"/>
      <c r="L89" s="6"/>
      <c r="M89" s="84"/>
      <c r="N89" s="11"/>
    </row>
    <row r="90" ht="15.75" customHeight="1">
      <c r="A90" s="11" t="s">
        <v>144</v>
      </c>
      <c r="B90" s="38">
        <v>278.1</v>
      </c>
      <c r="C90" s="11">
        <f t="shared" si="1"/>
        <v>0.01663315664</v>
      </c>
      <c r="D90" s="13">
        <f t="shared" si="2"/>
        <v>0.01663315664</v>
      </c>
      <c r="E90" s="11" t="s">
        <v>144</v>
      </c>
      <c r="F90" s="12">
        <v>19802.0</v>
      </c>
      <c r="G90" s="11">
        <v>-4.97177E-4</v>
      </c>
      <c r="H90" s="13">
        <v>-5.0E-4</v>
      </c>
      <c r="J90" s="15"/>
      <c r="K90" s="11"/>
      <c r="L90" s="11"/>
      <c r="M90" s="11"/>
      <c r="N90" s="11"/>
    </row>
    <row r="91" ht="15.75" customHeight="1">
      <c r="A91" s="11" t="s">
        <v>145</v>
      </c>
      <c r="B91" s="38">
        <v>273.55</v>
      </c>
      <c r="C91" s="11">
        <f t="shared" si="1"/>
        <v>-0.00779833152</v>
      </c>
      <c r="D91" s="13">
        <f t="shared" si="2"/>
        <v>-0.00779833152</v>
      </c>
      <c r="E91" s="11" t="s">
        <v>145</v>
      </c>
      <c r="F91" s="12">
        <v>19811.85</v>
      </c>
      <c r="G91" s="11">
        <v>0.001438074</v>
      </c>
      <c r="H91" s="13">
        <v>0.0014</v>
      </c>
      <c r="J91" s="15"/>
      <c r="K91" s="11"/>
      <c r="L91" s="11"/>
      <c r="M91" s="11"/>
      <c r="N91" s="11"/>
    </row>
    <row r="92" ht="15.75" customHeight="1">
      <c r="A92" s="11" t="s">
        <v>146</v>
      </c>
      <c r="B92" s="38">
        <v>275.7</v>
      </c>
      <c r="C92" s="11">
        <f t="shared" si="1"/>
        <v>-0.01094170404</v>
      </c>
      <c r="D92" s="13">
        <f t="shared" si="2"/>
        <v>-0.01094170404</v>
      </c>
      <c r="E92" s="11" t="s">
        <v>146</v>
      </c>
      <c r="F92" s="12">
        <v>19783.4</v>
      </c>
      <c r="G92" s="11">
        <v>0.004539454</v>
      </c>
      <c r="H92" s="13">
        <v>0.0045</v>
      </c>
      <c r="J92" s="15"/>
      <c r="K92" s="11"/>
      <c r="L92" s="11"/>
      <c r="M92" s="11"/>
      <c r="N92" s="11"/>
    </row>
    <row r="93" ht="15.75" customHeight="1">
      <c r="A93" s="11" t="s">
        <v>147</v>
      </c>
      <c r="B93" s="38">
        <v>278.75</v>
      </c>
      <c r="C93" s="11">
        <f t="shared" si="1"/>
        <v>0.07067409257</v>
      </c>
      <c r="D93" s="13">
        <f t="shared" si="2"/>
        <v>0.07067409257</v>
      </c>
      <c r="E93" s="11" t="s">
        <v>147</v>
      </c>
      <c r="F93" s="12">
        <v>19694.0</v>
      </c>
      <c r="G93" s="11">
        <v>-0.001915689</v>
      </c>
      <c r="H93" s="13">
        <v>-0.0019</v>
      </c>
      <c r="J93" s="15"/>
      <c r="K93" s="11"/>
      <c r="L93" s="11"/>
      <c r="M93" s="11"/>
      <c r="N93" s="11"/>
    </row>
    <row r="94" ht="15.75" customHeight="1">
      <c r="A94" s="11" t="s">
        <v>148</v>
      </c>
      <c r="B94" s="38">
        <v>260.35</v>
      </c>
      <c r="C94" s="11">
        <f t="shared" si="1"/>
        <v>-0.02380952381</v>
      </c>
      <c r="D94" s="13">
        <f t="shared" si="2"/>
        <v>-0.02380952381</v>
      </c>
      <c r="E94" s="11" t="s">
        <v>148</v>
      </c>
      <c r="F94" s="12">
        <v>19731.8</v>
      </c>
      <c r="G94" s="11">
        <v>-0.001689839</v>
      </c>
      <c r="H94" s="13">
        <v>-0.0017</v>
      </c>
      <c r="J94" s="15"/>
      <c r="K94" s="11"/>
      <c r="L94" s="11"/>
      <c r="M94" s="11"/>
      <c r="N94" s="11"/>
    </row>
    <row r="95" ht="15.75" customHeight="1">
      <c r="A95" s="11" t="s">
        <v>149</v>
      </c>
      <c r="B95" s="38">
        <v>266.7</v>
      </c>
      <c r="C95" s="11">
        <f t="shared" si="1"/>
        <v>0.002443149784</v>
      </c>
      <c r="D95" s="13">
        <f t="shared" si="2"/>
        <v>0.002443149784</v>
      </c>
      <c r="E95" s="11" t="s">
        <v>149</v>
      </c>
      <c r="F95" s="12">
        <v>19765.2</v>
      </c>
      <c r="G95" s="11">
        <v>0.004561522</v>
      </c>
      <c r="H95" s="13">
        <v>0.0046</v>
      </c>
      <c r="J95" s="15"/>
      <c r="K95" s="11"/>
      <c r="L95" s="11"/>
      <c r="M95" s="11"/>
      <c r="N95" s="11"/>
    </row>
    <row r="96" ht="15.75" customHeight="1">
      <c r="A96" s="11" t="s">
        <v>150</v>
      </c>
      <c r="B96" s="38">
        <v>266.05</v>
      </c>
      <c r="C96" s="11">
        <f t="shared" si="1"/>
        <v>0.001882884579</v>
      </c>
      <c r="D96" s="13">
        <f t="shared" si="2"/>
        <v>0.001882884579</v>
      </c>
      <c r="E96" s="11" t="s">
        <v>150</v>
      </c>
      <c r="F96" s="12">
        <v>19675.45</v>
      </c>
      <c r="G96" s="11">
        <v>0.011926834</v>
      </c>
      <c r="H96" s="13">
        <v>0.0119</v>
      </c>
      <c r="J96" s="15"/>
      <c r="K96" s="11"/>
      <c r="L96" s="11"/>
      <c r="M96" s="11"/>
      <c r="N96" s="11"/>
    </row>
    <row r="97" ht="15.75" customHeight="1">
      <c r="A97" s="11" t="s">
        <v>151</v>
      </c>
      <c r="B97" s="38">
        <v>265.55</v>
      </c>
      <c r="C97" s="11">
        <f t="shared" si="1"/>
        <v>0.0072065238</v>
      </c>
      <c r="D97" s="13">
        <f t="shared" si="2"/>
        <v>0.0072065238</v>
      </c>
      <c r="E97" s="11" t="s">
        <v>151</v>
      </c>
      <c r="F97" s="12">
        <v>19443.55</v>
      </c>
      <c r="G97" s="11">
        <v>-0.004199626</v>
      </c>
      <c r="H97" s="13">
        <v>-0.0042</v>
      </c>
      <c r="J97" s="15"/>
      <c r="K97" s="11"/>
      <c r="L97" s="11"/>
      <c r="M97" s="11"/>
      <c r="N97" s="11"/>
    </row>
    <row r="98" ht="15.75" customHeight="1">
      <c r="A98" s="55">
        <v>45271.0</v>
      </c>
      <c r="B98" s="38">
        <v>263.65</v>
      </c>
      <c r="C98" s="11">
        <f t="shared" si="1"/>
        <v>0.01834685207</v>
      </c>
      <c r="D98" s="13">
        <f t="shared" si="2"/>
        <v>0.01834685207</v>
      </c>
      <c r="E98" s="55">
        <v>45271.0</v>
      </c>
      <c r="F98" s="12">
        <v>19525.55</v>
      </c>
      <c r="G98" s="11">
        <v>0.005158208</v>
      </c>
      <c r="H98" s="13">
        <v>0.0052</v>
      </c>
      <c r="J98" s="15"/>
      <c r="K98" s="11"/>
      <c r="L98" s="11"/>
      <c r="M98" s="11"/>
      <c r="N98" s="11"/>
    </row>
    <row r="99" ht="15.75" customHeight="1">
      <c r="A99" s="55">
        <v>45210.0</v>
      </c>
      <c r="B99" s="38">
        <v>258.9</v>
      </c>
      <c r="C99" s="11">
        <f t="shared" si="1"/>
        <v>-0.01069927398</v>
      </c>
      <c r="D99" s="13">
        <f t="shared" si="2"/>
        <v>-0.01069927398</v>
      </c>
      <c r="E99" s="55">
        <v>45210.0</v>
      </c>
      <c r="F99" s="12">
        <v>19425.35</v>
      </c>
      <c r="G99" s="11">
        <v>0.001549344</v>
      </c>
      <c r="H99" s="13">
        <v>0.0015</v>
      </c>
      <c r="J99" s="2"/>
      <c r="K99" s="11"/>
      <c r="L99" s="11"/>
      <c r="M99" s="11"/>
      <c r="N99" s="11"/>
    </row>
    <row r="100" ht="15.75" customHeight="1">
      <c r="A100" s="35">
        <v>45180.0</v>
      </c>
      <c r="B100" s="38">
        <v>261.7</v>
      </c>
      <c r="C100" s="11">
        <f t="shared" si="1"/>
        <v>-0.0369825207</v>
      </c>
      <c r="D100" s="13">
        <f t="shared" si="2"/>
        <v>-0.0369825207</v>
      </c>
      <c r="E100" s="35">
        <v>45180.0</v>
      </c>
      <c r="F100" s="12">
        <v>19395.3</v>
      </c>
      <c r="G100" s="11">
        <v>-0.002478978</v>
      </c>
      <c r="H100" s="13">
        <v>-0.0025</v>
      </c>
      <c r="J100" s="15"/>
      <c r="K100" s="11"/>
      <c r="L100" s="11"/>
      <c r="M100" s="11"/>
      <c r="N100" s="11"/>
    </row>
    <row r="101" ht="15.75" customHeight="1">
      <c r="A101" s="35">
        <v>45149.0</v>
      </c>
      <c r="B101" s="38">
        <v>271.75</v>
      </c>
      <c r="C101" s="11">
        <f t="shared" si="1"/>
        <v>-0.01557688824</v>
      </c>
      <c r="D101" s="13">
        <f t="shared" si="2"/>
        <v>-0.01557688824</v>
      </c>
      <c r="E101" s="35">
        <v>45149.0</v>
      </c>
      <c r="F101" s="12">
        <v>19443.5</v>
      </c>
      <c r="G101" s="11">
        <v>0.001896252</v>
      </c>
      <c r="H101" s="13">
        <v>0.0019</v>
      </c>
      <c r="J101" s="15"/>
      <c r="K101" s="11"/>
      <c r="L101" s="11"/>
      <c r="M101" s="11"/>
      <c r="N101" s="11"/>
    </row>
    <row r="102" ht="15.75" customHeight="1">
      <c r="A102" s="35">
        <v>45118.0</v>
      </c>
      <c r="B102" s="38">
        <v>276.05</v>
      </c>
      <c r="C102" s="11">
        <f t="shared" si="1"/>
        <v>-0.007014388489</v>
      </c>
      <c r="D102" s="13">
        <f t="shared" si="2"/>
        <v>-0.007014388489</v>
      </c>
      <c r="E102" s="35">
        <v>45118.0</v>
      </c>
      <c r="F102" s="12">
        <v>19406.7</v>
      </c>
      <c r="G102" s="11">
        <v>-2.60152E-4</v>
      </c>
      <c r="H102" s="13">
        <v>-3.0E-4</v>
      </c>
      <c r="J102" s="62"/>
      <c r="K102" s="62"/>
      <c r="L102" s="62"/>
      <c r="M102" s="62"/>
      <c r="N102" s="62"/>
      <c r="O102" s="62"/>
      <c r="P102" s="62"/>
    </row>
    <row r="103" ht="15.75" customHeight="1">
      <c r="A103" s="35">
        <v>45088.0</v>
      </c>
      <c r="B103" s="38">
        <v>278.0</v>
      </c>
      <c r="C103" s="11">
        <f t="shared" si="1"/>
        <v>0.02469590859</v>
      </c>
      <c r="D103" s="13">
        <f t="shared" si="2"/>
        <v>0.02469590859</v>
      </c>
      <c r="E103" s="35">
        <v>45088.0</v>
      </c>
      <c r="F103" s="12">
        <v>19411.75</v>
      </c>
      <c r="G103" s="11">
        <v>0.009419883</v>
      </c>
      <c r="H103" s="13">
        <v>0.0094</v>
      </c>
      <c r="J103" s="2"/>
    </row>
    <row r="104" ht="15.75" customHeight="1">
      <c r="A104" s="35">
        <v>44996.0</v>
      </c>
      <c r="B104" s="38">
        <v>271.3</v>
      </c>
      <c r="C104" s="11">
        <f t="shared" si="1"/>
        <v>0.0005531993362</v>
      </c>
      <c r="D104" s="13">
        <f t="shared" si="2"/>
        <v>0.0005531993362</v>
      </c>
      <c r="E104" s="35">
        <v>44996.0</v>
      </c>
      <c r="F104" s="12">
        <v>19230.6</v>
      </c>
      <c r="G104" s="11">
        <v>0.005088001</v>
      </c>
      <c r="H104" s="13">
        <v>0.0051</v>
      </c>
    </row>
    <row r="105" ht="15.75" customHeight="1">
      <c r="A105" s="35">
        <v>44968.0</v>
      </c>
      <c r="B105" s="38">
        <v>271.15</v>
      </c>
      <c r="C105" s="11">
        <f t="shared" si="1"/>
        <v>0.01993605417</v>
      </c>
      <c r="D105" s="13">
        <f t="shared" si="2"/>
        <v>0.01993605417</v>
      </c>
      <c r="E105" s="35">
        <v>44968.0</v>
      </c>
      <c r="F105" s="12">
        <v>19133.25</v>
      </c>
      <c r="G105" s="11">
        <v>0.007588544</v>
      </c>
      <c r="H105" s="13">
        <v>0.0076</v>
      </c>
      <c r="I105" s="11"/>
      <c r="J105" s="2"/>
      <c r="K105" s="11"/>
      <c r="L105" s="11"/>
      <c r="M105" s="11"/>
      <c r="N105" s="11"/>
    </row>
    <row r="106" ht="15.75" customHeight="1">
      <c r="A106" s="35">
        <v>44937.0</v>
      </c>
      <c r="B106" s="38">
        <v>265.85</v>
      </c>
      <c r="C106" s="11">
        <f t="shared" si="1"/>
        <v>-0.01500555761</v>
      </c>
      <c r="D106" s="13">
        <f t="shared" si="2"/>
        <v>-0.01500555761</v>
      </c>
      <c r="E106" s="35">
        <v>44937.0</v>
      </c>
      <c r="F106" s="12">
        <v>18989.15</v>
      </c>
      <c r="G106" s="11">
        <v>-0.004740665</v>
      </c>
      <c r="H106" s="13">
        <v>-0.0047</v>
      </c>
      <c r="J106" s="2"/>
    </row>
    <row r="107" ht="15.75" customHeight="1">
      <c r="A107" s="11" t="s">
        <v>159</v>
      </c>
      <c r="B107" s="38">
        <v>269.9</v>
      </c>
      <c r="C107" s="11">
        <f t="shared" si="1"/>
        <v>-0.00405904059</v>
      </c>
      <c r="D107" s="13">
        <f t="shared" si="2"/>
        <v>-0.00405904059</v>
      </c>
      <c r="E107" s="11" t="s">
        <v>159</v>
      </c>
      <c r="F107" s="12">
        <v>19079.6</v>
      </c>
      <c r="G107" s="11">
        <v>-0.003202566</v>
      </c>
      <c r="H107" s="13">
        <v>-0.0032</v>
      </c>
      <c r="J107" s="2"/>
    </row>
    <row r="108" ht="15.75" customHeight="1">
      <c r="A108" s="11" t="s">
        <v>160</v>
      </c>
      <c r="B108" s="38">
        <v>271.0</v>
      </c>
      <c r="C108" s="11">
        <f t="shared" si="1"/>
        <v>-0.006051714652</v>
      </c>
      <c r="D108" s="13">
        <f t="shared" si="2"/>
        <v>-0.006051714652</v>
      </c>
      <c r="E108" s="11" t="s">
        <v>160</v>
      </c>
      <c r="F108" s="12">
        <v>19140.9</v>
      </c>
      <c r="G108" s="11">
        <v>0.00491672</v>
      </c>
      <c r="H108" s="13">
        <v>0.0049</v>
      </c>
      <c r="J108" s="2"/>
    </row>
    <row r="109" ht="15.75" customHeight="1">
      <c r="A109" s="11" t="s">
        <v>161</v>
      </c>
      <c r="B109" s="38">
        <v>272.65</v>
      </c>
      <c r="C109" s="11">
        <f t="shared" si="1"/>
        <v>0.01262766945</v>
      </c>
      <c r="D109" s="13">
        <f t="shared" si="2"/>
        <v>0.01262766945</v>
      </c>
      <c r="E109" s="11" t="s">
        <v>161</v>
      </c>
      <c r="F109" s="12">
        <v>19047.25</v>
      </c>
      <c r="G109" s="11">
        <v>0.0100757</v>
      </c>
      <c r="H109" s="13">
        <v>0.0101</v>
      </c>
      <c r="J109" s="62"/>
      <c r="K109" s="14"/>
      <c r="L109" s="14"/>
      <c r="M109" s="14"/>
      <c r="N109" s="14"/>
    </row>
    <row r="110" ht="15.75" customHeight="1">
      <c r="A110" s="11" t="s">
        <v>162</v>
      </c>
      <c r="B110" s="38">
        <v>269.25</v>
      </c>
      <c r="C110" s="11">
        <f t="shared" si="1"/>
        <v>0.01853603178</v>
      </c>
      <c r="D110" s="13">
        <f t="shared" si="2"/>
        <v>0.01853603178</v>
      </c>
      <c r="E110" s="11" t="s">
        <v>162</v>
      </c>
      <c r="F110" s="12">
        <v>18857.25</v>
      </c>
      <c r="G110" s="11">
        <v>-0.013853045</v>
      </c>
      <c r="H110" s="13">
        <v>-0.0139</v>
      </c>
      <c r="J110" s="62"/>
      <c r="K110" s="14"/>
      <c r="L110" s="14"/>
      <c r="M110" s="14"/>
      <c r="N110" s="14"/>
    </row>
    <row r="111" ht="15.75" customHeight="1">
      <c r="A111" s="11" t="s">
        <v>163</v>
      </c>
      <c r="B111" s="38">
        <v>264.35</v>
      </c>
      <c r="C111" s="11">
        <f t="shared" si="1"/>
        <v>-0.002076255191</v>
      </c>
      <c r="D111" s="13">
        <f t="shared" si="2"/>
        <v>-0.002076255191</v>
      </c>
      <c r="E111" s="11" t="s">
        <v>163</v>
      </c>
      <c r="F111" s="12">
        <v>19122.15</v>
      </c>
      <c r="G111" s="11">
        <v>-0.008277257</v>
      </c>
      <c r="H111" s="13">
        <v>-0.0083</v>
      </c>
      <c r="J111" s="63"/>
    </row>
    <row r="112" ht="15.75" customHeight="1">
      <c r="A112" s="11" t="s">
        <v>164</v>
      </c>
      <c r="B112" s="38">
        <v>264.9</v>
      </c>
      <c r="C112" s="11">
        <f t="shared" si="1"/>
        <v>-0.09759836484</v>
      </c>
      <c r="D112" s="13">
        <f t="shared" si="2"/>
        <v>-0.09759836484</v>
      </c>
      <c r="E112" s="11" t="s">
        <v>164</v>
      </c>
      <c r="F112" s="12">
        <v>19281.75</v>
      </c>
      <c r="G112" s="11">
        <v>-0.013350288</v>
      </c>
      <c r="H112" s="13">
        <v>-0.0134</v>
      </c>
      <c r="J112" s="2"/>
    </row>
    <row r="113" ht="15.75" customHeight="1">
      <c r="A113" s="11" t="s">
        <v>165</v>
      </c>
      <c r="B113" s="38">
        <v>293.55</v>
      </c>
      <c r="C113" s="11">
        <f t="shared" si="1"/>
        <v>0.01891704269</v>
      </c>
      <c r="D113" s="13">
        <f t="shared" si="2"/>
        <v>0.01891704269</v>
      </c>
      <c r="E113" s="11" t="s">
        <v>165</v>
      </c>
      <c r="F113" s="12">
        <v>19542.65</v>
      </c>
      <c r="G113" s="11">
        <v>-0.004180956</v>
      </c>
      <c r="H113" s="13">
        <v>-0.0042</v>
      </c>
      <c r="I113" s="11"/>
    </row>
    <row r="114" ht="15.75" customHeight="1">
      <c r="A114" s="11" t="s">
        <v>168</v>
      </c>
      <c r="B114" s="38">
        <v>288.1</v>
      </c>
      <c r="C114" s="11">
        <f t="shared" si="1"/>
        <v>-0.007578367206</v>
      </c>
      <c r="D114" s="13">
        <f t="shared" si="2"/>
        <v>-0.007578367206</v>
      </c>
      <c r="E114" s="11" t="s">
        <v>168</v>
      </c>
      <c r="F114" s="12">
        <v>19624.7</v>
      </c>
      <c r="G114" s="11">
        <v>-0.00235879</v>
      </c>
      <c r="H114" s="13">
        <v>-0.0024</v>
      </c>
    </row>
    <row r="115" ht="15.75" customHeight="1">
      <c r="A115" s="11" t="s">
        <v>170</v>
      </c>
      <c r="B115" s="38">
        <v>290.3</v>
      </c>
      <c r="C115" s="11">
        <f t="shared" si="1"/>
        <v>-0.08350434096</v>
      </c>
      <c r="D115" s="13">
        <f t="shared" si="2"/>
        <v>-0.08350434096</v>
      </c>
      <c r="E115" s="11" t="s">
        <v>170</v>
      </c>
      <c r="F115" s="12">
        <v>19671.1</v>
      </c>
      <c r="G115" s="11">
        <v>-0.007086793</v>
      </c>
      <c r="H115" s="13">
        <v>-0.0071</v>
      </c>
    </row>
    <row r="116" ht="15.75" customHeight="1">
      <c r="A116" s="11" t="s">
        <v>172</v>
      </c>
      <c r="B116" s="38">
        <v>316.75</v>
      </c>
      <c r="C116" s="11">
        <f t="shared" si="1"/>
        <v>0.0879271853</v>
      </c>
      <c r="D116" s="13">
        <f t="shared" si="2"/>
        <v>0.0879271853</v>
      </c>
      <c r="E116" s="11" t="s">
        <v>172</v>
      </c>
      <c r="F116" s="12">
        <v>19811.5</v>
      </c>
      <c r="G116" s="11">
        <v>0.004041709</v>
      </c>
      <c r="H116" s="13">
        <v>0.004</v>
      </c>
    </row>
    <row r="117" ht="15.75" customHeight="1">
      <c r="A117" s="11" t="s">
        <v>174</v>
      </c>
      <c r="B117" s="38">
        <v>291.15</v>
      </c>
      <c r="C117" s="11">
        <f t="shared" si="1"/>
        <v>0.0739579491</v>
      </c>
      <c r="D117" s="13">
        <f t="shared" si="2"/>
        <v>0.0739579491</v>
      </c>
      <c r="E117" s="11" t="s">
        <v>174</v>
      </c>
      <c r="F117" s="12">
        <v>19731.75</v>
      </c>
      <c r="G117" s="11">
        <v>-9.77163E-4</v>
      </c>
      <c r="H117" s="13">
        <v>-0.001</v>
      </c>
      <c r="J117" s="2"/>
      <c r="K117" s="11"/>
      <c r="L117" s="11"/>
    </row>
    <row r="118" ht="15.75" customHeight="1">
      <c r="A118" s="11" t="s">
        <v>176</v>
      </c>
      <c r="B118" s="38">
        <v>271.1</v>
      </c>
      <c r="C118" s="11">
        <f t="shared" si="1"/>
        <v>0.1998229697</v>
      </c>
      <c r="D118" s="13">
        <f t="shared" si="2"/>
        <v>0.1998229697</v>
      </c>
      <c r="E118" s="11" t="s">
        <v>176</v>
      </c>
      <c r="F118" s="12">
        <v>19751.05</v>
      </c>
      <c r="G118" s="11">
        <v>-0.002169849</v>
      </c>
      <c r="H118" s="13">
        <v>-0.0022</v>
      </c>
      <c r="K118" s="11"/>
      <c r="L118" s="11"/>
    </row>
    <row r="119" ht="15.75" customHeight="1">
      <c r="A119" s="55">
        <v>45270.0</v>
      </c>
      <c r="B119" s="38">
        <v>225.95</v>
      </c>
      <c r="C119" s="11">
        <f t="shared" si="1"/>
        <v>-0.01546840959</v>
      </c>
      <c r="D119" s="13">
        <f t="shared" si="2"/>
        <v>-0.01546840959</v>
      </c>
      <c r="E119" s="55">
        <v>45270.0</v>
      </c>
      <c r="F119" s="12">
        <v>19794.0</v>
      </c>
      <c r="G119" s="11">
        <v>-8.75761E-4</v>
      </c>
      <c r="H119" s="13">
        <v>-9.0E-4</v>
      </c>
      <c r="J119" s="15"/>
      <c r="K119" s="11"/>
      <c r="L119" s="11"/>
      <c r="M119" s="11"/>
      <c r="N119" s="11"/>
    </row>
    <row r="120" ht="15.75" customHeight="1">
      <c r="A120" s="55">
        <v>45240.0</v>
      </c>
      <c r="B120" s="38">
        <v>229.5</v>
      </c>
      <c r="C120" s="11">
        <f t="shared" si="1"/>
        <v>0.0351826793</v>
      </c>
      <c r="D120" s="13">
        <f t="shared" si="2"/>
        <v>0.0351826793</v>
      </c>
      <c r="E120" s="55">
        <v>45240.0</v>
      </c>
      <c r="F120" s="12">
        <v>19811.35</v>
      </c>
      <c r="G120" s="11">
        <v>0.006170692</v>
      </c>
      <c r="H120" s="13">
        <v>0.0062</v>
      </c>
      <c r="J120" s="15"/>
      <c r="K120" s="11"/>
      <c r="L120" s="11"/>
      <c r="M120" s="11"/>
      <c r="N120" s="11"/>
    </row>
    <row r="121" ht="15.75" customHeight="1">
      <c r="A121" s="55">
        <v>45209.0</v>
      </c>
      <c r="B121" s="38">
        <v>221.7</v>
      </c>
      <c r="C121" s="11">
        <f t="shared" si="1"/>
        <v>0.0311627907</v>
      </c>
      <c r="D121" s="13">
        <f t="shared" si="2"/>
        <v>0.0311627907</v>
      </c>
      <c r="E121" s="55">
        <v>45209.0</v>
      </c>
      <c r="F121" s="12">
        <v>19689.85</v>
      </c>
      <c r="G121" s="11">
        <v>0.009096803</v>
      </c>
      <c r="H121" s="13">
        <v>0.0091</v>
      </c>
      <c r="J121" s="15"/>
      <c r="K121" s="11"/>
      <c r="L121" s="11"/>
      <c r="M121" s="11"/>
      <c r="N121" s="11"/>
    </row>
    <row r="122" ht="15.75" customHeight="1">
      <c r="A122" s="35">
        <v>45179.0</v>
      </c>
      <c r="B122" s="38">
        <v>215.0</v>
      </c>
      <c r="C122" s="11">
        <f t="shared" si="1"/>
        <v>0.1197916667</v>
      </c>
      <c r="D122" s="13">
        <f t="shared" si="2"/>
        <v>0.1197916667</v>
      </c>
      <c r="E122" s="35">
        <v>45179.0</v>
      </c>
      <c r="F122" s="12">
        <v>19512.35</v>
      </c>
      <c r="G122" s="11">
        <v>-0.007181927</v>
      </c>
      <c r="H122" s="13">
        <v>-0.0072</v>
      </c>
      <c r="J122" s="15"/>
      <c r="K122" s="11"/>
      <c r="L122" s="11"/>
      <c r="M122" s="11"/>
      <c r="N122" s="11"/>
    </row>
    <row r="123" ht="15.75" customHeight="1">
      <c r="A123" s="35">
        <v>45087.0</v>
      </c>
      <c r="B123" s="38">
        <v>192.0</v>
      </c>
      <c r="C123" s="11">
        <f t="shared" si="1"/>
        <v>-0.01030927835</v>
      </c>
      <c r="D123" s="13">
        <f t="shared" si="2"/>
        <v>-0.01030927835</v>
      </c>
      <c r="E123" s="35">
        <v>45087.0</v>
      </c>
      <c r="F123" s="12">
        <v>19653.5</v>
      </c>
      <c r="G123" s="11">
        <v>0.005512707</v>
      </c>
      <c r="H123" s="13">
        <v>0.0055</v>
      </c>
      <c r="J123" s="15"/>
      <c r="K123" s="11"/>
      <c r="L123" s="11"/>
      <c r="M123" s="11"/>
      <c r="N123" s="11"/>
    </row>
    <row r="124" ht="15.75" customHeight="1">
      <c r="A124" s="35">
        <v>45056.0</v>
      </c>
      <c r="B124" s="38">
        <v>194.0</v>
      </c>
      <c r="C124" s="11">
        <f t="shared" si="1"/>
        <v>0.0007737941708</v>
      </c>
      <c r="D124" s="13">
        <f t="shared" si="2"/>
        <v>0.0007737941708</v>
      </c>
      <c r="E124" s="35">
        <v>45056.0</v>
      </c>
      <c r="F124" s="12">
        <v>19545.75</v>
      </c>
      <c r="G124" s="11">
        <v>0.005641564</v>
      </c>
      <c r="H124" s="13">
        <v>0.0056</v>
      </c>
      <c r="J124" s="15"/>
      <c r="K124" s="11"/>
      <c r="L124" s="11"/>
      <c r="M124" s="11"/>
      <c r="N124" s="11"/>
    </row>
    <row r="125" ht="15.75" customHeight="1">
      <c r="A125" s="35">
        <v>45026.0</v>
      </c>
      <c r="B125" s="38">
        <v>193.85</v>
      </c>
      <c r="C125" s="11">
        <f t="shared" si="1"/>
        <v>-0.0355721393</v>
      </c>
      <c r="D125" s="13">
        <f t="shared" si="2"/>
        <v>-0.0355721393</v>
      </c>
      <c r="E125" s="35">
        <v>45026.0</v>
      </c>
      <c r="F125" s="12">
        <v>19436.1</v>
      </c>
      <c r="G125" s="11">
        <v>-0.004744287</v>
      </c>
      <c r="H125" s="13">
        <v>-0.0047</v>
      </c>
      <c r="J125" s="15"/>
      <c r="K125" s="11"/>
      <c r="L125" s="11"/>
      <c r="M125" s="11"/>
      <c r="N125" s="11"/>
    </row>
    <row r="126" ht="15.75" customHeight="1">
      <c r="A126" s="35">
        <v>44995.0</v>
      </c>
      <c r="B126" s="38">
        <v>201.0</v>
      </c>
      <c r="C126" s="11">
        <f t="shared" si="1"/>
        <v>-0.0004972650423</v>
      </c>
      <c r="D126" s="13">
        <f t="shared" si="2"/>
        <v>-0.0004972650423</v>
      </c>
      <c r="E126" s="35">
        <v>44995.0</v>
      </c>
      <c r="F126" s="12">
        <v>19528.75</v>
      </c>
      <c r="G126" s="11">
        <v>-0.005578385</v>
      </c>
      <c r="H126" s="13">
        <v>-0.0056</v>
      </c>
      <c r="J126" s="15"/>
      <c r="K126" s="11"/>
      <c r="L126" s="11"/>
      <c r="M126" s="11"/>
      <c r="N126" s="11"/>
    </row>
    <row r="127" ht="15.75" customHeight="1">
      <c r="A127" s="11" t="s">
        <v>179</v>
      </c>
      <c r="B127" s="38">
        <v>201.1</v>
      </c>
      <c r="C127" s="11">
        <f t="shared" si="1"/>
        <v>-0.01033464567</v>
      </c>
      <c r="D127" s="13">
        <f t="shared" si="2"/>
        <v>-0.01033464567</v>
      </c>
      <c r="E127" s="11" t="s">
        <v>179</v>
      </c>
      <c r="F127" s="12">
        <v>19638.3</v>
      </c>
      <c r="G127" s="11">
        <v>0.005877517</v>
      </c>
      <c r="H127" s="13">
        <v>0.0059</v>
      </c>
      <c r="J127" s="15"/>
      <c r="K127" s="11"/>
      <c r="L127" s="11"/>
      <c r="M127" s="11"/>
      <c r="N127" s="11"/>
    </row>
    <row r="128" ht="15.75" customHeight="1">
      <c r="A128" s="11" t="s">
        <v>180</v>
      </c>
      <c r="B128" s="38">
        <v>203.2</v>
      </c>
      <c r="C128" s="11">
        <f t="shared" si="1"/>
        <v>-0.01669489475</v>
      </c>
      <c r="D128" s="13">
        <f t="shared" si="2"/>
        <v>-0.01669489475</v>
      </c>
      <c r="E128" s="11" t="s">
        <v>180</v>
      </c>
      <c r="F128" s="12">
        <v>19523.55</v>
      </c>
      <c r="G128" s="11">
        <v>-0.009783709</v>
      </c>
      <c r="H128" s="13">
        <v>-0.0098</v>
      </c>
      <c r="J128" s="15"/>
      <c r="K128" s="11"/>
      <c r="L128" s="11"/>
      <c r="M128" s="11"/>
      <c r="N128" s="11"/>
    </row>
    <row r="129" ht="15.75" customHeight="1">
      <c r="A129" s="11" t="s">
        <v>181</v>
      </c>
      <c r="B129" s="38">
        <v>206.65</v>
      </c>
      <c r="C129" s="11">
        <f t="shared" si="1"/>
        <v>0.07128045619</v>
      </c>
      <c r="D129" s="13">
        <f t="shared" si="2"/>
        <v>0.07128045619</v>
      </c>
      <c r="E129" s="11" t="s">
        <v>181</v>
      </c>
      <c r="F129" s="12">
        <v>19716.45</v>
      </c>
      <c r="G129" s="11">
        <v>0.002631619</v>
      </c>
      <c r="H129" s="13">
        <v>0.0026</v>
      </c>
      <c r="J129" s="15"/>
      <c r="K129" s="11"/>
      <c r="L129" s="11"/>
      <c r="M129" s="11"/>
      <c r="N129" s="11"/>
    </row>
    <row r="130" ht="15.75" customHeight="1">
      <c r="A130" s="11" t="s">
        <v>182</v>
      </c>
      <c r="B130" s="38">
        <v>192.9</v>
      </c>
      <c r="C130" s="11">
        <f t="shared" si="1"/>
        <v>-0.02723146747</v>
      </c>
      <c r="D130" s="13">
        <f t="shared" si="2"/>
        <v>-0.02723146747</v>
      </c>
      <c r="E130" s="11" t="s">
        <v>182</v>
      </c>
      <c r="F130" s="12">
        <v>19664.7</v>
      </c>
      <c r="G130" s="11">
        <v>-5.00647E-4</v>
      </c>
      <c r="H130" s="13">
        <v>-5.0E-4</v>
      </c>
      <c r="J130" s="15"/>
      <c r="K130" s="11"/>
      <c r="L130" s="11"/>
      <c r="M130" s="11"/>
      <c r="N130" s="11"/>
    </row>
    <row r="131" ht="15.75" customHeight="1">
      <c r="A131" s="11" t="s">
        <v>183</v>
      </c>
      <c r="B131" s="38">
        <v>198.3</v>
      </c>
      <c r="C131" s="11">
        <f t="shared" si="1"/>
        <v>0.03903589206</v>
      </c>
      <c r="D131" s="13">
        <f t="shared" si="2"/>
        <v>0.03903589206</v>
      </c>
      <c r="E131" s="11" t="s">
        <v>183</v>
      </c>
      <c r="F131" s="12">
        <v>19674.55</v>
      </c>
      <c r="G131" s="45">
        <v>1.52484E-5</v>
      </c>
      <c r="H131" s="13">
        <v>0.0</v>
      </c>
      <c r="J131" s="15"/>
      <c r="K131" s="11"/>
      <c r="L131" s="11"/>
      <c r="M131" s="11"/>
      <c r="N131" s="11"/>
    </row>
    <row r="132" ht="15.75" customHeight="1">
      <c r="A132" s="11" t="s">
        <v>184</v>
      </c>
      <c r="B132" s="38">
        <v>190.85</v>
      </c>
      <c r="C132" s="11">
        <f t="shared" si="1"/>
        <v>0.1</v>
      </c>
      <c r="D132" s="13">
        <f t="shared" si="2"/>
        <v>0.1</v>
      </c>
      <c r="E132" s="11" t="s">
        <v>184</v>
      </c>
      <c r="F132" s="12">
        <v>19674.25</v>
      </c>
      <c r="G132" s="11">
        <v>-0.003449437</v>
      </c>
      <c r="H132" s="13">
        <v>-0.0034</v>
      </c>
      <c r="J132" s="15"/>
      <c r="K132" s="11"/>
      <c r="L132" s="11"/>
      <c r="M132" s="11"/>
      <c r="N132" s="11"/>
    </row>
    <row r="133" ht="15.75" customHeight="1">
      <c r="A133" s="11" t="s">
        <v>185</v>
      </c>
      <c r="B133" s="38">
        <v>173.5</v>
      </c>
      <c r="C133" s="11">
        <f t="shared" si="1"/>
        <v>-0.04617921935</v>
      </c>
      <c r="D133" s="13">
        <f t="shared" si="2"/>
        <v>-0.04617921935</v>
      </c>
      <c r="E133" s="11" t="s">
        <v>185</v>
      </c>
      <c r="F133" s="12">
        <v>19742.35</v>
      </c>
      <c r="G133" s="11">
        <v>-0.0079919</v>
      </c>
      <c r="H133" s="13">
        <v>-0.008</v>
      </c>
      <c r="J133" s="15"/>
      <c r="K133" s="11"/>
      <c r="L133" s="11"/>
      <c r="M133" s="11"/>
      <c r="N133" s="11"/>
    </row>
    <row r="134" ht="15.75" customHeight="1">
      <c r="A134" s="11" t="s">
        <v>186</v>
      </c>
      <c r="B134" s="38">
        <v>181.9</v>
      </c>
      <c r="C134" s="11">
        <f t="shared" si="1"/>
        <v>-0.03552492047</v>
      </c>
      <c r="D134" s="13">
        <f t="shared" si="2"/>
        <v>-0.03552492047</v>
      </c>
      <c r="E134" s="11" t="s">
        <v>186</v>
      </c>
      <c r="F134" s="12">
        <v>19901.4</v>
      </c>
      <c r="G134" s="11">
        <v>-0.011518231</v>
      </c>
      <c r="H134" s="13">
        <v>-0.0115</v>
      </c>
      <c r="J134" s="15"/>
      <c r="K134" s="11"/>
      <c r="L134" s="11"/>
      <c r="M134" s="11"/>
      <c r="N134" s="11"/>
    </row>
    <row r="135" ht="15.75" customHeight="1">
      <c r="A135" s="11" t="s">
        <v>187</v>
      </c>
      <c r="B135" s="38">
        <v>188.6</v>
      </c>
      <c r="C135" s="11">
        <f t="shared" si="1"/>
        <v>-0.04044772323</v>
      </c>
      <c r="D135" s="13">
        <f t="shared" si="2"/>
        <v>-0.04044772323</v>
      </c>
      <c r="E135" s="11" t="s">
        <v>187</v>
      </c>
      <c r="F135" s="12">
        <v>20133.3</v>
      </c>
      <c r="G135" s="11">
        <v>-0.002924375</v>
      </c>
      <c r="H135" s="13">
        <v>-0.0029</v>
      </c>
      <c r="J135" s="15"/>
      <c r="K135" s="11"/>
      <c r="L135" s="11"/>
      <c r="M135" s="11"/>
      <c r="N135" s="11"/>
    </row>
    <row r="136" ht="15.75" customHeight="1">
      <c r="A136" s="11" t="s">
        <v>188</v>
      </c>
      <c r="B136" s="38">
        <v>196.55</v>
      </c>
      <c r="C136" s="11">
        <f t="shared" si="1"/>
        <v>-0.003043367994</v>
      </c>
      <c r="D136" s="13">
        <f t="shared" si="2"/>
        <v>-0.003043367994</v>
      </c>
      <c r="E136" s="11" t="s">
        <v>188</v>
      </c>
      <c r="F136" s="12">
        <v>20192.35</v>
      </c>
      <c r="G136" s="11">
        <v>0.004439614</v>
      </c>
      <c r="H136" s="13">
        <v>0.0044</v>
      </c>
      <c r="J136" s="15"/>
      <c r="K136" s="11"/>
      <c r="L136" s="11"/>
      <c r="M136" s="11"/>
      <c r="N136" s="11"/>
    </row>
    <row r="137" ht="15.75" customHeight="1">
      <c r="A137" s="11" t="s">
        <v>189</v>
      </c>
      <c r="B137" s="38">
        <v>197.15</v>
      </c>
      <c r="C137" s="11">
        <f t="shared" si="1"/>
        <v>-0.01252191335</v>
      </c>
      <c r="D137" s="13">
        <f t="shared" si="2"/>
        <v>-0.01252191335</v>
      </c>
      <c r="E137" s="11" t="s">
        <v>189</v>
      </c>
      <c r="F137" s="12">
        <v>20103.1</v>
      </c>
      <c r="G137" s="11">
        <v>0.001649228</v>
      </c>
      <c r="H137" s="13">
        <v>0.0016</v>
      </c>
      <c r="N137" s="11"/>
    </row>
    <row r="138" ht="15.75" customHeight="1">
      <c r="A138" s="11" t="s">
        <v>190</v>
      </c>
      <c r="B138" s="38">
        <v>199.65</v>
      </c>
      <c r="C138" s="11">
        <f t="shared" si="1"/>
        <v>0.1937219731</v>
      </c>
      <c r="D138" s="13">
        <f t="shared" si="2"/>
        <v>0.1937219731</v>
      </c>
      <c r="E138" s="11" t="s">
        <v>190</v>
      </c>
      <c r="F138" s="12">
        <v>20070.0</v>
      </c>
      <c r="G138" s="11">
        <v>0.003841306</v>
      </c>
      <c r="H138" s="13">
        <v>0.0038</v>
      </c>
      <c r="N138" s="11"/>
    </row>
    <row r="139" ht="15.75" customHeight="1">
      <c r="A139" s="35">
        <v>45269.0</v>
      </c>
      <c r="B139" s="38">
        <v>167.25</v>
      </c>
      <c r="C139" s="11">
        <f t="shared" si="1"/>
        <v>0.1202277294</v>
      </c>
      <c r="D139" s="13">
        <f t="shared" si="2"/>
        <v>0.1202277294</v>
      </c>
      <c r="E139" s="35">
        <v>45269.0</v>
      </c>
      <c r="F139" s="12">
        <v>19993.2</v>
      </c>
      <c r="G139" s="11">
        <v>-1.57529E-4</v>
      </c>
      <c r="H139" s="13">
        <v>-2.0E-4</v>
      </c>
      <c r="N139" s="11"/>
    </row>
    <row r="140" ht="15.75" customHeight="1">
      <c r="A140" s="35">
        <v>45239.0</v>
      </c>
      <c r="B140" s="38">
        <v>149.3</v>
      </c>
      <c r="C140" s="11">
        <f t="shared" si="1"/>
        <v>0.1996785858</v>
      </c>
      <c r="D140" s="13">
        <f t="shared" si="2"/>
        <v>0.1996785858</v>
      </c>
      <c r="E140" s="35">
        <v>45239.0</v>
      </c>
      <c r="F140" s="12">
        <v>19996.35</v>
      </c>
      <c r="G140" s="11">
        <v>0.008900123</v>
      </c>
      <c r="H140" s="13">
        <v>0.0089</v>
      </c>
      <c r="N140" s="11"/>
    </row>
    <row r="141" ht="15.75" customHeight="1">
      <c r="A141" s="35">
        <v>45147.0</v>
      </c>
      <c r="B141" s="38">
        <v>124.45</v>
      </c>
      <c r="C141" s="11">
        <f t="shared" si="1"/>
        <v>-0.02315541601</v>
      </c>
      <c r="D141" s="13">
        <f t="shared" si="2"/>
        <v>-0.02315541601</v>
      </c>
      <c r="E141" s="35">
        <v>45147.0</v>
      </c>
      <c r="F141" s="12">
        <v>19819.95</v>
      </c>
      <c r="G141" s="11">
        <v>0.00470927</v>
      </c>
      <c r="H141" s="13">
        <v>0.0047</v>
      </c>
      <c r="N141" s="11"/>
    </row>
    <row r="142" ht="15.75" customHeight="1">
      <c r="A142" s="35">
        <v>45116.0</v>
      </c>
      <c r="B142" s="38">
        <v>127.4</v>
      </c>
      <c r="C142" s="11">
        <f t="shared" si="1"/>
        <v>-0.002349256069</v>
      </c>
      <c r="D142" s="13">
        <f t="shared" si="2"/>
        <v>-0.002349256069</v>
      </c>
      <c r="E142" s="35">
        <v>45116.0</v>
      </c>
      <c r="F142" s="12">
        <v>19727.05</v>
      </c>
      <c r="G142" s="11">
        <v>0.005915033</v>
      </c>
      <c r="H142" s="13">
        <v>0.0059</v>
      </c>
      <c r="N142" s="11"/>
    </row>
    <row r="143" ht="15.75" customHeight="1">
      <c r="A143" s="35">
        <v>45086.0</v>
      </c>
      <c r="B143" s="38">
        <v>127.7</v>
      </c>
      <c r="C143" s="11">
        <f t="shared" si="1"/>
        <v>0.00868878357</v>
      </c>
      <c r="D143" s="13">
        <f t="shared" si="2"/>
        <v>0.00868878357</v>
      </c>
      <c r="E143" s="35">
        <v>45086.0</v>
      </c>
      <c r="F143" s="12">
        <v>19611.05</v>
      </c>
      <c r="G143" s="11">
        <v>0.001846753</v>
      </c>
      <c r="H143" s="13">
        <v>0.0018</v>
      </c>
      <c r="J143" s="15"/>
      <c r="K143" s="11"/>
      <c r="L143" s="11"/>
      <c r="M143" s="11"/>
      <c r="N143" s="11"/>
    </row>
    <row r="144" ht="15.75" customHeight="1">
      <c r="A144" s="35">
        <v>45055.0</v>
      </c>
      <c r="B144" s="38">
        <v>126.6</v>
      </c>
      <c r="C144" s="11">
        <f t="shared" si="1"/>
        <v>-0.01016419077</v>
      </c>
      <c r="D144" s="13">
        <f t="shared" si="2"/>
        <v>-0.01016419077</v>
      </c>
      <c r="E144" s="35">
        <v>45055.0</v>
      </c>
      <c r="F144" s="12">
        <v>19574.9</v>
      </c>
      <c r="G144" s="11">
        <v>0.002360616</v>
      </c>
      <c r="H144" s="13">
        <v>0.0024</v>
      </c>
      <c r="J144" s="15"/>
      <c r="K144" s="11"/>
      <c r="L144" s="11"/>
      <c r="M144" s="11"/>
      <c r="N144" s="11"/>
    </row>
    <row r="145" ht="15.75" customHeight="1">
      <c r="A145" s="35">
        <v>45025.0</v>
      </c>
      <c r="B145" s="38">
        <v>127.9</v>
      </c>
      <c r="C145" s="11">
        <f t="shared" si="1"/>
        <v>0.0622923588</v>
      </c>
      <c r="D145" s="13">
        <f t="shared" si="2"/>
        <v>0.0622923588</v>
      </c>
      <c r="E145" s="35">
        <v>45025.0</v>
      </c>
      <c r="F145" s="12">
        <v>19528.8</v>
      </c>
      <c r="G145" s="11">
        <v>0.004810834</v>
      </c>
      <c r="H145" s="13">
        <v>0.0048</v>
      </c>
      <c r="J145" s="15"/>
      <c r="K145" s="11"/>
      <c r="L145" s="11"/>
      <c r="M145" s="11"/>
      <c r="N145" s="11"/>
    </row>
    <row r="146" ht="15.75" customHeight="1">
      <c r="A146" s="35">
        <v>44935.0</v>
      </c>
      <c r="B146" s="38">
        <v>120.4</v>
      </c>
      <c r="C146" s="11">
        <f t="shared" si="1"/>
        <v>0.00458906967</v>
      </c>
      <c r="D146" s="13">
        <f t="shared" si="2"/>
        <v>0.00458906967</v>
      </c>
      <c r="E146" s="35">
        <v>44935.0</v>
      </c>
      <c r="F146" s="12">
        <v>19435.3</v>
      </c>
      <c r="G146" s="11">
        <v>0.009426711</v>
      </c>
      <c r="H146" s="13">
        <v>0.0094</v>
      </c>
      <c r="J146" s="15"/>
      <c r="K146" s="11"/>
      <c r="L146" s="11"/>
      <c r="M146" s="11"/>
      <c r="N146" s="11"/>
    </row>
    <row r="147" ht="15.75" customHeight="1">
      <c r="A147" s="11" t="s">
        <v>191</v>
      </c>
      <c r="B147" s="38">
        <v>119.85</v>
      </c>
      <c r="C147" s="11">
        <f t="shared" si="1"/>
        <v>0.01524777637</v>
      </c>
      <c r="D147" s="13">
        <f t="shared" si="2"/>
        <v>0.01524777637</v>
      </c>
      <c r="E147" s="11" t="s">
        <v>191</v>
      </c>
      <c r="F147" s="12">
        <v>19253.8</v>
      </c>
      <c r="G147" s="11">
        <v>-0.004840431</v>
      </c>
      <c r="H147" s="13">
        <v>-0.0048</v>
      </c>
      <c r="J147" s="15"/>
      <c r="K147" s="11"/>
      <c r="L147" s="11"/>
      <c r="M147" s="11"/>
      <c r="N147" s="11"/>
    </row>
    <row r="148" ht="15.75" customHeight="1">
      <c r="A148" s="11" t="s">
        <v>192</v>
      </c>
      <c r="B148" s="38">
        <v>118.05</v>
      </c>
      <c r="C148" s="11">
        <f t="shared" si="1"/>
        <v>-0.004637436762</v>
      </c>
      <c r="D148" s="13">
        <f t="shared" si="2"/>
        <v>-0.004637436762</v>
      </c>
      <c r="E148" s="11" t="s">
        <v>192</v>
      </c>
      <c r="F148" s="12">
        <v>19347.45</v>
      </c>
      <c r="G148" s="11">
        <v>2.48156E-4</v>
      </c>
      <c r="H148" s="13">
        <v>2.0E-4</v>
      </c>
      <c r="J148" s="15"/>
      <c r="K148" s="11"/>
      <c r="L148" s="11"/>
      <c r="M148" s="11"/>
      <c r="N148" s="11"/>
    </row>
    <row r="149" ht="15.75" customHeight="1">
      <c r="A149" s="11" t="s">
        <v>193</v>
      </c>
      <c r="B149" s="38">
        <v>118.6</v>
      </c>
      <c r="C149" s="11">
        <f t="shared" si="1"/>
        <v>0.006791171477</v>
      </c>
      <c r="D149" s="13">
        <f t="shared" si="2"/>
        <v>0.006791171477</v>
      </c>
      <c r="E149" s="11" t="s">
        <v>193</v>
      </c>
      <c r="F149" s="12">
        <v>19342.65</v>
      </c>
      <c r="G149" s="11">
        <v>0.001895779</v>
      </c>
      <c r="H149" s="13">
        <v>0.0019</v>
      </c>
      <c r="J149" s="15"/>
      <c r="K149" s="11"/>
      <c r="L149" s="11"/>
      <c r="M149" s="11"/>
      <c r="N149" s="11"/>
    </row>
    <row r="150" ht="15.75" customHeight="1">
      <c r="A150" s="11" t="s">
        <v>194</v>
      </c>
      <c r="B150" s="38">
        <v>117.8</v>
      </c>
      <c r="C150" s="11">
        <f t="shared" si="1"/>
        <v>0.01683211049</v>
      </c>
      <c r="D150" s="13">
        <f t="shared" si="2"/>
        <v>0.01683211049</v>
      </c>
      <c r="E150" s="11" t="s">
        <v>194</v>
      </c>
      <c r="F150" s="12">
        <v>19306.05</v>
      </c>
      <c r="G150" s="11">
        <v>0.002089194</v>
      </c>
      <c r="H150" s="13">
        <v>0.0021</v>
      </c>
      <c r="J150" s="15"/>
      <c r="K150" s="11"/>
      <c r="L150" s="11"/>
      <c r="M150" s="11"/>
      <c r="N150" s="11"/>
    </row>
    <row r="151" ht="15.75" customHeight="1">
      <c r="A151" s="11" t="s">
        <v>195</v>
      </c>
      <c r="B151" s="38">
        <v>115.85</v>
      </c>
      <c r="C151" s="11">
        <f t="shared" si="1"/>
        <v>-0.02153716216</v>
      </c>
      <c r="D151" s="13">
        <f t="shared" si="2"/>
        <v>-0.02153716216</v>
      </c>
      <c r="E151" s="11" t="s">
        <v>195</v>
      </c>
      <c r="F151" s="12">
        <v>19265.8</v>
      </c>
      <c r="G151" s="11">
        <v>-0.006236234</v>
      </c>
      <c r="H151" s="13">
        <v>-0.0062</v>
      </c>
      <c r="J151" s="15"/>
      <c r="K151" s="11"/>
      <c r="L151" s="11"/>
      <c r="M151" s="11"/>
      <c r="N151" s="11"/>
    </row>
    <row r="152" ht="15.75" customHeight="1">
      <c r="A152" s="11" t="s">
        <v>196</v>
      </c>
      <c r="B152" s="38">
        <v>118.4</v>
      </c>
      <c r="C152" s="11">
        <f t="shared" si="1"/>
        <v>0.001692047377</v>
      </c>
      <c r="D152" s="13">
        <f t="shared" si="2"/>
        <v>0.001692047377</v>
      </c>
      <c r="E152" s="11" t="s">
        <v>196</v>
      </c>
      <c r="F152" s="12">
        <v>19386.7</v>
      </c>
      <c r="G152" s="11">
        <v>-0.002946925</v>
      </c>
      <c r="H152" s="13">
        <v>-0.0029</v>
      </c>
      <c r="J152" s="15"/>
      <c r="K152" s="11"/>
      <c r="L152" s="11"/>
      <c r="M152" s="11"/>
      <c r="N152" s="11"/>
    </row>
    <row r="153" ht="15.75" customHeight="1">
      <c r="A153" s="11" t="s">
        <v>197</v>
      </c>
      <c r="B153" s="38">
        <v>118.2</v>
      </c>
      <c r="C153" s="11">
        <f t="shared" si="1"/>
        <v>0.0207253886</v>
      </c>
      <c r="D153" s="13">
        <f t="shared" si="2"/>
        <v>0.0207253886</v>
      </c>
      <c r="E153" s="11" t="s">
        <v>197</v>
      </c>
      <c r="F153" s="12">
        <v>19444.0</v>
      </c>
      <c r="G153" s="11">
        <v>0.00245148</v>
      </c>
      <c r="H153" s="13">
        <v>0.0025</v>
      </c>
      <c r="J153" s="15"/>
      <c r="K153" s="11"/>
      <c r="L153" s="11"/>
      <c r="M153" s="11"/>
      <c r="N153" s="11"/>
    </row>
    <row r="154" ht="15.75" customHeight="1">
      <c r="A154" s="11" t="s">
        <v>198</v>
      </c>
      <c r="B154" s="38">
        <v>115.8</v>
      </c>
      <c r="C154" s="11">
        <f t="shared" si="1"/>
        <v>0.02477876106</v>
      </c>
      <c r="D154" s="13">
        <f t="shared" si="2"/>
        <v>0.02477876106</v>
      </c>
      <c r="E154" s="11" t="s">
        <v>198</v>
      </c>
      <c r="F154" s="12">
        <v>19396.45</v>
      </c>
      <c r="G154" s="11">
        <v>1.46956E-4</v>
      </c>
      <c r="H154" s="13">
        <v>1.0E-4</v>
      </c>
      <c r="J154" s="15"/>
      <c r="K154" s="11"/>
      <c r="L154" s="11"/>
      <c r="M154" s="11"/>
      <c r="N154" s="11"/>
    </row>
    <row r="155" ht="15.75" customHeight="1">
      <c r="A155" s="11" t="s">
        <v>199</v>
      </c>
      <c r="B155" s="38">
        <v>113.0</v>
      </c>
      <c r="C155" s="11">
        <f t="shared" si="1"/>
        <v>0</v>
      </c>
      <c r="D155" s="13">
        <f t="shared" si="2"/>
        <v>0</v>
      </c>
      <c r="E155" s="11" t="s">
        <v>199</v>
      </c>
      <c r="F155" s="12">
        <v>19393.6</v>
      </c>
      <c r="G155" s="11">
        <v>0.004321561</v>
      </c>
      <c r="H155" s="13">
        <v>0.0043</v>
      </c>
      <c r="J155" s="15"/>
      <c r="K155" s="11"/>
      <c r="L155" s="11"/>
      <c r="M155" s="11"/>
      <c r="N155" s="11"/>
    </row>
    <row r="156" ht="15.75" customHeight="1">
      <c r="A156" s="11" t="s">
        <v>200</v>
      </c>
      <c r="B156" s="38">
        <v>113.0</v>
      </c>
      <c r="C156" s="11">
        <f t="shared" si="1"/>
        <v>-0.009640666082</v>
      </c>
      <c r="D156" s="13">
        <f t="shared" si="2"/>
        <v>-0.009640666082</v>
      </c>
      <c r="E156" s="11" t="s">
        <v>200</v>
      </c>
      <c r="F156" s="12">
        <v>19310.15</v>
      </c>
      <c r="G156" s="11">
        <v>-0.002845303</v>
      </c>
      <c r="H156" s="13">
        <v>-0.0028</v>
      </c>
      <c r="J156" s="15"/>
      <c r="K156" s="11"/>
      <c r="L156" s="11"/>
      <c r="M156" s="11"/>
      <c r="N156" s="11"/>
    </row>
    <row r="157" ht="15.75" customHeight="1">
      <c r="A157" s="11" t="s">
        <v>201</v>
      </c>
      <c r="B157" s="38">
        <v>114.1</v>
      </c>
      <c r="C157" s="11">
        <f t="shared" si="1"/>
        <v>-0.004363001745</v>
      </c>
      <c r="D157" s="13">
        <f t="shared" si="2"/>
        <v>-0.004363001745</v>
      </c>
      <c r="E157" s="11" t="s">
        <v>201</v>
      </c>
      <c r="F157" s="12">
        <v>19365.25</v>
      </c>
      <c r="G157" s="11">
        <v>-0.005124583</v>
      </c>
      <c r="H157" s="13">
        <v>-0.0051</v>
      </c>
      <c r="J157" s="15"/>
      <c r="K157" s="11"/>
      <c r="L157" s="11"/>
      <c r="M157" s="11"/>
      <c r="N157" s="11"/>
    </row>
    <row r="158" ht="15.75" customHeight="1">
      <c r="A158" s="11" t="s">
        <v>202</v>
      </c>
      <c r="B158" s="38">
        <v>114.6</v>
      </c>
      <c r="C158" s="11">
        <f t="shared" si="1"/>
        <v>0.01147396293</v>
      </c>
      <c r="D158" s="13">
        <f t="shared" si="2"/>
        <v>0.01147396293</v>
      </c>
      <c r="E158" s="11" t="s">
        <v>202</v>
      </c>
      <c r="F158" s="12">
        <v>19465.0</v>
      </c>
      <c r="G158" s="11">
        <v>0.001566797</v>
      </c>
      <c r="H158" s="13">
        <v>0.0016</v>
      </c>
      <c r="J158" s="15"/>
      <c r="K158" s="11"/>
      <c r="L158" s="11"/>
      <c r="M158" s="11"/>
      <c r="N158" s="11"/>
    </row>
    <row r="159" ht="15.75" customHeight="1">
      <c r="A159" s="11" t="s">
        <v>203</v>
      </c>
      <c r="B159" s="38">
        <v>113.3</v>
      </c>
      <c r="C159" s="11">
        <f t="shared" si="1"/>
        <v>-0.03901611535</v>
      </c>
      <c r="D159" s="13">
        <f t="shared" si="2"/>
        <v>-0.03901611535</v>
      </c>
      <c r="E159" s="11" t="s">
        <v>203</v>
      </c>
      <c r="F159" s="12">
        <v>19434.55</v>
      </c>
      <c r="G159" s="11">
        <v>3.21696E-4</v>
      </c>
      <c r="H159" s="13">
        <v>3.0E-4</v>
      </c>
      <c r="J159" s="15"/>
      <c r="K159" s="11"/>
      <c r="L159" s="11"/>
      <c r="M159" s="11"/>
      <c r="N159" s="11"/>
    </row>
    <row r="160" ht="15.75" customHeight="1">
      <c r="A160" s="35">
        <v>45238.0</v>
      </c>
      <c r="B160" s="38">
        <v>117.9</v>
      </c>
      <c r="C160" s="11">
        <f t="shared" si="1"/>
        <v>-0.006739679865</v>
      </c>
      <c r="D160" s="13">
        <f t="shared" si="2"/>
        <v>-0.006739679865</v>
      </c>
      <c r="E160" s="35">
        <v>45238.0</v>
      </c>
      <c r="F160" s="12">
        <v>19428.3</v>
      </c>
      <c r="G160" s="11">
        <v>-0.005874196</v>
      </c>
      <c r="H160" s="13">
        <v>-0.0059</v>
      </c>
      <c r="J160" s="15"/>
      <c r="K160" s="11"/>
      <c r="L160" s="11"/>
      <c r="M160" s="11"/>
      <c r="N160" s="11"/>
    </row>
    <row r="161" ht="15.75" customHeight="1">
      <c r="A161" s="35">
        <v>45207.0</v>
      </c>
      <c r="B161" s="38">
        <v>118.7</v>
      </c>
      <c r="C161" s="11">
        <f t="shared" si="1"/>
        <v>-0.006694560669</v>
      </c>
      <c r="D161" s="13">
        <f t="shared" si="2"/>
        <v>-0.006694560669</v>
      </c>
      <c r="E161" s="35">
        <v>45207.0</v>
      </c>
      <c r="F161" s="12">
        <v>19543.1</v>
      </c>
      <c r="G161" s="11">
        <v>-0.004556209</v>
      </c>
      <c r="H161" s="13">
        <v>-0.0046</v>
      </c>
      <c r="J161" s="15"/>
      <c r="K161" s="11"/>
      <c r="L161" s="11"/>
      <c r="M161" s="11"/>
      <c r="N161" s="11"/>
    </row>
    <row r="162" ht="15.75" customHeight="1">
      <c r="A162" s="35">
        <v>45177.0</v>
      </c>
      <c r="B162" s="38">
        <v>119.5</v>
      </c>
      <c r="C162" s="11">
        <f t="shared" si="1"/>
        <v>-0.01605599012</v>
      </c>
      <c r="D162" s="13">
        <f t="shared" si="2"/>
        <v>-0.01605599012</v>
      </c>
      <c r="E162" s="35">
        <v>45177.0</v>
      </c>
      <c r="F162" s="12">
        <v>19632.55</v>
      </c>
      <c r="G162" s="11">
        <v>0.003152648</v>
      </c>
      <c r="H162" s="13">
        <v>0.0032</v>
      </c>
      <c r="J162" s="15"/>
      <c r="K162" s="11"/>
      <c r="L162" s="11"/>
      <c r="M162" s="11"/>
      <c r="N162" s="11"/>
    </row>
    <row r="163" ht="15.75" customHeight="1">
      <c r="A163" s="35">
        <v>45146.0</v>
      </c>
      <c r="B163" s="38">
        <v>121.45</v>
      </c>
      <c r="C163" s="11">
        <f t="shared" si="1"/>
        <v>0.01292743953</v>
      </c>
      <c r="D163" s="13">
        <f t="shared" si="2"/>
        <v>0.01292743953</v>
      </c>
      <c r="E163" s="35">
        <v>45146.0</v>
      </c>
      <c r="F163" s="12">
        <v>19570.85</v>
      </c>
      <c r="G163" s="11">
        <v>-0.001349676</v>
      </c>
      <c r="H163" s="13">
        <v>-0.0013</v>
      </c>
      <c r="J163" s="15"/>
      <c r="K163" s="11"/>
      <c r="L163" s="11"/>
      <c r="M163" s="11"/>
      <c r="N163" s="11"/>
    </row>
    <row r="164" ht="15.75" customHeight="1">
      <c r="A164" s="35">
        <v>45115.0</v>
      </c>
      <c r="B164" s="38">
        <v>119.9</v>
      </c>
      <c r="C164" s="11">
        <f t="shared" si="1"/>
        <v>0.08802177858</v>
      </c>
      <c r="D164" s="13">
        <f t="shared" si="2"/>
        <v>0.08802177858</v>
      </c>
      <c r="E164" s="35">
        <v>45115.0</v>
      </c>
      <c r="F164" s="12">
        <v>19597.3</v>
      </c>
      <c r="G164" s="11">
        <v>0.004114362</v>
      </c>
      <c r="H164" s="13">
        <v>0.0041</v>
      </c>
      <c r="J164" s="15"/>
      <c r="K164" s="11"/>
      <c r="L164" s="11"/>
      <c r="M164" s="11"/>
      <c r="N164" s="11"/>
    </row>
    <row r="165" ht="15.75" customHeight="1">
      <c r="A165" s="35">
        <v>45024.0</v>
      </c>
      <c r="B165" s="38">
        <v>110.2</v>
      </c>
      <c r="C165" s="11">
        <f t="shared" si="1"/>
        <v>-0.003165988241</v>
      </c>
      <c r="D165" s="13">
        <f t="shared" si="2"/>
        <v>-0.003165988241</v>
      </c>
      <c r="E165" s="35">
        <v>45024.0</v>
      </c>
      <c r="F165" s="12">
        <v>19517.0</v>
      </c>
      <c r="G165" s="11">
        <v>0.00698341</v>
      </c>
      <c r="H165" s="13">
        <v>0.007</v>
      </c>
      <c r="J165" s="15"/>
      <c r="K165" s="11"/>
      <c r="L165" s="11"/>
      <c r="M165" s="11"/>
      <c r="N165" s="11"/>
    </row>
    <row r="166" ht="15.75" customHeight="1">
      <c r="A166" s="35">
        <v>44993.0</v>
      </c>
      <c r="B166" s="38">
        <v>110.55</v>
      </c>
      <c r="C166" s="11">
        <f t="shared" si="1"/>
        <v>0.001812415043</v>
      </c>
      <c r="D166" s="13">
        <f t="shared" si="2"/>
        <v>0.001812415043</v>
      </c>
      <c r="E166" s="35">
        <v>44993.0</v>
      </c>
      <c r="F166" s="12">
        <v>19381.65</v>
      </c>
      <c r="G166" s="11">
        <v>-0.007420666</v>
      </c>
      <c r="H166" s="13">
        <v>-0.0074</v>
      </c>
      <c r="J166" s="15"/>
      <c r="K166" s="11"/>
      <c r="L166" s="11"/>
      <c r="M166" s="11"/>
      <c r="N166" s="11"/>
    </row>
    <row r="167" ht="15.75" customHeight="1">
      <c r="A167" s="35">
        <v>44965.0</v>
      </c>
      <c r="B167" s="38">
        <v>110.35</v>
      </c>
      <c r="C167" s="11">
        <f t="shared" si="1"/>
        <v>-0.02431476569</v>
      </c>
      <c r="D167" s="13">
        <f t="shared" si="2"/>
        <v>-0.02431476569</v>
      </c>
      <c r="E167" s="35">
        <v>44965.0</v>
      </c>
      <c r="F167" s="12">
        <v>19526.55</v>
      </c>
      <c r="G167" s="11">
        <v>-0.01048975</v>
      </c>
      <c r="H167" s="13">
        <v>-0.0105</v>
      </c>
      <c r="J167" s="15"/>
      <c r="K167" s="11"/>
      <c r="L167" s="11"/>
      <c r="M167" s="11"/>
      <c r="N167" s="11"/>
    </row>
    <row r="168" ht="15.75" customHeight="1">
      <c r="A168" s="35">
        <v>44934.0</v>
      </c>
      <c r="B168" s="38">
        <v>113.1</v>
      </c>
      <c r="C168" s="11">
        <f t="shared" si="1"/>
        <v>0.005333333333</v>
      </c>
      <c r="D168" s="13">
        <f t="shared" si="2"/>
        <v>0.005333333333</v>
      </c>
      <c r="E168" s="35">
        <v>44934.0</v>
      </c>
      <c r="F168" s="12">
        <v>19733.55</v>
      </c>
      <c r="G168" s="11">
        <v>-0.001025119</v>
      </c>
      <c r="H168" s="13">
        <v>-0.001</v>
      </c>
      <c r="J168" s="15"/>
      <c r="K168" s="11"/>
      <c r="L168" s="11"/>
      <c r="M168" s="11"/>
      <c r="N168" s="11"/>
    </row>
    <row r="169" ht="15.75" customHeight="1">
      <c r="A169" s="11" t="s">
        <v>204</v>
      </c>
      <c r="B169" s="38">
        <v>112.5</v>
      </c>
      <c r="C169" s="11">
        <f t="shared" si="1"/>
        <v>-0.003984063745</v>
      </c>
      <c r="D169" s="13">
        <f t="shared" si="2"/>
        <v>-0.003984063745</v>
      </c>
      <c r="E169" s="11" t="s">
        <v>204</v>
      </c>
      <c r="F169" s="12">
        <v>19753.8</v>
      </c>
      <c r="G169" s="11">
        <v>0.005484563</v>
      </c>
      <c r="H169" s="13">
        <v>0.0055</v>
      </c>
      <c r="J169" s="15"/>
      <c r="K169" s="11"/>
      <c r="L169" s="11"/>
      <c r="M169" s="11"/>
      <c r="N169" s="11"/>
    </row>
    <row r="170" ht="15.75" customHeight="1">
      <c r="A170" s="11" t="s">
        <v>205</v>
      </c>
      <c r="B170" s="38">
        <v>112.95</v>
      </c>
      <c r="C170" s="11">
        <f t="shared" si="1"/>
        <v>0.0008861320337</v>
      </c>
      <c r="D170" s="13">
        <f t="shared" si="2"/>
        <v>0.0008861320337</v>
      </c>
      <c r="E170" s="11" t="s">
        <v>205</v>
      </c>
      <c r="F170" s="12">
        <v>19646.05</v>
      </c>
      <c r="G170" s="11">
        <v>-7.0448E-4</v>
      </c>
      <c r="H170" s="13">
        <v>-7.0E-4</v>
      </c>
      <c r="J170" s="15"/>
      <c r="K170" s="11"/>
      <c r="L170" s="11"/>
      <c r="M170" s="11"/>
      <c r="N170" s="11"/>
    </row>
    <row r="171" ht="15.75" customHeight="1">
      <c r="A171" s="11" t="s">
        <v>206</v>
      </c>
      <c r="B171" s="38">
        <v>112.85</v>
      </c>
      <c r="C171" s="11">
        <f t="shared" si="1"/>
        <v>0.03865623562</v>
      </c>
      <c r="D171" s="13">
        <f t="shared" si="2"/>
        <v>0.03865623562</v>
      </c>
      <c r="E171" s="11" t="s">
        <v>206</v>
      </c>
      <c r="F171" s="12">
        <v>19659.9</v>
      </c>
      <c r="G171" s="11">
        <v>-0.005986359</v>
      </c>
      <c r="H171" s="13">
        <v>-0.006</v>
      </c>
      <c r="J171" s="15"/>
      <c r="K171" s="11"/>
      <c r="L171" s="11"/>
      <c r="M171" s="11"/>
      <c r="N171" s="11"/>
    </row>
    <row r="172" ht="15.75" customHeight="1">
      <c r="A172" s="11" t="s">
        <v>207</v>
      </c>
      <c r="B172" s="38">
        <v>108.65</v>
      </c>
      <c r="C172" s="11">
        <f t="shared" si="1"/>
        <v>-0.0004599816007</v>
      </c>
      <c r="D172" s="13">
        <f t="shared" si="2"/>
        <v>-0.0004599816007</v>
      </c>
      <c r="E172" s="11" t="s">
        <v>207</v>
      </c>
      <c r="F172" s="12">
        <v>19778.3</v>
      </c>
      <c r="G172" s="11">
        <v>0.00496428</v>
      </c>
      <c r="H172" s="13">
        <v>0.005</v>
      </c>
      <c r="J172" s="15"/>
      <c r="K172" s="11"/>
      <c r="L172" s="11"/>
      <c r="M172" s="11"/>
      <c r="N172" s="11"/>
    </row>
    <row r="173" ht="15.75" customHeight="1">
      <c r="A173" s="11" t="s">
        <v>208</v>
      </c>
      <c r="B173" s="38">
        <v>108.7</v>
      </c>
      <c r="C173" s="11">
        <f t="shared" si="1"/>
        <v>-0.008663930689</v>
      </c>
      <c r="D173" s="13">
        <f t="shared" si="2"/>
        <v>-0.008663930689</v>
      </c>
      <c r="E173" s="11" t="s">
        <v>208</v>
      </c>
      <c r="F173" s="12">
        <v>19680.6</v>
      </c>
      <c r="G173" s="11">
        <v>4.1937E-4</v>
      </c>
      <c r="H173" s="13">
        <v>4.0E-4</v>
      </c>
      <c r="J173" s="15"/>
      <c r="K173" s="11"/>
      <c r="L173" s="11"/>
      <c r="M173" s="11"/>
      <c r="N173" s="11"/>
    </row>
    <row r="174" ht="15.75" customHeight="1">
      <c r="A174" s="11" t="s">
        <v>209</v>
      </c>
      <c r="B174" s="38">
        <v>109.65</v>
      </c>
      <c r="C174" s="11">
        <f t="shared" si="1"/>
        <v>-0.001366120219</v>
      </c>
      <c r="D174" s="13">
        <f t="shared" si="2"/>
        <v>-0.001366120219</v>
      </c>
      <c r="E174" s="11" t="s">
        <v>209</v>
      </c>
      <c r="F174" s="12">
        <v>19672.35</v>
      </c>
      <c r="G174" s="11">
        <v>-0.003679413</v>
      </c>
      <c r="H174" s="13">
        <v>-0.0037</v>
      </c>
      <c r="J174" s="15"/>
      <c r="K174" s="11"/>
      <c r="L174" s="11"/>
      <c r="M174" s="11"/>
      <c r="N174" s="11"/>
    </row>
    <row r="175" ht="15.75" customHeight="1">
      <c r="A175" s="11" t="s">
        <v>210</v>
      </c>
      <c r="B175" s="38">
        <v>109.8</v>
      </c>
      <c r="C175" s="11">
        <f t="shared" si="1"/>
        <v>0.00826446281</v>
      </c>
      <c r="D175" s="13">
        <f t="shared" si="2"/>
        <v>0.00826446281</v>
      </c>
      <c r="E175" s="11" t="s">
        <v>210</v>
      </c>
      <c r="F175" s="12">
        <v>19745.0</v>
      </c>
      <c r="G175" s="11">
        <v>-0.011719718</v>
      </c>
      <c r="H175" s="13">
        <v>-0.0117</v>
      </c>
      <c r="J175" s="15"/>
      <c r="K175" s="11"/>
      <c r="L175" s="11"/>
      <c r="M175" s="11"/>
      <c r="N175" s="11"/>
    </row>
    <row r="176" ht="15.75" customHeight="1">
      <c r="A176" s="11" t="s">
        <v>211</v>
      </c>
      <c r="B176" s="38">
        <v>108.9</v>
      </c>
      <c r="C176" s="11">
        <f t="shared" si="1"/>
        <v>-0.005479452055</v>
      </c>
      <c r="D176" s="13">
        <f t="shared" si="2"/>
        <v>-0.005479452055</v>
      </c>
      <c r="E176" s="11" t="s">
        <v>211</v>
      </c>
      <c r="F176" s="12">
        <v>19979.15</v>
      </c>
      <c r="G176" s="11">
        <v>0.007361413</v>
      </c>
      <c r="H176" s="13">
        <v>0.0074</v>
      </c>
      <c r="J176" s="15"/>
      <c r="K176" s="11"/>
      <c r="L176" s="11"/>
      <c r="M176" s="11"/>
      <c r="N176" s="11"/>
    </row>
    <row r="177" ht="15.75" customHeight="1">
      <c r="A177" s="11" t="s">
        <v>212</v>
      </c>
      <c r="B177" s="38">
        <v>109.5</v>
      </c>
      <c r="C177" s="11">
        <f t="shared" si="1"/>
        <v>-0.01128668172</v>
      </c>
      <c r="D177" s="13">
        <f t="shared" si="2"/>
        <v>-0.01128668172</v>
      </c>
      <c r="E177" s="11" t="s">
        <v>212</v>
      </c>
      <c r="F177" s="12">
        <v>19833.15</v>
      </c>
      <c r="G177" s="11">
        <v>0.004248263</v>
      </c>
      <c r="H177" s="13">
        <v>0.0042</v>
      </c>
      <c r="J177" s="15"/>
      <c r="K177" s="11"/>
      <c r="L177" s="11"/>
      <c r="M177" s="11"/>
      <c r="N177" s="11"/>
    </row>
    <row r="178" ht="15.75" customHeight="1">
      <c r="A178" s="11" t="s">
        <v>213</v>
      </c>
      <c r="B178" s="38">
        <v>110.75</v>
      </c>
      <c r="C178" s="11">
        <f t="shared" si="1"/>
        <v>0.02120792992</v>
      </c>
      <c r="D178" s="13">
        <f t="shared" si="2"/>
        <v>0.02120792992</v>
      </c>
      <c r="E178" s="11" t="s">
        <v>213</v>
      </c>
      <c r="F178" s="12">
        <v>19749.25</v>
      </c>
      <c r="G178" s="11">
        <v>0.001917667</v>
      </c>
      <c r="H178" s="13">
        <v>0.0019</v>
      </c>
      <c r="J178" s="15"/>
      <c r="K178" s="11"/>
      <c r="L178" s="11"/>
      <c r="M178" s="11"/>
      <c r="N178" s="11"/>
    </row>
    <row r="179" ht="15.75" customHeight="1">
      <c r="A179" s="11" t="s">
        <v>214</v>
      </c>
      <c r="B179" s="38">
        <v>108.45</v>
      </c>
      <c r="C179" s="11">
        <f t="shared" si="1"/>
        <v>0.005563282337</v>
      </c>
      <c r="D179" s="13">
        <f t="shared" si="2"/>
        <v>0.005563282337</v>
      </c>
      <c r="E179" s="11" t="s">
        <v>214</v>
      </c>
      <c r="F179" s="12">
        <v>19711.45</v>
      </c>
      <c r="G179" s="11">
        <v>0.007511053</v>
      </c>
      <c r="H179" s="13">
        <v>0.0075</v>
      </c>
      <c r="J179" s="15"/>
      <c r="K179" s="11"/>
      <c r="L179" s="11"/>
      <c r="M179" s="11"/>
      <c r="N179" s="11"/>
    </row>
    <row r="180" ht="15.75" customHeight="1">
      <c r="A180" s="11" t="s">
        <v>215</v>
      </c>
      <c r="B180" s="38">
        <v>107.85</v>
      </c>
      <c r="C180" s="11">
        <f t="shared" si="1"/>
        <v>0.009831460674</v>
      </c>
      <c r="D180" s="13">
        <f t="shared" si="2"/>
        <v>0.009831460674</v>
      </c>
      <c r="E180" s="11" t="s">
        <v>215</v>
      </c>
      <c r="F180" s="12">
        <v>19564.5</v>
      </c>
      <c r="G180" s="11">
        <v>0.007765115</v>
      </c>
      <c r="H180" s="13">
        <v>0.0078</v>
      </c>
      <c r="J180" s="15"/>
      <c r="K180" s="11"/>
      <c r="L180" s="11"/>
      <c r="M180" s="11"/>
      <c r="N180" s="11"/>
    </row>
    <row r="181" ht="15.75" customHeight="1">
      <c r="A181" s="11" t="s">
        <v>216</v>
      </c>
      <c r="B181" s="38">
        <v>106.8</v>
      </c>
      <c r="C181" s="11">
        <f t="shared" si="1"/>
        <v>-0.01111111111</v>
      </c>
      <c r="D181" s="13">
        <f t="shared" si="2"/>
        <v>-0.01111111111</v>
      </c>
      <c r="E181" s="11" t="s">
        <v>216</v>
      </c>
      <c r="F181" s="12">
        <v>19413.75</v>
      </c>
      <c r="G181" s="11">
        <v>0.001519271</v>
      </c>
      <c r="H181" s="13">
        <v>0.0015</v>
      </c>
      <c r="J181" s="15"/>
      <c r="K181" s="11"/>
      <c r="L181" s="11"/>
      <c r="M181" s="11"/>
      <c r="N181" s="11"/>
    </row>
    <row r="182" ht="15.75" customHeight="1">
      <c r="A182" s="35">
        <v>45267.0</v>
      </c>
      <c r="B182" s="38">
        <v>108.0</v>
      </c>
      <c r="C182" s="11">
        <f t="shared" si="1"/>
        <v>0</v>
      </c>
      <c r="D182" s="13">
        <f t="shared" si="2"/>
        <v>0</v>
      </c>
      <c r="E182" s="35">
        <v>45267.0</v>
      </c>
      <c r="F182" s="12">
        <v>19384.3</v>
      </c>
      <c r="G182" s="11">
        <v>-0.00283445</v>
      </c>
      <c r="H182" s="13">
        <v>-0.0028</v>
      </c>
      <c r="J182" s="15"/>
      <c r="K182" s="11"/>
      <c r="L182" s="11"/>
      <c r="M182" s="11"/>
      <c r="N182" s="11"/>
    </row>
    <row r="183" ht="15.75" customHeight="1">
      <c r="A183" s="35">
        <v>45237.0</v>
      </c>
      <c r="B183" s="38">
        <v>108.0</v>
      </c>
      <c r="C183" s="11">
        <f t="shared" si="1"/>
        <v>-0.0036900369</v>
      </c>
      <c r="D183" s="13">
        <f t="shared" si="2"/>
        <v>-0.0036900369</v>
      </c>
      <c r="E183" s="35">
        <v>45237.0</v>
      </c>
      <c r="F183" s="12">
        <v>19439.4</v>
      </c>
      <c r="G183" s="11">
        <v>0.00431393</v>
      </c>
      <c r="H183" s="13">
        <v>0.0043</v>
      </c>
      <c r="J183" s="15"/>
      <c r="K183" s="11"/>
      <c r="L183" s="11"/>
      <c r="M183" s="11"/>
      <c r="N183" s="11"/>
    </row>
    <row r="184" ht="15.75" customHeight="1">
      <c r="A184" s="35">
        <v>45206.0</v>
      </c>
      <c r="B184" s="38">
        <v>108.4</v>
      </c>
      <c r="C184" s="11">
        <f t="shared" si="1"/>
        <v>-0.002300966406</v>
      </c>
      <c r="D184" s="13">
        <f t="shared" si="2"/>
        <v>-0.002300966406</v>
      </c>
      <c r="E184" s="35">
        <v>45206.0</v>
      </c>
      <c r="F184" s="12">
        <v>19355.9</v>
      </c>
      <c r="G184" s="11">
        <v>0.001246651</v>
      </c>
      <c r="H184" s="13">
        <v>0.0012</v>
      </c>
      <c r="J184" s="15"/>
      <c r="K184" s="11"/>
      <c r="L184" s="11"/>
      <c r="M184" s="11"/>
      <c r="N184" s="11"/>
    </row>
    <row r="185" ht="15.75" customHeight="1">
      <c r="A185" s="35">
        <v>45114.0</v>
      </c>
      <c r="B185" s="38">
        <v>108.65</v>
      </c>
      <c r="C185" s="11">
        <f t="shared" si="1"/>
        <v>-0.004580852038</v>
      </c>
      <c r="D185" s="13">
        <f t="shared" si="2"/>
        <v>-0.004580852038</v>
      </c>
      <c r="E185" s="35">
        <v>45114.0</v>
      </c>
      <c r="F185" s="12">
        <v>19331.8</v>
      </c>
      <c r="G185" s="11">
        <v>-0.008488355</v>
      </c>
      <c r="H185" s="13">
        <v>-0.0085</v>
      </c>
      <c r="J185" s="15"/>
      <c r="K185" s="11"/>
      <c r="L185" s="11"/>
      <c r="M185" s="11"/>
      <c r="N185" s="11"/>
    </row>
    <row r="186" ht="15.75" customHeight="1">
      <c r="A186" s="35">
        <v>45084.0</v>
      </c>
      <c r="B186" s="38">
        <v>109.15</v>
      </c>
      <c r="C186" s="11">
        <f t="shared" si="1"/>
        <v>-0.004105839416</v>
      </c>
      <c r="D186" s="13">
        <f t="shared" si="2"/>
        <v>-0.004105839416</v>
      </c>
      <c r="E186" s="35">
        <v>45084.0</v>
      </c>
      <c r="F186" s="12">
        <v>19497.3</v>
      </c>
      <c r="G186" s="11">
        <v>0.005093177</v>
      </c>
      <c r="H186" s="13">
        <v>0.0051</v>
      </c>
      <c r="J186" s="15"/>
      <c r="K186" s="11"/>
      <c r="L186" s="11"/>
      <c r="M186" s="11"/>
      <c r="N186" s="11"/>
    </row>
    <row r="187" ht="15.75" customHeight="1">
      <c r="A187" s="35">
        <v>45053.0</v>
      </c>
      <c r="B187" s="38">
        <v>109.6</v>
      </c>
      <c r="C187" s="11">
        <f t="shared" si="1"/>
        <v>0.02191142191</v>
      </c>
      <c r="D187" s="13">
        <f t="shared" si="2"/>
        <v>0.02191142191</v>
      </c>
      <c r="E187" s="35">
        <v>45053.0</v>
      </c>
      <c r="F187" s="12">
        <v>19398.5</v>
      </c>
      <c r="G187" s="11">
        <v>4.89969E-4</v>
      </c>
      <c r="H187" s="13">
        <v>5.0E-4</v>
      </c>
      <c r="J187" s="15"/>
      <c r="K187" s="11"/>
      <c r="L187" s="11"/>
      <c r="M187" s="11"/>
      <c r="N187" s="11"/>
    </row>
    <row r="188" ht="15.75" customHeight="1">
      <c r="A188" s="35">
        <v>45023.0</v>
      </c>
      <c r="B188" s="38">
        <v>107.25</v>
      </c>
      <c r="C188" s="11">
        <f t="shared" si="1"/>
        <v>-0.01060885609</v>
      </c>
      <c r="D188" s="13">
        <f t="shared" si="2"/>
        <v>-0.01060885609</v>
      </c>
      <c r="E188" s="35">
        <v>45023.0</v>
      </c>
      <c r="F188" s="12">
        <v>19389.0</v>
      </c>
      <c r="G188" s="11">
        <v>0.003438987</v>
      </c>
      <c r="H188" s="13">
        <v>0.0034</v>
      </c>
      <c r="J188" s="15"/>
      <c r="K188" s="11"/>
      <c r="L188" s="11"/>
      <c r="M188" s="11"/>
      <c r="N188" s="11"/>
    </row>
    <row r="189" ht="15.75" customHeight="1">
      <c r="A189" s="35">
        <v>44992.0</v>
      </c>
      <c r="B189" s="38">
        <v>108.4</v>
      </c>
      <c r="C189" s="11">
        <f t="shared" si="1"/>
        <v>0.008372093023</v>
      </c>
      <c r="D189" s="13">
        <f t="shared" si="2"/>
        <v>0.008372093023</v>
      </c>
      <c r="E189" s="35">
        <v>44992.0</v>
      </c>
      <c r="F189" s="12">
        <v>19322.55</v>
      </c>
      <c r="G189" s="11">
        <v>0.006957093</v>
      </c>
      <c r="H189" s="13">
        <v>0.007</v>
      </c>
      <c r="J189" s="15"/>
      <c r="K189" s="11"/>
      <c r="L189" s="11"/>
      <c r="M189" s="11"/>
      <c r="N189" s="11"/>
    </row>
    <row r="190" ht="15.75" customHeight="1">
      <c r="A190" s="11" t="s">
        <v>217</v>
      </c>
      <c r="B190" s="38">
        <v>107.5</v>
      </c>
      <c r="C190" s="11">
        <f t="shared" si="1"/>
        <v>-0.003707136237</v>
      </c>
      <c r="D190" s="13">
        <f t="shared" si="2"/>
        <v>-0.003707136237</v>
      </c>
      <c r="E190" s="11" t="s">
        <v>217</v>
      </c>
      <c r="F190" s="12">
        <v>19189.05</v>
      </c>
      <c r="G190" s="11">
        <v>0.011435213</v>
      </c>
      <c r="H190" s="13">
        <v>0.0114</v>
      </c>
      <c r="J190" s="15"/>
      <c r="K190" s="11"/>
      <c r="L190" s="11"/>
      <c r="M190" s="11"/>
      <c r="N190" s="11"/>
    </row>
    <row r="191" ht="15.75" customHeight="1">
      <c r="A191" s="11" t="s">
        <v>218</v>
      </c>
      <c r="B191" s="38">
        <v>107.9</v>
      </c>
      <c r="C191" s="11">
        <f t="shared" si="1"/>
        <v>-0.006445672192</v>
      </c>
      <c r="D191" s="13">
        <f t="shared" si="2"/>
        <v>-0.006445672192</v>
      </c>
      <c r="E191" s="11" t="s">
        <v>218</v>
      </c>
      <c r="F191" s="12">
        <v>18972.1</v>
      </c>
      <c r="G191" s="11">
        <v>0.008221115</v>
      </c>
      <c r="H191" s="13">
        <v>0.0082</v>
      </c>
      <c r="J191" s="15"/>
      <c r="K191" s="11"/>
      <c r="L191" s="11"/>
      <c r="M191" s="11"/>
      <c r="N191" s="11"/>
    </row>
    <row r="192" ht="15.75" customHeight="1">
      <c r="A192" s="11" t="s">
        <v>219</v>
      </c>
      <c r="B192" s="38">
        <v>108.6</v>
      </c>
      <c r="C192" s="11">
        <f t="shared" si="1"/>
        <v>-0.0004601932812</v>
      </c>
      <c r="D192" s="13">
        <f t="shared" si="2"/>
        <v>-0.0004601932812</v>
      </c>
      <c r="E192" s="11" t="s">
        <v>219</v>
      </c>
      <c r="F192" s="12">
        <v>18817.4</v>
      </c>
      <c r="G192" s="11">
        <v>0.00675184</v>
      </c>
      <c r="H192" s="13">
        <v>0.0068</v>
      </c>
      <c r="J192" s="15"/>
      <c r="K192" s="11"/>
      <c r="L192" s="11"/>
      <c r="M192" s="11"/>
      <c r="N192" s="11"/>
    </row>
    <row r="193" ht="15.75" customHeight="1">
      <c r="A193" s="11" t="s">
        <v>220</v>
      </c>
      <c r="B193" s="38">
        <v>108.65</v>
      </c>
      <c r="C193" s="11">
        <f t="shared" si="1"/>
        <v>0.005552984729</v>
      </c>
      <c r="D193" s="13">
        <f t="shared" si="2"/>
        <v>0.005552984729</v>
      </c>
      <c r="E193" s="11" t="s">
        <v>220</v>
      </c>
      <c r="F193" s="12">
        <v>18691.2</v>
      </c>
      <c r="G193" s="11">
        <v>0.001376872</v>
      </c>
      <c r="H193" s="13">
        <v>0.0014</v>
      </c>
      <c r="J193" s="15"/>
      <c r="K193" s="11"/>
      <c r="L193" s="11"/>
      <c r="M193" s="11"/>
      <c r="N193" s="11"/>
    </row>
    <row r="194" ht="15.75" customHeight="1">
      <c r="A194" s="11" t="s">
        <v>221</v>
      </c>
      <c r="B194" s="38">
        <v>108.05</v>
      </c>
      <c r="C194" s="11">
        <f t="shared" si="1"/>
        <v>-0.006436781609</v>
      </c>
      <c r="D194" s="13">
        <f t="shared" si="2"/>
        <v>-0.006436781609</v>
      </c>
      <c r="E194" s="11" t="s">
        <v>221</v>
      </c>
      <c r="F194" s="12">
        <v>18665.5</v>
      </c>
      <c r="G194" s="11">
        <v>-0.005633615</v>
      </c>
      <c r="H194" s="13">
        <v>-0.0056</v>
      </c>
      <c r="J194" s="15"/>
      <c r="K194" s="11"/>
      <c r="L194" s="11"/>
      <c r="M194" s="11"/>
      <c r="N194" s="11"/>
    </row>
    <row r="195" ht="15.75" customHeight="1">
      <c r="A195" s="11" t="s">
        <v>222</v>
      </c>
      <c r="B195" s="38">
        <v>108.75</v>
      </c>
      <c r="C195" s="11">
        <f t="shared" si="1"/>
        <v>-0.01315789474</v>
      </c>
      <c r="D195" s="13">
        <f t="shared" si="2"/>
        <v>-0.01315789474</v>
      </c>
      <c r="E195" s="11" t="s">
        <v>222</v>
      </c>
      <c r="F195" s="12">
        <v>18771.25</v>
      </c>
      <c r="G195" s="11">
        <v>-0.004539464</v>
      </c>
      <c r="H195" s="13">
        <v>-0.0045</v>
      </c>
      <c r="J195" s="15"/>
      <c r="K195" s="11"/>
      <c r="L195" s="11"/>
      <c r="M195" s="11"/>
      <c r="N195" s="11"/>
    </row>
    <row r="196" ht="15.75" customHeight="1">
      <c r="A196" s="11" t="s">
        <v>223</v>
      </c>
      <c r="B196" s="38">
        <v>110.2</v>
      </c>
      <c r="C196" s="11">
        <f t="shared" si="1"/>
        <v>-0.005863779883</v>
      </c>
      <c r="D196" s="13">
        <f t="shared" si="2"/>
        <v>-0.005863779883</v>
      </c>
      <c r="E196" s="11" t="s">
        <v>223</v>
      </c>
      <c r="F196" s="12">
        <v>18856.85</v>
      </c>
      <c r="G196" s="11">
        <v>0.002133743</v>
      </c>
      <c r="H196" s="13">
        <v>0.0021</v>
      </c>
      <c r="J196" s="15"/>
      <c r="K196" s="11"/>
      <c r="L196" s="11"/>
      <c r="M196" s="11"/>
      <c r="N196" s="11"/>
    </row>
    <row r="197" ht="15.75" customHeight="1">
      <c r="A197" s="11" t="s">
        <v>224</v>
      </c>
      <c r="B197" s="38">
        <v>110.85</v>
      </c>
      <c r="C197" s="11">
        <f t="shared" si="1"/>
        <v>0.01931034483</v>
      </c>
      <c r="D197" s="13">
        <f t="shared" si="2"/>
        <v>0.01931034483</v>
      </c>
      <c r="E197" s="11" t="s">
        <v>224</v>
      </c>
      <c r="F197" s="12">
        <v>18816.7</v>
      </c>
      <c r="G197" s="11">
        <v>0.003265717</v>
      </c>
      <c r="H197" s="13">
        <v>0.0033</v>
      </c>
      <c r="J197" s="15"/>
      <c r="K197" s="11"/>
      <c r="L197" s="11"/>
      <c r="M197" s="11"/>
      <c r="N197" s="11"/>
    </row>
    <row r="198" ht="15.75" customHeight="1">
      <c r="A198" s="11" t="s">
        <v>225</v>
      </c>
      <c r="B198" s="38">
        <v>108.75</v>
      </c>
      <c r="C198" s="11">
        <f t="shared" si="1"/>
        <v>0.004155124654</v>
      </c>
      <c r="D198" s="13">
        <f t="shared" si="2"/>
        <v>0.004155124654</v>
      </c>
      <c r="E198" s="11" t="s">
        <v>225</v>
      </c>
      <c r="F198" s="12">
        <v>18755.45</v>
      </c>
      <c r="G198" s="11">
        <v>-0.003747477</v>
      </c>
      <c r="H198" s="13">
        <v>-0.0037</v>
      </c>
      <c r="J198" s="15"/>
      <c r="K198" s="11"/>
      <c r="L198" s="11"/>
      <c r="M198" s="11"/>
      <c r="N198" s="11"/>
    </row>
    <row r="199" ht="15.75" customHeight="1">
      <c r="A199" s="11" t="s">
        <v>226</v>
      </c>
      <c r="B199" s="38">
        <v>108.3</v>
      </c>
      <c r="C199" s="11">
        <f t="shared" si="1"/>
        <v>0.006973500697</v>
      </c>
      <c r="D199" s="13">
        <f t="shared" si="2"/>
        <v>0.006973500697</v>
      </c>
      <c r="E199" s="11" t="s">
        <v>226</v>
      </c>
      <c r="F199" s="12">
        <v>18826.0</v>
      </c>
      <c r="G199" s="11">
        <v>0.007379027</v>
      </c>
      <c r="H199" s="13">
        <v>0.0074</v>
      </c>
      <c r="J199" s="15"/>
      <c r="K199" s="11"/>
      <c r="L199" s="11"/>
      <c r="M199" s="11"/>
      <c r="N199" s="11"/>
    </row>
    <row r="200" ht="15.75" customHeight="1">
      <c r="A200" s="11" t="s">
        <v>227</v>
      </c>
      <c r="B200" s="38">
        <v>107.55</v>
      </c>
      <c r="C200" s="11">
        <f t="shared" si="1"/>
        <v>-0.007841328413</v>
      </c>
      <c r="D200" s="13">
        <f t="shared" si="2"/>
        <v>-0.007841328413</v>
      </c>
      <c r="E200" s="11" t="s">
        <v>227</v>
      </c>
      <c r="F200" s="12">
        <v>18688.1</v>
      </c>
      <c r="G200" s="11">
        <v>-0.003614863</v>
      </c>
      <c r="H200" s="13">
        <v>-0.0036</v>
      </c>
      <c r="J200" s="15"/>
      <c r="K200" s="11"/>
      <c r="L200" s="11"/>
      <c r="M200" s="11"/>
      <c r="N200" s="11"/>
    </row>
    <row r="201" ht="15.75" customHeight="1">
      <c r="A201" s="11" t="s">
        <v>228</v>
      </c>
      <c r="B201" s="38">
        <v>108.4</v>
      </c>
      <c r="C201" s="11">
        <f t="shared" si="1"/>
        <v>-0.0009216589862</v>
      </c>
      <c r="D201" s="13">
        <f t="shared" si="2"/>
        <v>-0.0009216589862</v>
      </c>
      <c r="E201" s="11" t="s">
        <v>228</v>
      </c>
      <c r="F201" s="12">
        <v>18755.9</v>
      </c>
      <c r="G201" s="11">
        <v>0.002123834</v>
      </c>
      <c r="H201" s="13">
        <v>0.0021</v>
      </c>
      <c r="J201" s="15"/>
      <c r="K201" s="11"/>
      <c r="L201" s="11"/>
      <c r="M201" s="11"/>
      <c r="N201" s="11"/>
    </row>
    <row r="202" ht="15.75" customHeight="1">
      <c r="A202" s="11" t="s">
        <v>229</v>
      </c>
      <c r="B202" s="38">
        <v>108.5</v>
      </c>
      <c r="C202" s="11">
        <f t="shared" si="1"/>
        <v>0.0013844024</v>
      </c>
      <c r="D202" s="13">
        <f t="shared" si="2"/>
        <v>0.0013844024</v>
      </c>
      <c r="E202" s="11" t="s">
        <v>229</v>
      </c>
      <c r="F202" s="12">
        <v>18716.15</v>
      </c>
      <c r="G202" s="11">
        <v>0.006163481</v>
      </c>
      <c r="H202" s="13">
        <v>0.0062</v>
      </c>
      <c r="J202" s="15"/>
      <c r="K202" s="11"/>
      <c r="L202" s="11"/>
      <c r="M202" s="11"/>
      <c r="N202" s="11"/>
    </row>
    <row r="203" ht="15.75" customHeight="1">
      <c r="A203" s="35">
        <v>45266.0</v>
      </c>
      <c r="B203" s="38">
        <v>108.35</v>
      </c>
      <c r="C203" s="11">
        <f t="shared" si="1"/>
        <v>-0.01723356009</v>
      </c>
      <c r="D203" s="13">
        <f t="shared" si="2"/>
        <v>-0.01723356009</v>
      </c>
      <c r="E203" s="35">
        <v>45266.0</v>
      </c>
      <c r="F203" s="12">
        <v>18601.5</v>
      </c>
      <c r="G203" s="11">
        <v>0.002052426</v>
      </c>
      <c r="H203" s="13">
        <v>0.0021</v>
      </c>
      <c r="J203" s="15"/>
      <c r="K203" s="11"/>
      <c r="L203" s="11"/>
      <c r="M203" s="11"/>
      <c r="N203" s="11"/>
    </row>
    <row r="204" ht="15.75" customHeight="1">
      <c r="A204" s="35">
        <v>45175.0</v>
      </c>
      <c r="B204" s="38">
        <v>110.25</v>
      </c>
      <c r="C204" s="11">
        <f t="shared" si="1"/>
        <v>-0.01076716016</v>
      </c>
      <c r="D204" s="13">
        <f t="shared" si="2"/>
        <v>-0.01076716016</v>
      </c>
      <c r="E204" s="35">
        <v>45175.0</v>
      </c>
      <c r="F204" s="12">
        <v>18563.4</v>
      </c>
      <c r="G204" s="11">
        <v>-0.003818176</v>
      </c>
      <c r="H204" s="13">
        <v>-0.0038</v>
      </c>
      <c r="J204" s="15"/>
      <c r="K204" s="11"/>
      <c r="L204" s="11"/>
      <c r="M204" s="11"/>
      <c r="N204" s="11"/>
    </row>
    <row r="205" ht="15.75" customHeight="1">
      <c r="A205" s="35">
        <v>45144.0</v>
      </c>
      <c r="B205" s="38">
        <v>111.45</v>
      </c>
      <c r="C205" s="11">
        <f t="shared" si="1"/>
        <v>-0.01849405548</v>
      </c>
      <c r="D205" s="13">
        <f t="shared" si="2"/>
        <v>-0.01849405548</v>
      </c>
      <c r="E205" s="35">
        <v>45144.0</v>
      </c>
      <c r="F205" s="12">
        <v>18634.55</v>
      </c>
      <c r="G205" s="11">
        <v>-0.00490484</v>
      </c>
      <c r="H205" s="13">
        <v>-0.0049</v>
      </c>
      <c r="J205" s="15"/>
      <c r="K205" s="11"/>
      <c r="L205" s="11"/>
      <c r="M205" s="11"/>
      <c r="N205" s="11"/>
    </row>
    <row r="206" ht="15.75" customHeight="1">
      <c r="A206" s="35">
        <v>45113.0</v>
      </c>
      <c r="B206" s="38">
        <v>113.55</v>
      </c>
      <c r="C206" s="11">
        <f t="shared" si="1"/>
        <v>0.0465437788</v>
      </c>
      <c r="D206" s="13">
        <f t="shared" si="2"/>
        <v>0.0465437788</v>
      </c>
      <c r="E206" s="35">
        <v>45113.0</v>
      </c>
      <c r="F206" s="12">
        <v>18726.4</v>
      </c>
      <c r="G206" s="11">
        <v>0.006849831</v>
      </c>
      <c r="H206" s="13">
        <v>0.0068</v>
      </c>
      <c r="J206" s="15"/>
      <c r="K206" s="11"/>
      <c r="L206" s="11"/>
      <c r="M206" s="11"/>
      <c r="N206" s="11"/>
    </row>
    <row r="207" ht="15.75" customHeight="1">
      <c r="A207" s="35">
        <v>45083.0</v>
      </c>
      <c r="B207" s="38">
        <v>108.5</v>
      </c>
      <c r="C207" s="11">
        <f t="shared" si="1"/>
        <v>-0.001839926403</v>
      </c>
      <c r="D207" s="13">
        <f t="shared" si="2"/>
        <v>-0.001839926403</v>
      </c>
      <c r="E207" s="35">
        <v>45083.0</v>
      </c>
      <c r="F207" s="12">
        <v>18599.0</v>
      </c>
      <c r="G207" s="11">
        <v>2.76973E-4</v>
      </c>
      <c r="H207" s="13">
        <v>3.0E-4</v>
      </c>
      <c r="J207" s="15"/>
      <c r="K207" s="11"/>
      <c r="L207" s="11"/>
      <c r="M207" s="11"/>
      <c r="N207" s="11"/>
    </row>
    <row r="208" ht="15.75" customHeight="1">
      <c r="A208" s="35">
        <v>45052.0</v>
      </c>
      <c r="B208" s="38">
        <v>108.7</v>
      </c>
      <c r="C208" s="11">
        <f t="shared" si="1"/>
        <v>0.03033175355</v>
      </c>
      <c r="D208" s="13">
        <f t="shared" si="2"/>
        <v>0.03033175355</v>
      </c>
      <c r="E208" s="35">
        <v>45052.0</v>
      </c>
      <c r="F208" s="12">
        <v>18593.85</v>
      </c>
      <c r="G208" s="11">
        <v>0.003223788</v>
      </c>
      <c r="H208" s="13">
        <v>0.0032</v>
      </c>
      <c r="J208" s="15"/>
      <c r="K208" s="11"/>
      <c r="L208" s="11"/>
      <c r="M208" s="11"/>
      <c r="N208" s="11"/>
    </row>
    <row r="209" ht="15.75" customHeight="1">
      <c r="A209" s="35">
        <v>44963.0</v>
      </c>
      <c r="B209" s="38">
        <v>105.5</v>
      </c>
      <c r="C209" s="11">
        <f t="shared" si="1"/>
        <v>-0.002835538752</v>
      </c>
      <c r="D209" s="13">
        <f t="shared" si="2"/>
        <v>-0.002835538752</v>
      </c>
      <c r="E209" s="35">
        <v>44963.0</v>
      </c>
      <c r="F209" s="12">
        <v>18534.1</v>
      </c>
      <c r="G209" s="11">
        <v>0.002507065</v>
      </c>
      <c r="H209" s="13">
        <v>0.0025</v>
      </c>
      <c r="J209" s="15"/>
      <c r="K209" s="11"/>
      <c r="L209" s="11"/>
      <c r="M209" s="11"/>
      <c r="N209" s="11"/>
    </row>
    <row r="210" ht="15.75" customHeight="1">
      <c r="A210" s="35">
        <v>44932.0</v>
      </c>
      <c r="B210" s="38">
        <v>105.8</v>
      </c>
      <c r="C210" s="11">
        <f t="shared" si="1"/>
        <v>0.004748338082</v>
      </c>
      <c r="D210" s="13">
        <f t="shared" si="2"/>
        <v>0.004748338082</v>
      </c>
      <c r="E210" s="35">
        <v>44932.0</v>
      </c>
      <c r="F210" s="12">
        <v>18487.75</v>
      </c>
      <c r="G210" s="11">
        <v>-0.002516941</v>
      </c>
      <c r="H210" s="13">
        <v>-0.0025</v>
      </c>
      <c r="J210" s="15"/>
      <c r="K210" s="11"/>
      <c r="L210" s="11"/>
      <c r="M210" s="11"/>
      <c r="N210" s="11"/>
    </row>
    <row r="211" ht="15.75" customHeight="1">
      <c r="A211" s="11" t="s">
        <v>230</v>
      </c>
      <c r="B211" s="38">
        <v>105.3</v>
      </c>
      <c r="C211" s="11">
        <f t="shared" si="1"/>
        <v>0.003334921391</v>
      </c>
      <c r="D211" s="13">
        <f t="shared" si="2"/>
        <v>0.003334921391</v>
      </c>
      <c r="E211" s="11" t="s">
        <v>230</v>
      </c>
      <c r="F211" s="12">
        <v>18534.4</v>
      </c>
      <c r="G211" s="11">
        <v>-0.005337061</v>
      </c>
      <c r="H211" s="13">
        <v>-0.0053</v>
      </c>
      <c r="J211" s="15"/>
      <c r="K211" s="11"/>
      <c r="L211" s="11"/>
      <c r="M211" s="11"/>
      <c r="N211" s="11"/>
    </row>
    <row r="212" ht="15.75" customHeight="1">
      <c r="A212" s="11" t="s">
        <v>231</v>
      </c>
      <c r="B212" s="38">
        <v>104.95</v>
      </c>
      <c r="C212" s="11">
        <f t="shared" si="1"/>
        <v>-0.01593999062</v>
      </c>
      <c r="D212" s="13">
        <f t="shared" si="2"/>
        <v>-0.01593999062</v>
      </c>
      <c r="E212" s="11" t="s">
        <v>231</v>
      </c>
      <c r="F212" s="12">
        <v>18633.85</v>
      </c>
      <c r="G212" s="11">
        <v>0.00189261</v>
      </c>
      <c r="H212" s="13">
        <v>0.0019</v>
      </c>
      <c r="J212" s="15"/>
      <c r="K212" s="11"/>
      <c r="L212" s="11"/>
      <c r="M212" s="11"/>
      <c r="N212" s="11"/>
    </row>
    <row r="213" ht="15.75" customHeight="1">
      <c r="A213" s="11" t="s">
        <v>232</v>
      </c>
      <c r="B213" s="38">
        <v>106.65</v>
      </c>
      <c r="C213" s="11">
        <f t="shared" si="1"/>
        <v>0.001878816346</v>
      </c>
      <c r="D213" s="13">
        <f t="shared" si="2"/>
        <v>0.001878816346</v>
      </c>
      <c r="E213" s="11" t="s">
        <v>232</v>
      </c>
      <c r="F213" s="12">
        <v>18598.65</v>
      </c>
      <c r="G213" s="11">
        <v>0.005367756</v>
      </c>
      <c r="H213" s="13">
        <v>0.0054</v>
      </c>
      <c r="J213" s="15"/>
      <c r="K213" s="11"/>
      <c r="L213" s="11"/>
      <c r="M213" s="11"/>
      <c r="N213" s="11"/>
    </row>
    <row r="214" ht="15.75" customHeight="1">
      <c r="A214" s="11" t="s">
        <v>233</v>
      </c>
      <c r="B214" s="38">
        <v>106.45</v>
      </c>
      <c r="C214" s="11">
        <f t="shared" si="1"/>
        <v>-0.005140186916</v>
      </c>
      <c r="D214" s="13">
        <f t="shared" si="2"/>
        <v>-0.005140186916</v>
      </c>
      <c r="E214" s="11" t="s">
        <v>233</v>
      </c>
      <c r="F214" s="12">
        <v>18499.35</v>
      </c>
      <c r="G214" s="11">
        <v>0.009726464</v>
      </c>
      <c r="H214" s="13">
        <v>0.0097</v>
      </c>
      <c r="J214" s="15"/>
      <c r="K214" s="11"/>
      <c r="L214" s="11"/>
      <c r="M214" s="11"/>
      <c r="N214" s="11"/>
    </row>
    <row r="215" ht="15.75" customHeight="1">
      <c r="A215" s="11" t="s">
        <v>234</v>
      </c>
      <c r="B215" s="38">
        <v>107.0</v>
      </c>
      <c r="C215" s="11">
        <f t="shared" si="1"/>
        <v>-0.008341056534</v>
      </c>
      <c r="D215" s="13">
        <f t="shared" si="2"/>
        <v>-0.008341056534</v>
      </c>
      <c r="E215" s="11" t="s">
        <v>234</v>
      </c>
      <c r="F215" s="12">
        <v>18321.15</v>
      </c>
      <c r="G215" s="11">
        <v>0.001955112</v>
      </c>
      <c r="H215" s="13">
        <v>0.002</v>
      </c>
      <c r="J215" s="15"/>
      <c r="K215" s="11"/>
      <c r="L215" s="11"/>
      <c r="M215" s="11"/>
      <c r="N215" s="11"/>
    </row>
    <row r="216" ht="15.75" customHeight="1">
      <c r="A216" s="11" t="s">
        <v>235</v>
      </c>
      <c r="B216" s="38">
        <v>107.9</v>
      </c>
      <c r="C216" s="11">
        <f t="shared" si="1"/>
        <v>-0.01416171768</v>
      </c>
      <c r="D216" s="13">
        <f t="shared" si="2"/>
        <v>-0.01416171768</v>
      </c>
      <c r="E216" s="11" t="s">
        <v>235</v>
      </c>
      <c r="F216" s="12">
        <v>18285.4</v>
      </c>
      <c r="G216" s="11">
        <v>-0.003411816</v>
      </c>
      <c r="H216" s="13">
        <v>-0.0034</v>
      </c>
      <c r="J216" s="15"/>
      <c r="K216" s="11"/>
      <c r="L216" s="11"/>
      <c r="M216" s="11"/>
      <c r="N216" s="11"/>
    </row>
    <row r="217" ht="15.75" customHeight="1">
      <c r="A217" s="11" t="s">
        <v>236</v>
      </c>
      <c r="B217" s="38">
        <v>109.45</v>
      </c>
      <c r="C217" s="11">
        <f t="shared" si="1"/>
        <v>0.03206034889</v>
      </c>
      <c r="D217" s="13">
        <f t="shared" si="2"/>
        <v>0.03206034889</v>
      </c>
      <c r="E217" s="11" t="s">
        <v>236</v>
      </c>
      <c r="F217" s="12">
        <v>18348.0</v>
      </c>
      <c r="G217" s="11">
        <v>0.001834622</v>
      </c>
      <c r="H217" s="13">
        <v>0.0018</v>
      </c>
      <c r="J217" s="15"/>
      <c r="K217" s="11"/>
      <c r="L217" s="11"/>
      <c r="M217" s="11"/>
      <c r="N217" s="11"/>
    </row>
    <row r="218" ht="15.75" customHeight="1">
      <c r="A218" s="11" t="s">
        <v>237</v>
      </c>
      <c r="B218" s="38">
        <v>106.05</v>
      </c>
      <c r="C218" s="11">
        <f t="shared" si="1"/>
        <v>0.0138623327</v>
      </c>
      <c r="D218" s="13">
        <f t="shared" si="2"/>
        <v>0.0138623327</v>
      </c>
      <c r="E218" s="11" t="s">
        <v>237</v>
      </c>
      <c r="F218" s="12">
        <v>18314.4</v>
      </c>
      <c r="G218" s="11">
        <v>0.006097762</v>
      </c>
      <c r="H218" s="13">
        <v>0.0061</v>
      </c>
      <c r="J218" s="15"/>
      <c r="K218" s="11"/>
      <c r="L218" s="11"/>
      <c r="M218" s="11"/>
      <c r="N218" s="11"/>
    </row>
    <row r="219" ht="15.75" customHeight="1">
      <c r="A219" s="11" t="s">
        <v>238</v>
      </c>
      <c r="B219" s="38">
        <v>104.6</v>
      </c>
      <c r="C219" s="11">
        <f t="shared" si="1"/>
        <v>-0.001908396947</v>
      </c>
      <c r="D219" s="13">
        <f t="shared" si="2"/>
        <v>-0.001908396947</v>
      </c>
      <c r="E219" s="11" t="s">
        <v>238</v>
      </c>
      <c r="F219" s="12">
        <v>18203.4</v>
      </c>
      <c r="G219" s="11">
        <v>0.004051307</v>
      </c>
      <c r="H219" s="13">
        <v>0.0041</v>
      </c>
      <c r="J219" s="15"/>
      <c r="K219" s="11"/>
      <c r="L219" s="11"/>
      <c r="M219" s="11"/>
      <c r="N219" s="11"/>
    </row>
    <row r="220" ht="15.75" customHeight="1">
      <c r="A220" s="11" t="s">
        <v>239</v>
      </c>
      <c r="B220" s="38">
        <v>104.8</v>
      </c>
      <c r="C220" s="11">
        <f t="shared" si="1"/>
        <v>-0.01734646038</v>
      </c>
      <c r="D220" s="13">
        <f t="shared" si="2"/>
        <v>-0.01734646038</v>
      </c>
      <c r="E220" s="11" t="s">
        <v>239</v>
      </c>
      <c r="F220" s="12">
        <v>18129.95</v>
      </c>
      <c r="G220" s="11">
        <v>-0.002849011</v>
      </c>
      <c r="H220" s="13">
        <v>-0.0028</v>
      </c>
      <c r="J220" s="15"/>
      <c r="K220" s="11"/>
      <c r="L220" s="11"/>
      <c r="M220" s="11"/>
      <c r="N220" s="11"/>
    </row>
    <row r="221" ht="15.75" customHeight="1">
      <c r="A221" s="11" t="s">
        <v>240</v>
      </c>
      <c r="B221" s="38">
        <v>106.65</v>
      </c>
      <c r="C221" s="11">
        <f t="shared" si="1"/>
        <v>0.01137980085</v>
      </c>
      <c r="D221" s="13">
        <f t="shared" si="2"/>
        <v>0.01137980085</v>
      </c>
      <c r="E221" s="11" t="s">
        <v>240</v>
      </c>
      <c r="F221" s="12">
        <v>18181.75</v>
      </c>
      <c r="G221" s="11">
        <v>-0.005728269</v>
      </c>
      <c r="H221" s="13">
        <v>-0.0057</v>
      </c>
      <c r="J221" s="15"/>
      <c r="K221" s="11"/>
      <c r="L221" s="11"/>
      <c r="M221" s="11"/>
      <c r="N221" s="11"/>
    </row>
    <row r="222" ht="15.75" customHeight="1">
      <c r="A222" s="11" t="s">
        <v>241</v>
      </c>
      <c r="B222" s="38">
        <v>105.45</v>
      </c>
      <c r="C222" s="11">
        <f t="shared" si="1"/>
        <v>0</v>
      </c>
      <c r="D222" s="13">
        <f t="shared" si="2"/>
        <v>0</v>
      </c>
      <c r="E222" s="11" t="s">
        <v>241</v>
      </c>
      <c r="F222" s="12">
        <v>18286.5</v>
      </c>
      <c r="G222" s="11">
        <v>-0.00610636</v>
      </c>
      <c r="H222" s="13">
        <v>-0.0061</v>
      </c>
      <c r="J222" s="15"/>
      <c r="K222" s="11"/>
      <c r="L222" s="11"/>
      <c r="M222" s="11"/>
      <c r="N222" s="11"/>
    </row>
    <row r="223" ht="15.75" customHeight="1">
      <c r="A223" s="11" t="s">
        <v>242</v>
      </c>
      <c r="B223" s="38">
        <v>105.45</v>
      </c>
      <c r="C223" s="11">
        <f t="shared" si="1"/>
        <v>0</v>
      </c>
      <c r="D223" s="13">
        <f t="shared" si="2"/>
        <v>0</v>
      </c>
      <c r="E223" s="11" t="s">
        <v>242</v>
      </c>
      <c r="F223" s="12">
        <v>18398.85</v>
      </c>
      <c r="G223" s="11">
        <v>0.004589185</v>
      </c>
      <c r="H223" s="13">
        <v>0.0046</v>
      </c>
      <c r="J223" s="15"/>
      <c r="K223" s="11"/>
      <c r="L223" s="11"/>
      <c r="M223" s="11"/>
      <c r="N223" s="11"/>
    </row>
    <row r="224" ht="15.75" customHeight="1">
      <c r="A224" s="35">
        <v>45265.0</v>
      </c>
      <c r="B224" s="38">
        <v>105.45</v>
      </c>
      <c r="C224" s="11">
        <f t="shared" si="1"/>
        <v>-0.01906976744</v>
      </c>
      <c r="D224" s="13">
        <f t="shared" si="2"/>
        <v>-0.01906976744</v>
      </c>
      <c r="E224" s="35">
        <v>45265.0</v>
      </c>
      <c r="F224" s="12">
        <v>18314.8</v>
      </c>
      <c r="G224" s="11">
        <v>9.72837E-4</v>
      </c>
      <c r="H224" s="13">
        <v>0.001</v>
      </c>
      <c r="J224" s="15"/>
      <c r="K224" s="11"/>
      <c r="L224" s="11"/>
      <c r="M224" s="11"/>
      <c r="N224" s="11"/>
    </row>
    <row r="225" ht="15.75" customHeight="1">
      <c r="A225" s="35">
        <v>45235.0</v>
      </c>
      <c r="B225" s="38">
        <v>107.5</v>
      </c>
      <c r="C225" s="11">
        <f t="shared" si="1"/>
        <v>0.02920057444</v>
      </c>
      <c r="D225" s="13">
        <f t="shared" si="2"/>
        <v>0.02920057444</v>
      </c>
      <c r="E225" s="35">
        <v>45235.0</v>
      </c>
      <c r="F225" s="12">
        <v>18297.0</v>
      </c>
      <c r="G225" s="11">
        <v>-9.88256E-4</v>
      </c>
      <c r="H225" s="13">
        <v>-0.001</v>
      </c>
      <c r="J225" s="15"/>
      <c r="K225" s="11"/>
      <c r="L225" s="11"/>
      <c r="M225" s="11"/>
      <c r="N225" s="11"/>
    </row>
    <row r="226" ht="15.75" customHeight="1">
      <c r="A226" s="35">
        <v>45204.0</v>
      </c>
      <c r="B226" s="38">
        <v>104.45</v>
      </c>
      <c r="C226" s="11">
        <f t="shared" si="1"/>
        <v>-0.02062822316</v>
      </c>
      <c r="D226" s="13">
        <f t="shared" si="2"/>
        <v>-0.02062822316</v>
      </c>
      <c r="E226" s="35">
        <v>45204.0</v>
      </c>
      <c r="F226" s="12">
        <v>18315.1</v>
      </c>
      <c r="G226" s="11">
        <v>0.002690799</v>
      </c>
      <c r="H226" s="13">
        <v>0.0027</v>
      </c>
      <c r="J226" s="15"/>
      <c r="K226" s="11"/>
      <c r="L226" s="11"/>
      <c r="M226" s="11"/>
      <c r="N226" s="11"/>
    </row>
    <row r="227" ht="15.75" customHeight="1">
      <c r="A227" s="35">
        <v>45174.0</v>
      </c>
      <c r="B227" s="38">
        <v>106.65</v>
      </c>
      <c r="C227" s="11">
        <f t="shared" si="1"/>
        <v>0.03644314869</v>
      </c>
      <c r="D227" s="13">
        <f t="shared" si="2"/>
        <v>0.03644314869</v>
      </c>
      <c r="E227" s="35">
        <v>45174.0</v>
      </c>
      <c r="F227" s="12">
        <v>18265.95</v>
      </c>
      <c r="G227" s="45">
        <v>8.48645E-5</v>
      </c>
      <c r="H227" s="13">
        <v>1.0E-4</v>
      </c>
      <c r="J227" s="15"/>
      <c r="K227" s="11"/>
      <c r="L227" s="11"/>
      <c r="M227" s="11"/>
      <c r="N227" s="11"/>
    </row>
    <row r="228" ht="15.75" customHeight="1">
      <c r="A228" s="35">
        <v>45143.0</v>
      </c>
      <c r="B228" s="38">
        <v>102.9</v>
      </c>
      <c r="C228" s="11">
        <f t="shared" si="1"/>
        <v>-0.02556818182</v>
      </c>
      <c r="D228" s="13">
        <f t="shared" si="2"/>
        <v>-0.02556818182</v>
      </c>
      <c r="E228" s="35">
        <v>45143.0</v>
      </c>
      <c r="F228" s="12">
        <v>18264.4</v>
      </c>
      <c r="G228" s="11">
        <v>0.010814101</v>
      </c>
      <c r="H228" s="13">
        <v>0.0108</v>
      </c>
      <c r="J228" s="15"/>
      <c r="K228" s="11"/>
      <c r="L228" s="11"/>
      <c r="M228" s="11"/>
      <c r="N228" s="11"/>
    </row>
    <row r="229" ht="15.75" customHeight="1">
      <c r="A229" s="35">
        <v>45051.0</v>
      </c>
      <c r="B229" s="38">
        <v>105.6</v>
      </c>
      <c r="C229" s="11">
        <f t="shared" si="1"/>
        <v>0.08641975309</v>
      </c>
      <c r="D229" s="13">
        <f t="shared" si="2"/>
        <v>0.08641975309</v>
      </c>
      <c r="E229" s="35">
        <v>45051.0</v>
      </c>
      <c r="F229" s="12">
        <v>18069.0</v>
      </c>
      <c r="G229" s="11">
        <v>-0.010232365</v>
      </c>
      <c r="H229" s="13">
        <v>-0.0102</v>
      </c>
      <c r="J229" s="15"/>
      <c r="K229" s="11"/>
      <c r="L229" s="11"/>
      <c r="M229" s="11"/>
      <c r="N229" s="11"/>
    </row>
    <row r="230" ht="15.75" customHeight="1">
      <c r="A230" s="35">
        <v>45021.0</v>
      </c>
      <c r="B230" s="38">
        <v>97.2</v>
      </c>
      <c r="C230" s="11">
        <f t="shared" si="1"/>
        <v>0.00725388601</v>
      </c>
      <c r="D230" s="13">
        <f t="shared" si="2"/>
        <v>0.00725388601</v>
      </c>
      <c r="E230" s="35">
        <v>45021.0</v>
      </c>
      <c r="F230" s="12">
        <v>18255.8</v>
      </c>
      <c r="G230" s="11">
        <v>0.009173653</v>
      </c>
      <c r="H230" s="13">
        <v>0.0092</v>
      </c>
      <c r="J230" s="15"/>
      <c r="K230" s="11"/>
      <c r="L230" s="11"/>
      <c r="M230" s="11"/>
      <c r="N230" s="11"/>
    </row>
    <row r="231" ht="15.75" customHeight="1">
      <c r="A231" s="35">
        <v>44990.0</v>
      </c>
      <c r="B231" s="38">
        <v>96.5</v>
      </c>
      <c r="C231" s="11">
        <f t="shared" si="1"/>
        <v>0.007832898172</v>
      </c>
      <c r="D231" s="13">
        <f t="shared" si="2"/>
        <v>0.007832898172</v>
      </c>
      <c r="E231" s="35">
        <v>44990.0</v>
      </c>
      <c r="F231" s="12">
        <v>18089.85</v>
      </c>
      <c r="G231" s="11">
        <v>-0.003184985</v>
      </c>
      <c r="H231" s="13">
        <v>-0.0032</v>
      </c>
      <c r="J231" s="15"/>
      <c r="K231" s="11"/>
      <c r="L231" s="11"/>
      <c r="M231" s="11"/>
      <c r="N231" s="11"/>
    </row>
    <row r="232" ht="15.75" customHeight="1">
      <c r="A232" s="35">
        <v>44962.0</v>
      </c>
      <c r="B232" s="38">
        <v>95.75</v>
      </c>
      <c r="C232" s="11">
        <f t="shared" si="1"/>
        <v>0.006305832895</v>
      </c>
      <c r="D232" s="13">
        <f t="shared" si="2"/>
        <v>0.006305832895</v>
      </c>
      <c r="E232" s="35">
        <v>44962.0</v>
      </c>
      <c r="F232" s="12">
        <v>18147.65</v>
      </c>
      <c r="G232" s="11">
        <v>0.004575145</v>
      </c>
      <c r="H232" s="13">
        <v>0.0046</v>
      </c>
      <c r="J232" s="15"/>
      <c r="K232" s="11"/>
      <c r="L232" s="11"/>
      <c r="M232" s="11"/>
      <c r="N232" s="11"/>
    </row>
    <row r="233" ht="15.75" customHeight="1">
      <c r="A233" s="11" t="s">
        <v>243</v>
      </c>
      <c r="B233" s="38">
        <v>95.15</v>
      </c>
      <c r="C233" s="11">
        <f t="shared" si="1"/>
        <v>0.006345848757</v>
      </c>
      <c r="D233" s="13">
        <f t="shared" si="2"/>
        <v>0.006345848757</v>
      </c>
      <c r="E233" s="11" t="s">
        <v>243</v>
      </c>
      <c r="F233" s="12">
        <v>18065.0</v>
      </c>
      <c r="G233" s="11">
        <v>0.008370058</v>
      </c>
      <c r="H233" s="13">
        <v>0.0084</v>
      </c>
      <c r="J233" s="15"/>
      <c r="K233" s="11"/>
      <c r="L233" s="11"/>
      <c r="M233" s="11"/>
      <c r="N233" s="11"/>
    </row>
    <row r="234" ht="15.75" customHeight="1">
      <c r="A234" s="11" t="s">
        <v>244</v>
      </c>
      <c r="B234" s="38">
        <v>94.55</v>
      </c>
      <c r="C234" s="11">
        <f t="shared" si="1"/>
        <v>0.0005291005291</v>
      </c>
      <c r="D234" s="13">
        <f t="shared" si="2"/>
        <v>0.0005291005291</v>
      </c>
      <c r="E234" s="11" t="s">
        <v>244</v>
      </c>
      <c r="F234" s="12">
        <v>17915.05</v>
      </c>
      <c r="G234" s="11">
        <v>0.005695087</v>
      </c>
      <c r="H234" s="13">
        <v>0.0057</v>
      </c>
      <c r="J234" s="15"/>
      <c r="K234" s="11"/>
      <c r="L234" s="11"/>
      <c r="M234" s="11"/>
      <c r="N234" s="11"/>
    </row>
    <row r="235" ht="15.75" customHeight="1">
      <c r="A235" s="11" t="s">
        <v>245</v>
      </c>
      <c r="B235" s="38">
        <v>94.5</v>
      </c>
      <c r="C235" s="11">
        <f t="shared" si="1"/>
        <v>0.001589825119</v>
      </c>
      <c r="D235" s="13">
        <f t="shared" si="2"/>
        <v>0.001589825119</v>
      </c>
      <c r="E235" s="11" t="s">
        <v>245</v>
      </c>
      <c r="F235" s="12">
        <v>17813.6</v>
      </c>
      <c r="G235" s="11">
        <v>0.002495885</v>
      </c>
      <c r="H235" s="13">
        <v>0.0025</v>
      </c>
      <c r="J235" s="15"/>
      <c r="K235" s="11"/>
      <c r="L235" s="11"/>
      <c r="M235" s="11"/>
      <c r="N235" s="11"/>
    </row>
    <row r="236" ht="15.75" customHeight="1">
      <c r="A236" s="11" t="s">
        <v>246</v>
      </c>
      <c r="B236" s="38">
        <v>94.35</v>
      </c>
      <c r="C236" s="11">
        <f t="shared" si="1"/>
        <v>0.005327650506</v>
      </c>
      <c r="D236" s="13">
        <f t="shared" si="2"/>
        <v>0.005327650506</v>
      </c>
      <c r="E236" s="11" t="s">
        <v>246</v>
      </c>
      <c r="F236" s="12">
        <v>17769.25</v>
      </c>
      <c r="G236" s="11">
        <v>0.00145688</v>
      </c>
      <c r="H236" s="13">
        <v>0.0015</v>
      </c>
      <c r="J236" s="15"/>
      <c r="K236" s="11"/>
      <c r="L236" s="11"/>
      <c r="M236" s="11"/>
      <c r="N236" s="11"/>
    </row>
    <row r="237" ht="15.75" customHeight="1">
      <c r="A237" s="11" t="s">
        <v>247</v>
      </c>
      <c r="B237" s="38">
        <v>93.85</v>
      </c>
      <c r="C237" s="11">
        <f t="shared" si="1"/>
        <v>-0.007928118393</v>
      </c>
      <c r="D237" s="13">
        <f t="shared" si="2"/>
        <v>-0.007928118393</v>
      </c>
      <c r="E237" s="11" t="s">
        <v>247</v>
      </c>
      <c r="F237" s="12">
        <v>17743.4</v>
      </c>
      <c r="G237" s="11">
        <v>0.006771996</v>
      </c>
      <c r="H237" s="13">
        <v>0.0068</v>
      </c>
      <c r="J237" s="15"/>
      <c r="K237" s="11"/>
      <c r="L237" s="11"/>
      <c r="M237" s="11"/>
      <c r="N237" s="11"/>
    </row>
    <row r="238" ht="15.75" customHeight="1">
      <c r="A238" s="11" t="s">
        <v>248</v>
      </c>
      <c r="B238" s="38">
        <v>94.6</v>
      </c>
      <c r="C238" s="11">
        <f t="shared" si="1"/>
        <v>0.01068376068</v>
      </c>
      <c r="D238" s="13">
        <f t="shared" si="2"/>
        <v>0.01068376068</v>
      </c>
      <c r="E238" s="11" t="s">
        <v>248</v>
      </c>
      <c r="F238" s="12">
        <v>17624.05</v>
      </c>
      <c r="G238" s="45">
        <v>-2.26957E-5</v>
      </c>
      <c r="H238" s="13">
        <v>0.0</v>
      </c>
      <c r="J238" s="15"/>
      <c r="K238" s="11"/>
      <c r="L238" s="11"/>
      <c r="M238" s="11"/>
      <c r="N238" s="11"/>
    </row>
    <row r="239" ht="15.75" customHeight="1">
      <c r="A239" s="11" t="s">
        <v>249</v>
      </c>
      <c r="B239" s="38">
        <v>93.6</v>
      </c>
      <c r="C239" s="11">
        <f t="shared" si="1"/>
        <v>-0.001067235859</v>
      </c>
      <c r="D239" s="13">
        <f t="shared" si="2"/>
        <v>-0.001067235859</v>
      </c>
      <c r="E239" s="11" t="s">
        <v>249</v>
      </c>
      <c r="F239" s="12">
        <v>17624.45</v>
      </c>
      <c r="G239" s="11">
        <v>3.23519E-4</v>
      </c>
      <c r="H239" s="13">
        <v>3.0E-4</v>
      </c>
      <c r="J239" s="15"/>
      <c r="K239" s="11"/>
      <c r="L239" s="11"/>
      <c r="M239" s="11"/>
      <c r="N239" s="11"/>
    </row>
    <row r="240" ht="15.75" customHeight="1">
      <c r="A240" s="11" t="s">
        <v>250</v>
      </c>
      <c r="B240" s="38">
        <v>93.7</v>
      </c>
      <c r="C240" s="11">
        <f t="shared" si="1"/>
        <v>-0.01055966209</v>
      </c>
      <c r="D240" s="13">
        <f t="shared" si="2"/>
        <v>-0.01055966209</v>
      </c>
      <c r="E240" s="11" t="s">
        <v>250</v>
      </c>
      <c r="F240" s="12">
        <v>17618.75</v>
      </c>
      <c r="G240" s="11">
        <v>-0.002344261</v>
      </c>
      <c r="H240" s="13">
        <v>-0.0023</v>
      </c>
      <c r="J240" s="15"/>
      <c r="K240" s="11"/>
      <c r="L240" s="11"/>
      <c r="M240" s="11"/>
      <c r="N240" s="11"/>
    </row>
    <row r="241" ht="15.75" customHeight="1">
      <c r="A241" s="11" t="s">
        <v>251</v>
      </c>
      <c r="B241" s="38">
        <v>94.7</v>
      </c>
      <c r="C241" s="11">
        <f t="shared" si="1"/>
        <v>0.03780821918</v>
      </c>
      <c r="D241" s="13">
        <f t="shared" si="2"/>
        <v>0.03780821918</v>
      </c>
      <c r="E241" s="11" t="s">
        <v>251</v>
      </c>
      <c r="F241" s="12">
        <v>17660.15</v>
      </c>
      <c r="G241" s="11">
        <v>-0.002637397</v>
      </c>
      <c r="H241" s="13">
        <v>-0.0026</v>
      </c>
      <c r="J241" s="15"/>
      <c r="K241" s="11"/>
      <c r="L241" s="11"/>
      <c r="M241" s="11"/>
      <c r="N241" s="11"/>
    </row>
    <row r="242" ht="15.75" customHeight="1">
      <c r="A242" s="11" t="s">
        <v>252</v>
      </c>
      <c r="B242" s="38">
        <v>91.25</v>
      </c>
      <c r="C242" s="11">
        <f t="shared" si="1"/>
        <v>-0.00109469075</v>
      </c>
      <c r="D242" s="13">
        <f t="shared" si="2"/>
        <v>-0.00109469075</v>
      </c>
      <c r="E242" s="11" t="s">
        <v>252</v>
      </c>
      <c r="F242" s="12">
        <v>17706.85</v>
      </c>
      <c r="G242" s="11">
        <v>-0.00679549</v>
      </c>
      <c r="H242" s="13">
        <v>-0.0068</v>
      </c>
      <c r="J242" s="15"/>
      <c r="K242" s="11"/>
      <c r="L242" s="11"/>
      <c r="M242" s="11"/>
      <c r="N242" s="11"/>
    </row>
    <row r="243" ht="15.75" customHeight="1">
      <c r="A243" s="11" t="s">
        <v>253</v>
      </c>
      <c r="B243" s="38">
        <v>91.35</v>
      </c>
      <c r="C243" s="11">
        <f t="shared" si="1"/>
        <v>-0.005443658138</v>
      </c>
      <c r="D243" s="13">
        <f t="shared" si="2"/>
        <v>-0.005443658138</v>
      </c>
      <c r="E243" s="11" t="s">
        <v>253</v>
      </c>
      <c r="F243" s="12">
        <v>17828.0</v>
      </c>
      <c r="G243" s="11">
        <v>8.75794E-4</v>
      </c>
      <c r="H243" s="13">
        <v>9.0E-4</v>
      </c>
      <c r="J243" s="15"/>
      <c r="K243" s="11"/>
      <c r="L243" s="11"/>
      <c r="M243" s="11"/>
      <c r="N243" s="11"/>
    </row>
    <row r="244" ht="15.75" customHeight="1">
      <c r="A244" s="35">
        <v>45264.0</v>
      </c>
      <c r="B244" s="38">
        <v>91.85</v>
      </c>
      <c r="C244" s="11">
        <f t="shared" si="1"/>
        <v>0</v>
      </c>
      <c r="D244" s="13">
        <f t="shared" si="2"/>
        <v>0</v>
      </c>
      <c r="E244" s="35">
        <v>45264.0</v>
      </c>
      <c r="F244" s="12">
        <v>17812.4</v>
      </c>
      <c r="G244" s="11">
        <v>0.00508399</v>
      </c>
      <c r="H244" s="13">
        <v>0.0051</v>
      </c>
      <c r="J244" s="15"/>
      <c r="K244" s="11"/>
      <c r="L244" s="11"/>
      <c r="M244" s="11"/>
      <c r="N244" s="11"/>
    </row>
    <row r="245" ht="15.75" customHeight="1">
      <c r="A245" s="35">
        <v>45234.0</v>
      </c>
      <c r="B245" s="38">
        <v>91.85</v>
      </c>
      <c r="C245" s="11">
        <f t="shared" si="1"/>
        <v>0.002729257642</v>
      </c>
      <c r="D245" s="13">
        <f t="shared" si="2"/>
        <v>0.002729257642</v>
      </c>
      <c r="E245" s="35">
        <v>45234.0</v>
      </c>
      <c r="F245" s="12">
        <v>17722.3</v>
      </c>
      <c r="G245" s="11">
        <v>0.005574769</v>
      </c>
      <c r="H245" s="13">
        <v>0.0056</v>
      </c>
      <c r="J245" s="15"/>
      <c r="K245" s="11"/>
      <c r="L245" s="11"/>
      <c r="M245" s="11"/>
      <c r="N245" s="11"/>
    </row>
    <row r="246" ht="15.75" customHeight="1">
      <c r="A246" s="35">
        <v>45203.0</v>
      </c>
      <c r="B246" s="38">
        <v>91.6</v>
      </c>
      <c r="C246" s="11">
        <f t="shared" si="1"/>
        <v>0.001092896175</v>
      </c>
      <c r="D246" s="13">
        <f t="shared" si="2"/>
        <v>0.001092896175</v>
      </c>
      <c r="E246" s="35">
        <v>45203.0</v>
      </c>
      <c r="F246" s="12">
        <v>17624.05</v>
      </c>
      <c r="G246" s="11">
        <v>0.001414841</v>
      </c>
      <c r="H246" s="13">
        <v>0.0014</v>
      </c>
      <c r="J246" s="15"/>
      <c r="K246" s="11"/>
      <c r="L246" s="11"/>
      <c r="M246" s="11"/>
      <c r="N246" s="11"/>
    </row>
    <row r="247" ht="15.75" customHeight="1">
      <c r="A247" s="35">
        <v>45081.0</v>
      </c>
      <c r="B247" s="38">
        <v>91.5</v>
      </c>
      <c r="C247" s="11">
        <f t="shared" si="1"/>
        <v>-0.001091703057</v>
      </c>
      <c r="D247" s="13">
        <f t="shared" si="2"/>
        <v>-0.001091703057</v>
      </c>
      <c r="E247" s="35">
        <v>45081.0</v>
      </c>
      <c r="F247" s="12">
        <v>17599.15</v>
      </c>
      <c r="G247" s="11">
        <v>0.002397897</v>
      </c>
      <c r="H247" s="13">
        <v>0.0024</v>
      </c>
      <c r="J247" s="15"/>
      <c r="K247" s="11"/>
      <c r="L247" s="11"/>
      <c r="M247" s="11"/>
      <c r="N247" s="11"/>
    </row>
    <row r="248" ht="15.75" customHeight="1">
      <c r="A248" s="35">
        <v>45050.0</v>
      </c>
      <c r="B248" s="38">
        <v>91.6</v>
      </c>
      <c r="C248" s="11">
        <f t="shared" si="1"/>
        <v>0.006593406593</v>
      </c>
      <c r="D248" s="13">
        <f t="shared" si="2"/>
        <v>0.006593406593</v>
      </c>
      <c r="E248" s="35">
        <v>45050.0</v>
      </c>
      <c r="F248" s="12">
        <v>17557.05</v>
      </c>
      <c r="G248" s="11">
        <v>0.009138955</v>
      </c>
      <c r="H248" s="13">
        <v>0.0091</v>
      </c>
      <c r="J248" s="15"/>
      <c r="K248" s="11"/>
      <c r="L248" s="11"/>
      <c r="M248" s="11"/>
      <c r="N248" s="11"/>
    </row>
    <row r="249" ht="15.75" customHeight="1">
      <c r="A249" s="35">
        <v>44989.0</v>
      </c>
      <c r="B249" s="38">
        <v>91.0</v>
      </c>
      <c r="C249" s="11">
        <f t="shared" si="1"/>
        <v>0.009428729895</v>
      </c>
      <c r="D249" s="13">
        <f t="shared" si="2"/>
        <v>0.009428729895</v>
      </c>
      <c r="E249" s="35">
        <v>44989.0</v>
      </c>
      <c r="F249" s="12">
        <v>17398.05</v>
      </c>
      <c r="G249" s="11">
        <v>0.002206253</v>
      </c>
      <c r="H249" s="13">
        <v>0.0022</v>
      </c>
      <c r="J249" s="15"/>
      <c r="K249" s="11"/>
      <c r="L249" s="11"/>
      <c r="M249" s="11"/>
      <c r="N249" s="11"/>
    </row>
    <row r="250" ht="15.75" customHeight="1">
      <c r="A250" s="11" t="s">
        <v>254</v>
      </c>
      <c r="B250" s="38">
        <v>90.15</v>
      </c>
      <c r="C250" s="11">
        <f t="shared" si="1"/>
        <v>-0.002213613724</v>
      </c>
      <c r="D250" s="13">
        <f t="shared" si="2"/>
        <v>-0.002213613724</v>
      </c>
      <c r="E250" s="11" t="s">
        <v>254</v>
      </c>
      <c r="F250" s="12">
        <v>17359.75</v>
      </c>
      <c r="G250" s="11">
        <v>0.016337152</v>
      </c>
      <c r="H250" s="13">
        <v>0.0163</v>
      </c>
      <c r="J250" s="15"/>
      <c r="K250" s="11"/>
      <c r="L250" s="11"/>
      <c r="M250" s="11"/>
      <c r="N250" s="11"/>
    </row>
    <row r="251" ht="15.75" customHeight="1">
      <c r="A251" s="11" t="s">
        <v>255</v>
      </c>
      <c r="B251" s="38">
        <v>90.35</v>
      </c>
      <c r="C251" s="11">
        <f t="shared" si="1"/>
        <v>0.03731343284</v>
      </c>
      <c r="D251" s="13">
        <f t="shared" si="2"/>
        <v>0.03731343284</v>
      </c>
      <c r="E251" s="11" t="s">
        <v>255</v>
      </c>
      <c r="F251" s="12">
        <v>17080.7</v>
      </c>
      <c r="G251" s="11">
        <v>0.007609856</v>
      </c>
      <c r="H251" s="13">
        <v>0.0076</v>
      </c>
      <c r="J251" s="15"/>
      <c r="K251" s="11"/>
      <c r="L251" s="11"/>
      <c r="M251" s="11"/>
      <c r="N251" s="11"/>
    </row>
    <row r="252" ht="15.75" customHeight="1">
      <c r="A252" s="11" t="s">
        <v>256</v>
      </c>
      <c r="B252" s="38">
        <v>87.1</v>
      </c>
      <c r="C252" s="11">
        <f t="shared" si="1"/>
        <v>-0.04127682994</v>
      </c>
      <c r="D252" s="13">
        <f t="shared" si="2"/>
        <v>-0.04127682994</v>
      </c>
      <c r="E252" s="11" t="s">
        <v>256</v>
      </c>
      <c r="F252" s="12">
        <v>16951.7</v>
      </c>
      <c r="G252" s="11">
        <v>-0.002001684</v>
      </c>
      <c r="H252" s="13">
        <v>-0.002</v>
      </c>
      <c r="J252" s="15"/>
      <c r="K252" s="11"/>
      <c r="L252" s="11"/>
      <c r="M252" s="11"/>
      <c r="N252" s="11"/>
    </row>
    <row r="253" ht="15.75" customHeight="1">
      <c r="A253" s="11" t="s">
        <v>257</v>
      </c>
      <c r="B253" s="38">
        <v>90.85</v>
      </c>
      <c r="C253" s="11">
        <f t="shared" si="1"/>
        <v>-0.07484725051</v>
      </c>
      <c r="D253" s="13">
        <f t="shared" si="2"/>
        <v>-0.07484725051</v>
      </c>
      <c r="E253" s="11" t="s">
        <v>257</v>
      </c>
      <c r="F253" s="12">
        <v>16985.7</v>
      </c>
      <c r="G253" s="11">
        <v>0.002398931</v>
      </c>
      <c r="H253" s="13">
        <v>0.0024</v>
      </c>
      <c r="J253" s="15"/>
      <c r="K253" s="11"/>
      <c r="L253" s="11"/>
      <c r="M253" s="11"/>
      <c r="N253" s="11"/>
    </row>
    <row r="254" ht="15.75" customHeight="1">
      <c r="A254" s="11" t="s">
        <v>258</v>
      </c>
      <c r="B254" s="38">
        <v>98.2</v>
      </c>
      <c r="C254" s="11">
        <f t="shared" si="1"/>
        <v>0.1203650884</v>
      </c>
      <c r="D254" s="13">
        <f t="shared" si="2"/>
        <v>0.1203650884</v>
      </c>
      <c r="E254" s="11" t="s">
        <v>258</v>
      </c>
      <c r="F254" s="12">
        <v>16945.05</v>
      </c>
      <c r="G254" s="11">
        <v>-0.007720956</v>
      </c>
      <c r="H254" s="13">
        <v>-0.0077</v>
      </c>
      <c r="J254" s="15"/>
      <c r="K254" s="11"/>
      <c r="L254" s="11"/>
      <c r="M254" s="11"/>
      <c r="N254" s="11"/>
    </row>
    <row r="255" ht="15.75" customHeight="1">
      <c r="A255" s="11" t="s">
        <v>259</v>
      </c>
      <c r="B255" s="38">
        <v>87.65</v>
      </c>
      <c r="C255" s="11">
        <f t="shared" si="1"/>
        <v>-0.01461495222</v>
      </c>
      <c r="D255" s="13">
        <f t="shared" si="2"/>
        <v>-0.01461495222</v>
      </c>
      <c r="E255" s="11" t="s">
        <v>259</v>
      </c>
      <c r="F255" s="12">
        <v>17076.9</v>
      </c>
      <c r="G255" s="11">
        <v>-0.004372693</v>
      </c>
      <c r="H255" s="13">
        <v>-0.0044</v>
      </c>
      <c r="J255" s="15"/>
      <c r="K255" s="11"/>
      <c r="L255" s="11"/>
      <c r="M255" s="11"/>
      <c r="N255" s="11"/>
    </row>
    <row r="256" ht="15.75" customHeight="1">
      <c r="A256" s="11" t="s">
        <v>260</v>
      </c>
      <c r="B256" s="38">
        <v>88.95</v>
      </c>
      <c r="C256" s="11">
        <f t="shared" si="1"/>
        <v>0.00281848929</v>
      </c>
      <c r="D256" s="13">
        <f t="shared" si="2"/>
        <v>0.00281848929</v>
      </c>
      <c r="E256" s="11" t="s">
        <v>260</v>
      </c>
      <c r="F256" s="12">
        <v>17151.9</v>
      </c>
      <c r="G256" s="11">
        <v>0.002595353</v>
      </c>
      <c r="H256" s="13">
        <v>0.0026</v>
      </c>
      <c r="J256" s="15"/>
      <c r="K256" s="11"/>
      <c r="L256" s="11"/>
      <c r="M256" s="11"/>
      <c r="N256" s="11"/>
    </row>
    <row r="257" ht="15.75" customHeight="1">
      <c r="A257" s="11" t="s">
        <v>261</v>
      </c>
      <c r="B257" s="38">
        <v>88.7</v>
      </c>
      <c r="C257" s="11">
        <f t="shared" si="1"/>
        <v>-0.006162464986</v>
      </c>
      <c r="D257" s="13">
        <f t="shared" si="2"/>
        <v>-0.006162464986</v>
      </c>
      <c r="E257" s="11" t="s">
        <v>261</v>
      </c>
      <c r="F257" s="12">
        <v>17107.5</v>
      </c>
      <c r="G257" s="11">
        <v>0.007010666</v>
      </c>
      <c r="H257" s="13">
        <v>0.007</v>
      </c>
      <c r="J257" s="15"/>
      <c r="K257" s="11"/>
      <c r="L257" s="11"/>
      <c r="M257" s="11"/>
      <c r="N257" s="11"/>
    </row>
    <row r="258" ht="15.75" customHeight="1">
      <c r="A258" s="11" t="s">
        <v>262</v>
      </c>
      <c r="B258" s="38">
        <v>89.25</v>
      </c>
      <c r="C258" s="11">
        <f t="shared" si="1"/>
        <v>-0.01108033241</v>
      </c>
      <c r="D258" s="13">
        <f t="shared" si="2"/>
        <v>-0.01108033241</v>
      </c>
      <c r="E258" s="11" t="s">
        <v>262</v>
      </c>
      <c r="F258" s="12">
        <v>16988.4</v>
      </c>
      <c r="G258" s="11">
        <v>-0.006529221</v>
      </c>
      <c r="H258" s="13">
        <v>-0.0065</v>
      </c>
      <c r="J258" s="15"/>
      <c r="K258" s="11"/>
      <c r="L258" s="11"/>
      <c r="M258" s="11"/>
      <c r="N258" s="11"/>
    </row>
    <row r="259" ht="15.75" customHeight="1">
      <c r="A259" s="11" t="s">
        <v>263</v>
      </c>
      <c r="B259" s="38">
        <v>90.25</v>
      </c>
      <c r="C259" s="11">
        <f t="shared" si="1"/>
        <v>0.009507829978</v>
      </c>
      <c r="D259" s="13">
        <f t="shared" si="2"/>
        <v>0.009507829978</v>
      </c>
      <c r="E259" s="11" t="s">
        <v>263</v>
      </c>
      <c r="F259" s="12">
        <v>17100.05</v>
      </c>
      <c r="G259" s="11">
        <v>0.00673806</v>
      </c>
      <c r="H259" s="13">
        <v>0.0067</v>
      </c>
      <c r="J259" s="15"/>
      <c r="K259" s="11"/>
      <c r="L259" s="11"/>
      <c r="M259" s="11"/>
      <c r="N259" s="11"/>
    </row>
    <row r="260" ht="15.75" customHeight="1">
      <c r="A260" s="11" t="s">
        <v>264</v>
      </c>
      <c r="B260" s="38">
        <v>89.4</v>
      </c>
      <c r="C260" s="11">
        <f t="shared" si="1"/>
        <v>-0.01487603306</v>
      </c>
      <c r="D260" s="13">
        <f t="shared" si="2"/>
        <v>-0.01487603306</v>
      </c>
      <c r="E260" s="11" t="s">
        <v>264</v>
      </c>
      <c r="F260" s="12">
        <v>16985.6</v>
      </c>
      <c r="G260" s="11">
        <v>7.92475E-4</v>
      </c>
      <c r="H260" s="13">
        <v>8.0E-4</v>
      </c>
      <c r="J260" s="15"/>
      <c r="K260" s="11"/>
      <c r="L260" s="11"/>
      <c r="M260" s="11"/>
      <c r="N260" s="11"/>
    </row>
    <row r="261" ht="15.75" customHeight="1">
      <c r="A261" s="11" t="s">
        <v>265</v>
      </c>
      <c r="B261" s="38">
        <v>90.75</v>
      </c>
      <c r="C261" s="11">
        <f t="shared" si="1"/>
        <v>-0.002199010445</v>
      </c>
      <c r="D261" s="13">
        <f t="shared" si="2"/>
        <v>-0.002199010445</v>
      </c>
      <c r="E261" s="11" t="s">
        <v>265</v>
      </c>
      <c r="F261" s="12">
        <v>16972.15</v>
      </c>
      <c r="G261" s="11">
        <v>-0.004174661</v>
      </c>
      <c r="H261" s="13">
        <v>-0.0042</v>
      </c>
      <c r="J261" s="15"/>
      <c r="K261" s="11"/>
      <c r="L261" s="11"/>
      <c r="M261" s="11"/>
      <c r="N261" s="11"/>
    </row>
    <row r="262" ht="15.75" customHeight="1">
      <c r="A262" s="11" t="s">
        <v>266</v>
      </c>
      <c r="B262" s="38">
        <v>90.95</v>
      </c>
      <c r="C262" s="11">
        <f t="shared" si="1"/>
        <v>-0.0108754758</v>
      </c>
      <c r="D262" s="13">
        <f t="shared" si="2"/>
        <v>-0.0108754758</v>
      </c>
      <c r="E262" s="11" t="s">
        <v>266</v>
      </c>
      <c r="F262" s="12">
        <v>17043.3</v>
      </c>
      <c r="G262" s="11">
        <v>-0.006470681</v>
      </c>
      <c r="H262" s="13">
        <v>-0.0065</v>
      </c>
      <c r="J262" s="15"/>
      <c r="K262" s="11"/>
      <c r="L262" s="11"/>
      <c r="M262" s="11"/>
      <c r="N262" s="11"/>
    </row>
    <row r="263" ht="15.75" customHeight="1">
      <c r="A263" s="11" t="s">
        <v>267</v>
      </c>
      <c r="B263" s="38">
        <v>91.95</v>
      </c>
      <c r="C263" s="11">
        <f t="shared" si="1"/>
        <v>-0.02388535032</v>
      </c>
      <c r="D263" s="13">
        <f t="shared" si="2"/>
        <v>-0.02388535032</v>
      </c>
      <c r="E263" s="11" t="s">
        <v>267</v>
      </c>
      <c r="F263" s="12">
        <v>17154.3</v>
      </c>
      <c r="G263" s="11">
        <v>-0.014851059</v>
      </c>
      <c r="H263" s="13">
        <v>-0.0149</v>
      </c>
      <c r="J263" s="15"/>
      <c r="K263" s="11"/>
      <c r="L263" s="11"/>
      <c r="M263" s="11"/>
      <c r="N263" s="11"/>
    </row>
    <row r="264" ht="15.75" customHeight="1">
      <c r="A264" s="35">
        <v>45202.0</v>
      </c>
      <c r="B264" s="38">
        <v>94.2</v>
      </c>
      <c r="C264" s="11">
        <f t="shared" si="1"/>
        <v>-0.01154249738</v>
      </c>
      <c r="D264" s="13">
        <f t="shared" si="2"/>
        <v>-0.01154249738</v>
      </c>
      <c r="E264" s="35">
        <v>45202.0</v>
      </c>
      <c r="F264" s="12">
        <v>17412.9</v>
      </c>
      <c r="G264" s="11">
        <v>-0.010045709</v>
      </c>
      <c r="H264" s="13">
        <v>-0.01</v>
      </c>
      <c r="J264" s="15"/>
      <c r="K264" s="11"/>
      <c r="L264" s="11"/>
      <c r="M264" s="11"/>
      <c r="N264" s="11"/>
    </row>
    <row r="265" ht="15.75" customHeight="1">
      <c r="A265" s="35">
        <v>45172.0</v>
      </c>
      <c r="B265" s="38">
        <v>95.3</v>
      </c>
      <c r="C265" s="11">
        <f t="shared" si="1"/>
        <v>-0.000524383849</v>
      </c>
      <c r="D265" s="13">
        <f t="shared" si="2"/>
        <v>-0.000524383849</v>
      </c>
      <c r="E265" s="35">
        <v>45172.0</v>
      </c>
      <c r="F265" s="12">
        <v>17589.6</v>
      </c>
      <c r="G265" s="11">
        <v>-0.009282206</v>
      </c>
      <c r="H265" s="13">
        <v>-0.0093</v>
      </c>
      <c r="J265" s="15"/>
      <c r="K265" s="11"/>
      <c r="L265" s="11"/>
      <c r="M265" s="11"/>
      <c r="N265" s="11"/>
    </row>
    <row r="266" ht="15.75" customHeight="1">
      <c r="A266" s="35">
        <v>45141.0</v>
      </c>
      <c r="B266" s="38">
        <v>95.35</v>
      </c>
      <c r="C266" s="11">
        <f t="shared" si="1"/>
        <v>-0.0005241090147</v>
      </c>
      <c r="D266" s="13">
        <f t="shared" si="2"/>
        <v>-0.0005241090147</v>
      </c>
      <c r="E266" s="35">
        <v>45141.0</v>
      </c>
      <c r="F266" s="12">
        <v>17754.4</v>
      </c>
      <c r="G266" s="11">
        <v>0.002424985</v>
      </c>
      <c r="H266" s="13">
        <v>0.0024</v>
      </c>
      <c r="J266" s="15"/>
      <c r="K266" s="11"/>
      <c r="L266" s="11"/>
      <c r="M266" s="11"/>
      <c r="N266" s="11"/>
    </row>
    <row r="267" ht="15.75" customHeight="1">
      <c r="A267" s="35">
        <v>45080.0</v>
      </c>
      <c r="B267" s="38">
        <v>95.4</v>
      </c>
      <c r="C267" s="11">
        <f t="shared" si="1"/>
        <v>0.004210526316</v>
      </c>
      <c r="D267" s="13">
        <f t="shared" si="2"/>
        <v>0.004210526316</v>
      </c>
      <c r="E267" s="35">
        <v>45080.0</v>
      </c>
      <c r="F267" s="12">
        <v>17711.45</v>
      </c>
      <c r="G267" s="11">
        <v>0.006655546</v>
      </c>
      <c r="H267" s="13">
        <v>0.0067</v>
      </c>
      <c r="J267" s="15"/>
      <c r="K267" s="11"/>
      <c r="L267" s="11"/>
      <c r="M267" s="11"/>
      <c r="N267" s="11"/>
    </row>
    <row r="268" ht="15.75" customHeight="1">
      <c r="A268" s="35">
        <v>44988.0</v>
      </c>
      <c r="B268" s="38">
        <v>95.0</v>
      </c>
      <c r="C268" s="11">
        <f t="shared" si="1"/>
        <v>0.003697834126</v>
      </c>
      <c r="D268" s="13">
        <f t="shared" si="2"/>
        <v>0.003697834126</v>
      </c>
      <c r="E268" s="35">
        <v>44988.0</v>
      </c>
      <c r="F268" s="12">
        <v>17594.35</v>
      </c>
      <c r="G268" s="11">
        <v>0.015728644</v>
      </c>
      <c r="H268" s="13">
        <v>0.0157</v>
      </c>
      <c r="J268" s="15"/>
      <c r="K268" s="11"/>
      <c r="L268" s="11"/>
      <c r="M268" s="11"/>
      <c r="N268" s="11"/>
    </row>
    <row r="269" ht="15.75" customHeight="1">
      <c r="A269" s="35">
        <v>44960.0</v>
      </c>
      <c r="B269" s="38">
        <v>94.65</v>
      </c>
      <c r="C269" s="11">
        <f t="shared" si="1"/>
        <v>-0.007341373886</v>
      </c>
      <c r="D269" s="13">
        <f t="shared" si="2"/>
        <v>-0.007341373886</v>
      </c>
      <c r="E269" s="35">
        <v>44960.0</v>
      </c>
      <c r="F269" s="12">
        <v>17321.9</v>
      </c>
      <c r="G269" s="11">
        <v>-0.007392169</v>
      </c>
      <c r="H269" s="13">
        <v>-0.0074</v>
      </c>
      <c r="J269" s="15"/>
      <c r="K269" s="11"/>
      <c r="L269" s="11"/>
      <c r="M269" s="11"/>
      <c r="N269" s="11"/>
    </row>
    <row r="270" ht="15.75" customHeight="1">
      <c r="A270" s="35">
        <v>44929.0</v>
      </c>
      <c r="B270" s="38">
        <v>95.35</v>
      </c>
      <c r="C270" s="11">
        <f t="shared" si="1"/>
        <v>0.01167108753</v>
      </c>
      <c r="D270" s="13">
        <f t="shared" si="2"/>
        <v>0.01167108753</v>
      </c>
      <c r="E270" s="35">
        <v>44929.0</v>
      </c>
      <c r="F270" s="12">
        <v>17450.9</v>
      </c>
      <c r="G270" s="11">
        <v>0.008492281</v>
      </c>
      <c r="H270" s="13">
        <v>0.0085</v>
      </c>
      <c r="J270" s="15"/>
      <c r="K270" s="11"/>
      <c r="L270" s="11"/>
      <c r="M270" s="11"/>
      <c r="N270" s="11"/>
    </row>
    <row r="271" ht="15.75" customHeight="1">
      <c r="A271" s="11" t="s">
        <v>268</v>
      </c>
      <c r="B271" s="38">
        <v>94.25</v>
      </c>
      <c r="C271" s="11">
        <f t="shared" si="1"/>
        <v>-0.003699788584</v>
      </c>
      <c r="D271" s="13">
        <f t="shared" si="2"/>
        <v>-0.003699788584</v>
      </c>
      <c r="E271" s="11" t="s">
        <v>268</v>
      </c>
      <c r="F271" s="12">
        <v>17303.95</v>
      </c>
      <c r="G271" s="11">
        <v>-0.005102716</v>
      </c>
      <c r="H271" s="13">
        <v>-0.0051</v>
      </c>
      <c r="J271" s="15"/>
      <c r="K271" s="11"/>
      <c r="L271" s="11"/>
      <c r="M271" s="11"/>
      <c r="N271" s="11"/>
    </row>
    <row r="272" ht="15.75" customHeight="1">
      <c r="A272" s="11" t="s">
        <v>269</v>
      </c>
      <c r="B272" s="38">
        <v>94.6</v>
      </c>
      <c r="C272" s="11">
        <f t="shared" si="1"/>
        <v>-0.02774922919</v>
      </c>
      <c r="D272" s="13">
        <f t="shared" si="2"/>
        <v>-0.02774922919</v>
      </c>
      <c r="E272" s="11" t="s">
        <v>269</v>
      </c>
      <c r="F272" s="12">
        <v>17392.7</v>
      </c>
      <c r="G272" s="11">
        <v>-0.004185322</v>
      </c>
      <c r="H272" s="13">
        <v>-0.0042</v>
      </c>
      <c r="J272" s="15"/>
      <c r="K272" s="11"/>
      <c r="L272" s="11"/>
      <c r="M272" s="11"/>
      <c r="N272" s="11"/>
    </row>
    <row r="273" ht="15.75" customHeight="1">
      <c r="A273" s="11" t="s">
        <v>270</v>
      </c>
      <c r="B273" s="38">
        <v>97.3</v>
      </c>
      <c r="C273" s="11">
        <f t="shared" si="1"/>
        <v>-0.005112474438</v>
      </c>
      <c r="D273" s="13">
        <f t="shared" si="2"/>
        <v>-0.005112474438</v>
      </c>
      <c r="E273" s="11" t="s">
        <v>270</v>
      </c>
      <c r="F273" s="12">
        <v>17465.8</v>
      </c>
      <c r="G273" s="11">
        <v>-0.002595474</v>
      </c>
      <c r="H273" s="13">
        <v>-0.0026</v>
      </c>
      <c r="J273" s="15"/>
      <c r="K273" s="11"/>
      <c r="L273" s="11"/>
      <c r="M273" s="11"/>
      <c r="N273" s="11"/>
    </row>
    <row r="274" ht="15.75" customHeight="1">
      <c r="A274" s="11" t="s">
        <v>271</v>
      </c>
      <c r="B274" s="38">
        <v>97.8</v>
      </c>
      <c r="C274" s="11">
        <f t="shared" si="1"/>
        <v>-0.01460957179</v>
      </c>
      <c r="D274" s="13">
        <f t="shared" si="2"/>
        <v>-0.01460957179</v>
      </c>
      <c r="E274" s="11" t="s">
        <v>271</v>
      </c>
      <c r="F274" s="12">
        <v>17511.25</v>
      </c>
      <c r="G274" s="11">
        <v>-0.002452391</v>
      </c>
      <c r="H274" s="13">
        <v>-0.0025</v>
      </c>
      <c r="J274" s="15"/>
      <c r="K274" s="11"/>
      <c r="L274" s="11"/>
      <c r="M274" s="11"/>
      <c r="N274" s="11"/>
    </row>
    <row r="275" ht="15.75" customHeight="1">
      <c r="A275" s="11" t="s">
        <v>272</v>
      </c>
      <c r="B275" s="38">
        <v>99.25</v>
      </c>
      <c r="C275" s="11">
        <f t="shared" si="1"/>
        <v>0.02161605764</v>
      </c>
      <c r="D275" s="13">
        <f t="shared" si="2"/>
        <v>0.02161605764</v>
      </c>
      <c r="E275" s="11" t="s">
        <v>272</v>
      </c>
      <c r="F275" s="12">
        <v>17554.3</v>
      </c>
      <c r="G275" s="11">
        <v>-0.01528045</v>
      </c>
      <c r="H275" s="13">
        <v>-0.0153</v>
      </c>
      <c r="J275" s="15"/>
      <c r="K275" s="11"/>
      <c r="L275" s="11"/>
      <c r="M275" s="11"/>
      <c r="N275" s="11"/>
    </row>
    <row r="276" ht="15.75" customHeight="1">
      <c r="A276" s="11" t="s">
        <v>273</v>
      </c>
      <c r="B276" s="38">
        <v>97.15</v>
      </c>
      <c r="C276" s="11">
        <f t="shared" si="1"/>
        <v>-0.005629477994</v>
      </c>
      <c r="D276" s="13">
        <f t="shared" si="2"/>
        <v>-0.005629477994</v>
      </c>
      <c r="E276" s="11" t="s">
        <v>273</v>
      </c>
      <c r="F276" s="12">
        <v>17826.7</v>
      </c>
      <c r="G276" s="11">
        <v>-0.001003105</v>
      </c>
      <c r="H276" s="13">
        <v>-0.001</v>
      </c>
      <c r="J276" s="15"/>
      <c r="K276" s="11"/>
      <c r="L276" s="11"/>
      <c r="M276" s="11"/>
      <c r="N276" s="11"/>
    </row>
    <row r="277" ht="15.75" customHeight="1">
      <c r="A277" s="11" t="s">
        <v>274</v>
      </c>
      <c r="B277" s="38">
        <v>97.7</v>
      </c>
      <c r="C277" s="11">
        <f t="shared" si="1"/>
        <v>-0.007113821138</v>
      </c>
      <c r="D277" s="13">
        <f t="shared" si="2"/>
        <v>-0.007113821138</v>
      </c>
      <c r="E277" s="11" t="s">
        <v>274</v>
      </c>
      <c r="F277" s="12">
        <v>17844.6</v>
      </c>
      <c r="G277" s="11">
        <v>-0.00555054</v>
      </c>
      <c r="H277" s="13">
        <v>-0.0056</v>
      </c>
      <c r="J277" s="15"/>
      <c r="K277" s="11"/>
      <c r="L277" s="11"/>
      <c r="M277" s="11"/>
      <c r="N277" s="11"/>
    </row>
    <row r="278" ht="15.75" customHeight="1">
      <c r="A278" s="11" t="s">
        <v>275</v>
      </c>
      <c r="B278" s="38">
        <v>98.4</v>
      </c>
      <c r="C278" s="11">
        <f t="shared" si="1"/>
        <v>-0.01006036217</v>
      </c>
      <c r="D278" s="13">
        <f t="shared" si="2"/>
        <v>-0.01006036217</v>
      </c>
      <c r="E278" s="11" t="s">
        <v>275</v>
      </c>
      <c r="F278" s="12">
        <v>17944.2</v>
      </c>
      <c r="G278" s="11">
        <v>-0.005081546</v>
      </c>
      <c r="H278" s="13">
        <v>-0.0051</v>
      </c>
      <c r="J278" s="15"/>
      <c r="K278" s="11"/>
      <c r="L278" s="11"/>
      <c r="M278" s="11"/>
      <c r="N278" s="11"/>
    </row>
    <row r="279" ht="15.75" customHeight="1">
      <c r="A279" s="11" t="s">
        <v>276</v>
      </c>
      <c r="B279" s="38">
        <v>99.4</v>
      </c>
      <c r="C279" s="11">
        <f t="shared" si="1"/>
        <v>0.006072874494</v>
      </c>
      <c r="D279" s="13">
        <f t="shared" si="2"/>
        <v>0.006072874494</v>
      </c>
      <c r="E279" s="11" t="s">
        <v>276</v>
      </c>
      <c r="F279" s="12">
        <v>18035.85</v>
      </c>
      <c r="G279" s="11">
        <v>0.001110134</v>
      </c>
      <c r="H279" s="13">
        <v>0.0011</v>
      </c>
      <c r="J279" s="15"/>
      <c r="K279" s="11"/>
      <c r="L279" s="11"/>
      <c r="M279" s="11"/>
      <c r="N279" s="11"/>
    </row>
    <row r="280" ht="15.75" customHeight="1">
      <c r="A280" s="11" t="s">
        <v>277</v>
      </c>
      <c r="B280" s="38">
        <v>98.8</v>
      </c>
      <c r="C280" s="11">
        <f t="shared" si="1"/>
        <v>-0.0005058168943</v>
      </c>
      <c r="D280" s="13">
        <f t="shared" si="2"/>
        <v>-0.0005058168943</v>
      </c>
      <c r="E280" s="11" t="s">
        <v>277</v>
      </c>
      <c r="F280" s="12">
        <v>18015.85</v>
      </c>
      <c r="G280" s="11">
        <v>0.004796471</v>
      </c>
      <c r="H280" s="13">
        <v>0.0048</v>
      </c>
      <c r="J280" s="15"/>
      <c r="K280" s="11"/>
      <c r="L280" s="11"/>
      <c r="M280" s="11"/>
      <c r="N280" s="11"/>
    </row>
    <row r="281" ht="15.75" customHeight="1">
      <c r="A281" s="11" t="s">
        <v>278</v>
      </c>
      <c r="B281" s="38">
        <v>98.85</v>
      </c>
      <c r="C281" s="11">
        <f t="shared" si="1"/>
        <v>-0.006033182504</v>
      </c>
      <c r="D281" s="13">
        <f t="shared" si="2"/>
        <v>-0.006033182504</v>
      </c>
      <c r="E281" s="11" t="s">
        <v>278</v>
      </c>
      <c r="F281" s="12">
        <v>17929.85</v>
      </c>
      <c r="G281" s="11">
        <v>0.008944398</v>
      </c>
      <c r="H281" s="13">
        <v>0.0089</v>
      </c>
      <c r="J281" s="15"/>
      <c r="K281" s="11"/>
      <c r="L281" s="11"/>
      <c r="M281" s="11"/>
      <c r="N281" s="11"/>
    </row>
    <row r="282" ht="15.75" customHeight="1">
      <c r="A282" s="11" t="s">
        <v>279</v>
      </c>
      <c r="B282" s="38">
        <v>99.45</v>
      </c>
      <c r="C282" s="11">
        <f t="shared" si="1"/>
        <v>-0.008474576271</v>
      </c>
      <c r="D282" s="13">
        <f t="shared" si="2"/>
        <v>-0.008474576271</v>
      </c>
      <c r="E282" s="11" t="s">
        <v>279</v>
      </c>
      <c r="F282" s="12">
        <v>17770.9</v>
      </c>
      <c r="G282" s="11">
        <v>-0.004793773</v>
      </c>
      <c r="H282" s="13">
        <v>-0.0048</v>
      </c>
      <c r="J282" s="15"/>
      <c r="K282" s="11"/>
      <c r="L282" s="11"/>
      <c r="M282" s="11"/>
      <c r="N282" s="11"/>
    </row>
    <row r="283" ht="15.75" customHeight="1">
      <c r="A283" s="35">
        <v>45201.0</v>
      </c>
      <c r="B283" s="38">
        <v>100.3</v>
      </c>
      <c r="C283" s="11">
        <f t="shared" si="1"/>
        <v>0.000998003992</v>
      </c>
      <c r="D283" s="13">
        <f t="shared" si="2"/>
        <v>0.000998003992</v>
      </c>
      <c r="E283" s="35">
        <v>45201.0</v>
      </c>
      <c r="F283" s="12">
        <v>17856.5</v>
      </c>
      <c r="G283" s="11">
        <v>-0.002065001</v>
      </c>
      <c r="H283" s="13">
        <v>-0.0021</v>
      </c>
      <c r="J283" s="15"/>
      <c r="K283" s="11"/>
      <c r="L283" s="11"/>
      <c r="M283" s="11"/>
      <c r="N283" s="11"/>
    </row>
    <row r="284" ht="15.75" customHeight="1">
      <c r="A284" s="35">
        <v>45171.0</v>
      </c>
      <c r="B284" s="38">
        <v>100.2</v>
      </c>
      <c r="C284" s="11">
        <f t="shared" si="1"/>
        <v>-0.005459057072</v>
      </c>
      <c r="D284" s="13">
        <f t="shared" si="2"/>
        <v>-0.005459057072</v>
      </c>
      <c r="E284" s="35">
        <v>45171.0</v>
      </c>
      <c r="F284" s="12">
        <v>17893.45</v>
      </c>
      <c r="G284" s="11">
        <v>0.001217008</v>
      </c>
      <c r="H284" s="13">
        <v>0.0012</v>
      </c>
      <c r="J284" s="15"/>
      <c r="K284" s="11"/>
      <c r="L284" s="11"/>
      <c r="M284" s="11"/>
      <c r="N284" s="11"/>
    </row>
    <row r="285" ht="15.75" customHeight="1">
      <c r="A285" s="35">
        <v>45140.0</v>
      </c>
      <c r="B285" s="38">
        <v>100.75</v>
      </c>
      <c r="C285" s="11">
        <f t="shared" si="1"/>
        <v>0.0075</v>
      </c>
      <c r="D285" s="13">
        <f t="shared" si="2"/>
        <v>0.0075</v>
      </c>
      <c r="E285" s="35">
        <v>45140.0</v>
      </c>
      <c r="F285" s="12">
        <v>17871.7</v>
      </c>
      <c r="G285" s="11">
        <v>0.008475581</v>
      </c>
      <c r="H285" s="13">
        <v>0.0085</v>
      </c>
      <c r="J285" s="15"/>
      <c r="K285" s="11"/>
      <c r="L285" s="11"/>
      <c r="M285" s="11"/>
      <c r="N285" s="11"/>
    </row>
    <row r="286" ht="15.75" customHeight="1">
      <c r="A286" s="35">
        <v>45109.0</v>
      </c>
      <c r="B286" s="38">
        <v>100.0</v>
      </c>
      <c r="C286" s="11">
        <f t="shared" si="1"/>
        <v>-0.002991026919</v>
      </c>
      <c r="D286" s="13">
        <f t="shared" si="2"/>
        <v>-0.002991026919</v>
      </c>
      <c r="E286" s="35">
        <v>45109.0</v>
      </c>
      <c r="F286" s="12">
        <v>17721.5</v>
      </c>
      <c r="G286" s="11">
        <v>-0.002426173</v>
      </c>
      <c r="H286" s="13">
        <v>-0.0024</v>
      </c>
      <c r="J286" s="15"/>
      <c r="K286" s="11"/>
      <c r="L286" s="11"/>
      <c r="M286" s="11"/>
      <c r="N286" s="11"/>
    </row>
    <row r="287" ht="15.75" customHeight="1">
      <c r="A287" s="35">
        <v>45079.0</v>
      </c>
      <c r="B287" s="38">
        <v>100.3</v>
      </c>
      <c r="C287" s="11">
        <f t="shared" si="1"/>
        <v>0.002498750625</v>
      </c>
      <c r="D287" s="13">
        <f t="shared" si="2"/>
        <v>0.002498750625</v>
      </c>
      <c r="E287" s="35">
        <v>45079.0</v>
      </c>
      <c r="F287" s="12">
        <v>17764.6</v>
      </c>
      <c r="G287" s="11">
        <v>-0.005010068</v>
      </c>
      <c r="H287" s="13">
        <v>-0.005</v>
      </c>
      <c r="J287" s="15"/>
      <c r="K287" s="11"/>
      <c r="L287" s="11"/>
      <c r="M287" s="11"/>
      <c r="N287" s="11"/>
    </row>
    <row r="288" ht="15.75" customHeight="1">
      <c r="A288" s="35">
        <v>44987.0</v>
      </c>
      <c r="B288" s="38">
        <v>100.05</v>
      </c>
      <c r="C288" s="11">
        <f t="shared" si="1"/>
        <v>-0.006947890819</v>
      </c>
      <c r="D288" s="13">
        <f t="shared" si="2"/>
        <v>-0.006947890819</v>
      </c>
      <c r="E288" s="35">
        <v>44987.0</v>
      </c>
      <c r="F288" s="12">
        <v>17854.05</v>
      </c>
      <c r="G288" s="11">
        <v>0.013835574</v>
      </c>
      <c r="H288" s="13">
        <v>0.0138</v>
      </c>
      <c r="J288" s="15"/>
      <c r="K288" s="11"/>
      <c r="L288" s="11"/>
      <c r="M288" s="11"/>
      <c r="N288" s="11"/>
    </row>
    <row r="289" ht="15.75" customHeight="1">
      <c r="A289" s="35">
        <v>44959.0</v>
      </c>
      <c r="B289" s="38">
        <v>100.75</v>
      </c>
      <c r="C289" s="11">
        <f t="shared" si="1"/>
        <v>0.002986560478</v>
      </c>
      <c r="D289" s="13">
        <f t="shared" si="2"/>
        <v>0.002986560478</v>
      </c>
      <c r="E289" s="35">
        <v>44959.0</v>
      </c>
      <c r="F289" s="12">
        <v>17610.4</v>
      </c>
      <c r="G289" s="11">
        <v>-3.34917E-4</v>
      </c>
      <c r="H289" s="13">
        <v>-3.0E-4</v>
      </c>
      <c r="J289" s="15"/>
      <c r="K289" s="11"/>
      <c r="L289" s="11"/>
      <c r="M289" s="11"/>
      <c r="N289" s="11"/>
    </row>
    <row r="290" ht="15.75" customHeight="1">
      <c r="A290" s="35">
        <v>44928.0</v>
      </c>
      <c r="B290" s="38">
        <v>100.45</v>
      </c>
      <c r="C290" s="11">
        <f t="shared" si="1"/>
        <v>-0.02380952381</v>
      </c>
      <c r="D290" s="13">
        <f t="shared" si="2"/>
        <v>-0.02380952381</v>
      </c>
      <c r="E290" s="35">
        <v>44928.0</v>
      </c>
      <c r="F290" s="12">
        <v>17616.3</v>
      </c>
      <c r="G290" s="11">
        <v>-0.002595947</v>
      </c>
      <c r="H290" s="13">
        <v>-0.0026</v>
      </c>
      <c r="J290" s="15"/>
      <c r="K290" s="11"/>
      <c r="L290" s="11"/>
      <c r="M290" s="11"/>
      <c r="N290" s="11"/>
    </row>
    <row r="291" ht="15.75" customHeight="1">
      <c r="A291" s="11" t="s">
        <v>280</v>
      </c>
      <c r="B291" s="38">
        <v>102.9</v>
      </c>
      <c r="C291" s="11">
        <f t="shared" si="1"/>
        <v>0.02286282306</v>
      </c>
      <c r="D291" s="13">
        <f t="shared" si="2"/>
        <v>0.02286282306</v>
      </c>
      <c r="E291" s="11" t="s">
        <v>280</v>
      </c>
      <c r="F291" s="12">
        <v>17662.15</v>
      </c>
      <c r="G291" s="11">
        <v>7.4792E-4</v>
      </c>
      <c r="H291" s="13">
        <v>7.0E-4</v>
      </c>
      <c r="J291" s="15"/>
      <c r="K291" s="11"/>
      <c r="L291" s="11"/>
      <c r="M291" s="11"/>
      <c r="N291" s="11"/>
    </row>
    <row r="292" ht="15.75" customHeight="1">
      <c r="A292" s="11" t="s">
        <v>281</v>
      </c>
      <c r="B292" s="38">
        <v>100.6</v>
      </c>
      <c r="C292" s="11">
        <f t="shared" si="1"/>
        <v>0.0009950248756</v>
      </c>
      <c r="D292" s="13">
        <f t="shared" si="2"/>
        <v>0.0009950248756</v>
      </c>
      <c r="E292" s="11" t="s">
        <v>281</v>
      </c>
      <c r="F292" s="12">
        <v>17648.95</v>
      </c>
      <c r="G292" s="11">
        <v>0.002533465</v>
      </c>
      <c r="H292" s="13">
        <v>0.0025</v>
      </c>
      <c r="J292" s="15"/>
      <c r="K292" s="11"/>
      <c r="L292" s="11"/>
      <c r="M292" s="11"/>
      <c r="N292" s="11"/>
    </row>
    <row r="293" ht="15.75" customHeight="1">
      <c r="A293" s="11" t="s">
        <v>282</v>
      </c>
      <c r="B293" s="38">
        <v>100.5</v>
      </c>
      <c r="C293" s="11">
        <f t="shared" si="1"/>
        <v>-0.01470588235</v>
      </c>
      <c r="D293" s="13">
        <f t="shared" si="2"/>
        <v>-0.01470588235</v>
      </c>
      <c r="E293" s="11" t="s">
        <v>282</v>
      </c>
      <c r="F293" s="12">
        <v>17604.35</v>
      </c>
      <c r="G293" s="11">
        <v>-0.016074268</v>
      </c>
      <c r="H293" s="13">
        <v>-0.0161</v>
      </c>
      <c r="J293" s="15"/>
      <c r="K293" s="11"/>
      <c r="L293" s="11"/>
      <c r="M293" s="11"/>
      <c r="N293" s="11"/>
    </row>
    <row r="294" ht="15.75" customHeight="1">
      <c r="A294" s="11" t="s">
        <v>283</v>
      </c>
      <c r="B294" s="38">
        <v>102.0</v>
      </c>
      <c r="C294" s="11">
        <f t="shared" si="1"/>
        <v>-0.01544401544</v>
      </c>
      <c r="D294" s="13">
        <f t="shared" si="2"/>
        <v>-0.01544401544</v>
      </c>
      <c r="E294" s="11" t="s">
        <v>283</v>
      </c>
      <c r="F294" s="12">
        <v>17891.95</v>
      </c>
      <c r="G294" s="11">
        <v>-0.012492894</v>
      </c>
      <c r="H294" s="13">
        <v>-0.0125</v>
      </c>
      <c r="J294" s="15"/>
      <c r="K294" s="11"/>
      <c r="L294" s="11"/>
      <c r="M294" s="11"/>
      <c r="N294" s="11"/>
    </row>
    <row r="295" ht="15.75" customHeight="1">
      <c r="A295" s="11" t="s">
        <v>284</v>
      </c>
      <c r="B295" s="38">
        <v>103.6</v>
      </c>
      <c r="C295" s="11">
        <f t="shared" si="1"/>
        <v>0</v>
      </c>
      <c r="D295" s="13">
        <f t="shared" si="2"/>
        <v>0</v>
      </c>
      <c r="E295" s="11" t="s">
        <v>284</v>
      </c>
      <c r="F295" s="12">
        <v>18118.3</v>
      </c>
      <c r="G295" s="45">
        <v>-1.3798E-5</v>
      </c>
      <c r="H295" s="13">
        <v>0.0</v>
      </c>
      <c r="J295" s="15"/>
      <c r="K295" s="11"/>
      <c r="L295" s="11"/>
      <c r="M295" s="11"/>
      <c r="N295" s="11"/>
    </row>
    <row r="296" ht="15.75" customHeight="1">
      <c r="A296" s="11" t="s">
        <v>285</v>
      </c>
      <c r="B296" s="38">
        <v>103.6</v>
      </c>
      <c r="C296" s="11">
        <f t="shared" si="1"/>
        <v>-0.006711409396</v>
      </c>
      <c r="D296" s="13">
        <f t="shared" si="2"/>
        <v>-0.006711409396</v>
      </c>
      <c r="E296" s="11" t="s">
        <v>285</v>
      </c>
      <c r="F296" s="12">
        <v>18118.55</v>
      </c>
      <c r="G296" s="11">
        <v>0.005042255</v>
      </c>
      <c r="H296" s="13">
        <v>0.005</v>
      </c>
      <c r="J296" s="15"/>
      <c r="K296" s="11"/>
      <c r="L296" s="11"/>
      <c r="M296" s="11"/>
      <c r="N296" s="11"/>
    </row>
    <row r="297" ht="15.75" customHeight="1">
      <c r="A297" s="11" t="s">
        <v>286</v>
      </c>
      <c r="B297" s="38">
        <v>104.3</v>
      </c>
      <c r="C297" s="11">
        <f t="shared" si="1"/>
        <v>-0.009496676163</v>
      </c>
      <c r="D297" s="13">
        <f t="shared" si="2"/>
        <v>-0.009496676163</v>
      </c>
      <c r="E297" s="11" t="s">
        <v>286</v>
      </c>
      <c r="F297" s="12">
        <v>18027.65</v>
      </c>
      <c r="G297" s="11">
        <v>-0.004429018</v>
      </c>
      <c r="H297" s="13">
        <v>-0.0044</v>
      </c>
      <c r="J297" s="15"/>
      <c r="K297" s="11"/>
      <c r="L297" s="11"/>
      <c r="M297" s="11"/>
      <c r="N297" s="11"/>
    </row>
    <row r="298" ht="15.75" customHeight="1">
      <c r="A298" s="11" t="s">
        <v>287</v>
      </c>
      <c r="B298" s="38">
        <v>105.3</v>
      </c>
      <c r="C298" s="11">
        <f t="shared" si="1"/>
        <v>0.0009505703422</v>
      </c>
      <c r="D298" s="13">
        <f t="shared" si="2"/>
        <v>0.0009505703422</v>
      </c>
      <c r="E298" s="11" t="s">
        <v>287</v>
      </c>
      <c r="F298" s="12">
        <v>18107.85</v>
      </c>
      <c r="G298" s="11">
        <v>-0.003165367</v>
      </c>
      <c r="H298" s="13">
        <v>-0.0032</v>
      </c>
      <c r="J298" s="15"/>
      <c r="K298" s="11"/>
      <c r="L298" s="11"/>
      <c r="M298" s="11"/>
      <c r="N298" s="11"/>
    </row>
    <row r="299" ht="15.75" customHeight="1">
      <c r="A299" s="11" t="s">
        <v>288</v>
      </c>
      <c r="B299" s="38">
        <v>105.2</v>
      </c>
      <c r="C299" s="11">
        <f t="shared" si="1"/>
        <v>0.0004755111745</v>
      </c>
      <c r="D299" s="13">
        <f t="shared" si="2"/>
        <v>0.0004755111745</v>
      </c>
      <c r="E299" s="11" t="s">
        <v>288</v>
      </c>
      <c r="F299" s="12">
        <v>18165.35</v>
      </c>
      <c r="G299" s="11">
        <v>0.006206622</v>
      </c>
      <c r="H299" s="13">
        <v>0.0062</v>
      </c>
      <c r="J299" s="15"/>
      <c r="K299" s="11"/>
      <c r="L299" s="11"/>
      <c r="M299" s="11"/>
      <c r="N299" s="11"/>
    </row>
    <row r="300" ht="15.75" customHeight="1">
      <c r="A300" s="11" t="s">
        <v>289</v>
      </c>
      <c r="B300" s="38">
        <v>105.15</v>
      </c>
      <c r="C300" s="11">
        <f t="shared" si="1"/>
        <v>-0.01128349788</v>
      </c>
      <c r="D300" s="13">
        <f t="shared" si="2"/>
        <v>-0.01128349788</v>
      </c>
      <c r="E300" s="11" t="s">
        <v>289</v>
      </c>
      <c r="F300" s="12">
        <v>18053.3</v>
      </c>
      <c r="G300" s="11">
        <v>0.008854503</v>
      </c>
      <c r="H300" s="13">
        <v>0.0089</v>
      </c>
      <c r="J300" s="15"/>
      <c r="K300" s="11"/>
      <c r="L300" s="11"/>
      <c r="M300" s="11"/>
      <c r="N300" s="11"/>
    </row>
    <row r="301" ht="15.75" customHeight="1">
      <c r="A301" s="11" t="s">
        <v>290</v>
      </c>
      <c r="B301" s="38">
        <v>106.35</v>
      </c>
      <c r="C301" s="11">
        <f t="shared" si="1"/>
        <v>-0.02743484225</v>
      </c>
      <c r="D301" s="13">
        <f t="shared" si="2"/>
        <v>-0.02743484225</v>
      </c>
      <c r="E301" s="11" t="s">
        <v>290</v>
      </c>
      <c r="F301" s="12">
        <v>17894.85</v>
      </c>
      <c r="G301" s="11">
        <v>-0.003438847</v>
      </c>
      <c r="H301" s="13">
        <v>-0.0034</v>
      </c>
      <c r="J301" s="15"/>
      <c r="K301" s="11"/>
      <c r="L301" s="11"/>
      <c r="M301" s="11"/>
      <c r="N301" s="11"/>
    </row>
    <row r="302" ht="15.75" customHeight="1">
      <c r="A302" s="11" t="s">
        <v>291</v>
      </c>
      <c r="B302" s="38">
        <v>109.35</v>
      </c>
      <c r="C302" s="11">
        <f t="shared" si="1"/>
        <v>0.05499276411</v>
      </c>
      <c r="D302" s="13">
        <f t="shared" si="2"/>
        <v>0.05499276411</v>
      </c>
      <c r="E302" s="11" t="s">
        <v>291</v>
      </c>
      <c r="F302" s="12">
        <v>17956.6</v>
      </c>
      <c r="G302" s="11">
        <v>0.005510074</v>
      </c>
      <c r="H302" s="13">
        <v>0.0055</v>
      </c>
      <c r="J302" s="15"/>
      <c r="K302" s="11"/>
      <c r="L302" s="11"/>
      <c r="M302" s="11"/>
      <c r="N302" s="11"/>
    </row>
    <row r="303" ht="15.75" customHeight="1">
      <c r="A303" s="35">
        <v>45261.0</v>
      </c>
      <c r="B303" s="38">
        <v>103.65</v>
      </c>
      <c r="C303" s="11">
        <f t="shared" si="1"/>
        <v>-0.004322766571</v>
      </c>
      <c r="D303" s="13">
        <f t="shared" si="2"/>
        <v>-0.004322766571</v>
      </c>
      <c r="E303" s="35">
        <v>45261.0</v>
      </c>
      <c r="F303" s="12">
        <v>17858.2</v>
      </c>
      <c r="G303" s="11">
        <v>-0.002095475</v>
      </c>
      <c r="H303" s="13">
        <v>-0.0021</v>
      </c>
      <c r="J303" s="15"/>
      <c r="K303" s="11"/>
      <c r="L303" s="11"/>
      <c r="M303" s="11"/>
      <c r="N303" s="11"/>
    </row>
    <row r="304" ht="15.75" customHeight="1">
      <c r="A304" s="35">
        <v>45231.0</v>
      </c>
      <c r="B304" s="38">
        <v>104.1</v>
      </c>
      <c r="C304" s="11">
        <f t="shared" si="1"/>
        <v>0.009209888512</v>
      </c>
      <c r="D304" s="13">
        <f t="shared" si="2"/>
        <v>0.009209888512</v>
      </c>
      <c r="E304" s="35">
        <v>45231.0</v>
      </c>
      <c r="F304" s="12">
        <v>17895.7</v>
      </c>
      <c r="G304" s="11">
        <v>-0.001029912</v>
      </c>
      <c r="H304" s="13">
        <v>-0.001</v>
      </c>
      <c r="J304" s="15"/>
      <c r="K304" s="11"/>
      <c r="L304" s="11"/>
      <c r="M304" s="11"/>
      <c r="N304" s="11"/>
    </row>
    <row r="305" ht="15.75" customHeight="1">
      <c r="A305" s="35">
        <v>45200.0</v>
      </c>
      <c r="B305" s="38">
        <v>103.15</v>
      </c>
      <c r="C305" s="11">
        <f t="shared" si="1"/>
        <v>-0.000484496124</v>
      </c>
      <c r="D305" s="13">
        <f t="shared" si="2"/>
        <v>-0.000484496124</v>
      </c>
      <c r="E305" s="35">
        <v>45200.0</v>
      </c>
      <c r="F305" s="12">
        <v>17914.15</v>
      </c>
      <c r="G305" s="11">
        <v>-0.010333569</v>
      </c>
      <c r="H305" s="13">
        <v>-0.0103</v>
      </c>
      <c r="J305" s="15"/>
      <c r="K305" s="11"/>
      <c r="L305" s="11"/>
      <c r="M305" s="11"/>
      <c r="N305" s="11"/>
    </row>
    <row r="306" ht="15.75" customHeight="1">
      <c r="A306" s="35">
        <v>45170.0</v>
      </c>
      <c r="B306" s="38">
        <v>103.2</v>
      </c>
      <c r="C306" s="11">
        <f t="shared" si="1"/>
        <v>0.005358012664</v>
      </c>
      <c r="D306" s="13">
        <f t="shared" si="2"/>
        <v>0.005358012664</v>
      </c>
      <c r="E306" s="35">
        <v>45170.0</v>
      </c>
      <c r="F306" s="12">
        <v>18101.2</v>
      </c>
      <c r="G306" s="11">
        <v>0.013536251</v>
      </c>
      <c r="H306" s="13">
        <v>0.0135</v>
      </c>
      <c r="J306" s="15"/>
      <c r="K306" s="11"/>
      <c r="L306" s="11"/>
      <c r="M306" s="11"/>
      <c r="N306" s="11"/>
    </row>
    <row r="307" ht="15.75" customHeight="1">
      <c r="A307" s="35">
        <v>45078.0</v>
      </c>
      <c r="B307" s="38">
        <v>102.65</v>
      </c>
      <c r="C307" s="11">
        <f t="shared" si="1"/>
        <v>-0.01298076923</v>
      </c>
      <c r="D307" s="13">
        <f t="shared" si="2"/>
        <v>-0.01298076923</v>
      </c>
      <c r="E307" s="35">
        <v>45078.0</v>
      </c>
      <c r="F307" s="12">
        <v>17859.45</v>
      </c>
      <c r="G307" s="11">
        <v>-0.007375439</v>
      </c>
      <c r="H307" s="13">
        <v>-0.0074</v>
      </c>
      <c r="J307" s="15"/>
      <c r="K307" s="11"/>
      <c r="L307" s="11"/>
      <c r="M307" s="11"/>
      <c r="N307" s="11"/>
    </row>
    <row r="308" ht="15.75" customHeight="1">
      <c r="A308" s="35">
        <v>45047.0</v>
      </c>
      <c r="B308" s="38">
        <v>104.0</v>
      </c>
      <c r="C308" s="11">
        <f t="shared" si="1"/>
        <v>-0.0009606147935</v>
      </c>
      <c r="D308" s="13">
        <f t="shared" si="2"/>
        <v>-0.0009606147935</v>
      </c>
      <c r="E308" s="35">
        <v>45047.0</v>
      </c>
      <c r="F308" s="12">
        <v>17992.15</v>
      </c>
      <c r="G308" s="11">
        <v>-0.002815504</v>
      </c>
      <c r="H308" s="13">
        <v>-0.0028</v>
      </c>
      <c r="J308" s="15"/>
      <c r="K308" s="11"/>
      <c r="L308" s="11"/>
      <c r="M308" s="11"/>
      <c r="N308" s="11"/>
    </row>
    <row r="309" ht="15.75" customHeight="1">
      <c r="A309" s="35">
        <v>45017.0</v>
      </c>
      <c r="B309" s="38">
        <v>104.1</v>
      </c>
      <c r="C309" s="11">
        <f t="shared" si="1"/>
        <v>-0.01045627376</v>
      </c>
      <c r="D309" s="13">
        <f t="shared" si="2"/>
        <v>-0.01045627376</v>
      </c>
      <c r="E309" s="35">
        <v>45017.0</v>
      </c>
      <c r="F309" s="12">
        <v>18042.95</v>
      </c>
      <c r="G309" s="11">
        <v>-0.010398984</v>
      </c>
      <c r="H309" s="13">
        <v>-0.0104</v>
      </c>
      <c r="J309" s="15"/>
      <c r="K309" s="11"/>
      <c r="L309" s="11"/>
      <c r="M309" s="11"/>
      <c r="N309" s="11"/>
    </row>
    <row r="310" ht="15.75" customHeight="1">
      <c r="A310" s="35">
        <v>44986.0</v>
      </c>
      <c r="B310" s="38">
        <v>105.2</v>
      </c>
      <c r="C310" s="11">
        <f t="shared" si="1"/>
        <v>-0.01081335214</v>
      </c>
      <c r="D310" s="13">
        <f t="shared" si="2"/>
        <v>-0.01081335214</v>
      </c>
      <c r="E310" s="35">
        <v>44986.0</v>
      </c>
      <c r="F310" s="12">
        <v>18232.55</v>
      </c>
      <c r="G310" s="11">
        <v>0.001928842</v>
      </c>
      <c r="H310" s="13">
        <v>0.0019</v>
      </c>
      <c r="J310" s="15"/>
      <c r="K310" s="11"/>
      <c r="L310" s="11"/>
      <c r="M310" s="11"/>
      <c r="N310" s="11"/>
    </row>
    <row r="311" ht="15.75" customHeight="1">
      <c r="A311" s="35">
        <v>44958.0</v>
      </c>
      <c r="B311" s="38">
        <v>106.35</v>
      </c>
      <c r="C311" s="11">
        <f t="shared" si="1"/>
        <v>0.02654440154</v>
      </c>
      <c r="D311" s="13">
        <f t="shared" si="2"/>
        <v>0.02654440154</v>
      </c>
      <c r="E311" s="35">
        <v>44958.0</v>
      </c>
      <c r="F311" s="12">
        <v>18197.45</v>
      </c>
      <c r="G311" s="11">
        <v>0.00508967</v>
      </c>
      <c r="H311" s="13">
        <v>0.0051</v>
      </c>
      <c r="J311" s="15"/>
      <c r="K311" s="11"/>
      <c r="L311" s="11"/>
      <c r="M311" s="11"/>
      <c r="N311" s="11"/>
    </row>
    <row r="312" ht="15.75" customHeight="1">
      <c r="A312" s="11" t="s">
        <v>292</v>
      </c>
      <c r="B312" s="38">
        <v>103.6</v>
      </c>
      <c r="C312" s="11">
        <f t="shared" si="1"/>
        <v>0.004849660524</v>
      </c>
      <c r="D312" s="13">
        <f t="shared" si="2"/>
        <v>0.004849660524</v>
      </c>
      <c r="E312" s="11" t="s">
        <v>292</v>
      </c>
      <c r="F312" s="12">
        <v>18105.3</v>
      </c>
      <c r="G312" s="11">
        <v>-0.004711121</v>
      </c>
      <c r="H312" s="13">
        <v>-0.0047</v>
      </c>
      <c r="J312" s="15"/>
      <c r="K312" s="11"/>
      <c r="L312" s="11"/>
      <c r="M312" s="11"/>
      <c r="N312" s="11"/>
    </row>
    <row r="313" ht="15.75" customHeight="1">
      <c r="A313" s="11" t="s">
        <v>293</v>
      </c>
      <c r="B313" s="38">
        <v>103.1</v>
      </c>
      <c r="C313" s="11">
        <f t="shared" si="1"/>
        <v>-0.01055662188</v>
      </c>
      <c r="D313" s="13">
        <f t="shared" si="2"/>
        <v>-0.01055662188</v>
      </c>
      <c r="E313" s="11" t="s">
        <v>293</v>
      </c>
      <c r="F313" s="12">
        <v>18191.0</v>
      </c>
      <c r="G313" s="11">
        <v>0.003779832</v>
      </c>
      <c r="H313" s="13">
        <v>0.0038</v>
      </c>
      <c r="J313" s="15"/>
      <c r="K313" s="11"/>
      <c r="L313" s="11"/>
      <c r="M313" s="11"/>
      <c r="N313" s="11"/>
    </row>
    <row r="314" ht="15.75" customHeight="1">
      <c r="A314" s="11" t="s">
        <v>294</v>
      </c>
      <c r="B314" s="38">
        <v>104.2</v>
      </c>
      <c r="C314" s="11">
        <f t="shared" si="1"/>
        <v>0.01165048544</v>
      </c>
      <c r="D314" s="13">
        <f t="shared" si="2"/>
        <v>0.01165048544</v>
      </c>
      <c r="E314" s="11" t="s">
        <v>294</v>
      </c>
      <c r="F314" s="12">
        <v>18122.5</v>
      </c>
      <c r="G314" s="11">
        <v>-5.40472E-4</v>
      </c>
      <c r="H314" s="13">
        <v>-5.0E-4</v>
      </c>
      <c r="J314" s="15"/>
      <c r="K314" s="11"/>
      <c r="L314" s="11"/>
      <c r="M314" s="11"/>
      <c r="N314" s="11"/>
    </row>
    <row r="315" ht="15.75" customHeight="1">
      <c r="A315" s="11" t="s">
        <v>295</v>
      </c>
      <c r="B315" s="38">
        <v>103.0</v>
      </c>
      <c r="C315" s="11">
        <f t="shared" si="1"/>
        <v>0.007334963325</v>
      </c>
      <c r="D315" s="13">
        <f t="shared" si="2"/>
        <v>0.007334963325</v>
      </c>
      <c r="E315" s="11" t="s">
        <v>295</v>
      </c>
      <c r="F315" s="12">
        <v>18132.3</v>
      </c>
      <c r="G315" s="11">
        <v>0.006533589</v>
      </c>
      <c r="H315" s="13">
        <v>0.0065</v>
      </c>
      <c r="J315" s="15"/>
      <c r="K315" s="11"/>
      <c r="L315" s="11"/>
      <c r="M315" s="11"/>
      <c r="N315" s="11"/>
    </row>
    <row r="316" ht="15.75" customHeight="1">
      <c r="A316" s="11" t="s">
        <v>296</v>
      </c>
      <c r="B316" s="38">
        <v>102.25</v>
      </c>
      <c r="C316" s="11">
        <f t="shared" si="1"/>
        <v>0.03859827324</v>
      </c>
      <c r="D316" s="13">
        <f t="shared" si="2"/>
        <v>0.03859827324</v>
      </c>
      <c r="E316" s="11" t="s">
        <v>296</v>
      </c>
      <c r="F316" s="12">
        <v>18014.6</v>
      </c>
      <c r="G316" s="11">
        <v>0.011669699</v>
      </c>
      <c r="H316" s="13">
        <v>0.0117</v>
      </c>
      <c r="J316" s="15"/>
      <c r="K316" s="11"/>
      <c r="L316" s="11"/>
      <c r="M316" s="11"/>
      <c r="N316" s="11"/>
    </row>
    <row r="317" ht="15.75" customHeight="1">
      <c r="A317" s="11" t="s">
        <v>297</v>
      </c>
      <c r="B317" s="38">
        <v>98.45</v>
      </c>
      <c r="C317" s="11">
        <f t="shared" si="1"/>
        <v>-0.082906381</v>
      </c>
      <c r="D317" s="13">
        <f t="shared" si="2"/>
        <v>-0.082906381</v>
      </c>
      <c r="E317" s="11" t="s">
        <v>297</v>
      </c>
      <c r="F317" s="12">
        <v>17806.8</v>
      </c>
      <c r="G317" s="11">
        <v>-0.017683225</v>
      </c>
      <c r="H317" s="13">
        <v>-0.0177</v>
      </c>
      <c r="J317" s="15"/>
      <c r="K317" s="11"/>
      <c r="L317" s="11"/>
      <c r="M317" s="11"/>
      <c r="N317" s="11"/>
    </row>
    <row r="318" ht="15.75" customHeight="1">
      <c r="A318" s="11" t="s">
        <v>298</v>
      </c>
      <c r="B318" s="38">
        <v>107.35</v>
      </c>
      <c r="C318" s="11">
        <f t="shared" si="1"/>
        <v>0.01178133836</v>
      </c>
      <c r="D318" s="13">
        <f t="shared" si="2"/>
        <v>0.01178133836</v>
      </c>
      <c r="E318" s="11" t="s">
        <v>298</v>
      </c>
      <c r="F318" s="12">
        <v>18127.35</v>
      </c>
      <c r="G318" s="11">
        <v>-0.003942503</v>
      </c>
      <c r="H318" s="13">
        <v>-0.0039</v>
      </c>
      <c r="J318" s="15"/>
      <c r="K318" s="11"/>
      <c r="L318" s="11"/>
      <c r="M318" s="11"/>
      <c r="N318" s="11"/>
    </row>
    <row r="319" ht="15.75" customHeight="1">
      <c r="A319" s="11" t="s">
        <v>299</v>
      </c>
      <c r="B319" s="38">
        <v>106.1</v>
      </c>
      <c r="C319" s="11">
        <f t="shared" si="1"/>
        <v>-0.03501591633</v>
      </c>
      <c r="D319" s="13">
        <f t="shared" si="2"/>
        <v>-0.03501591633</v>
      </c>
      <c r="E319" s="11" t="s">
        <v>299</v>
      </c>
      <c r="F319" s="12">
        <v>18199.1</v>
      </c>
      <c r="G319" s="11">
        <v>-0.010127656</v>
      </c>
      <c r="H319" s="13">
        <v>-0.0101</v>
      </c>
      <c r="J319" s="15"/>
      <c r="K319" s="11"/>
      <c r="L319" s="11"/>
      <c r="M319" s="11"/>
      <c r="N319" s="11"/>
    </row>
    <row r="320" ht="15.75" customHeight="1">
      <c r="A320" s="11" t="s">
        <v>300</v>
      </c>
      <c r="B320" s="38">
        <v>109.95</v>
      </c>
      <c r="C320" s="11">
        <f t="shared" si="1"/>
        <v>-0.0004545454545</v>
      </c>
      <c r="D320" s="13">
        <f t="shared" si="2"/>
        <v>-0.0004545454545</v>
      </c>
      <c r="E320" s="11" t="s">
        <v>300</v>
      </c>
      <c r="F320" s="12">
        <v>18385.3</v>
      </c>
      <c r="G320" s="11">
        <v>-0.001908205</v>
      </c>
      <c r="H320" s="13">
        <v>-0.0019</v>
      </c>
      <c r="J320" s="15"/>
      <c r="K320" s="11"/>
      <c r="L320" s="11"/>
      <c r="M320" s="11"/>
      <c r="N320" s="11"/>
    </row>
    <row r="321" ht="15.75" customHeight="1">
      <c r="A321" s="11" t="s">
        <v>301</v>
      </c>
      <c r="B321" s="38">
        <v>110.0</v>
      </c>
      <c r="C321" s="11">
        <f t="shared" si="1"/>
        <v>0.007326007326</v>
      </c>
      <c r="D321" s="13">
        <f t="shared" si="2"/>
        <v>0.007326007326</v>
      </c>
      <c r="E321" s="11" t="s">
        <v>301</v>
      </c>
      <c r="F321" s="12">
        <v>18420.45</v>
      </c>
      <c r="G321" s="11">
        <v>0.008289999</v>
      </c>
      <c r="H321" s="13">
        <v>0.0083</v>
      </c>
      <c r="J321" s="15"/>
      <c r="K321" s="11"/>
      <c r="L321" s="11"/>
      <c r="M321" s="11"/>
      <c r="N321" s="11"/>
    </row>
    <row r="322" ht="15.75" customHeight="1">
      <c r="A322" s="11" t="s">
        <v>302</v>
      </c>
      <c r="B322" s="38">
        <v>109.2</v>
      </c>
      <c r="C322" s="11">
        <f t="shared" si="1"/>
        <v>-0.02281879195</v>
      </c>
      <c r="D322" s="13">
        <f t="shared" si="2"/>
        <v>-0.02281879195</v>
      </c>
      <c r="E322" s="11" t="s">
        <v>302</v>
      </c>
      <c r="F322" s="12">
        <v>18269.0</v>
      </c>
      <c r="G322" s="11">
        <v>-0.007922932</v>
      </c>
      <c r="H322" s="13">
        <v>-0.0079</v>
      </c>
      <c r="J322" s="15"/>
      <c r="K322" s="11"/>
      <c r="L322" s="11"/>
      <c r="M322" s="11"/>
      <c r="N322" s="11"/>
    </row>
    <row r="323" ht="15.75" customHeight="1">
      <c r="A323" s="11" t="s">
        <v>303</v>
      </c>
      <c r="B323" s="38">
        <v>111.75</v>
      </c>
      <c r="C323" s="11">
        <f t="shared" si="1"/>
        <v>0.004946043165</v>
      </c>
      <c r="D323" s="13">
        <f t="shared" si="2"/>
        <v>0.004946043165</v>
      </c>
      <c r="E323" s="11" t="s">
        <v>303</v>
      </c>
      <c r="F323" s="12">
        <v>18414.9</v>
      </c>
      <c r="G323" s="11">
        <v>-0.013150914</v>
      </c>
      <c r="H323" s="13">
        <v>-0.0132</v>
      </c>
      <c r="J323" s="15"/>
      <c r="K323" s="11"/>
      <c r="L323" s="11"/>
      <c r="M323" s="11"/>
      <c r="N323" s="11"/>
    </row>
    <row r="324" ht="15.75" customHeight="1">
      <c r="A324" s="11" t="s">
        <v>304</v>
      </c>
      <c r="B324" s="38">
        <v>111.2</v>
      </c>
      <c r="C324" s="11">
        <f t="shared" si="1"/>
        <v>-0.004476275739</v>
      </c>
      <c r="D324" s="13">
        <f t="shared" si="2"/>
        <v>-0.004476275739</v>
      </c>
      <c r="E324" s="11" t="s">
        <v>304</v>
      </c>
      <c r="F324" s="12">
        <v>18660.3</v>
      </c>
      <c r="G324" s="11">
        <v>0.002810619</v>
      </c>
      <c r="H324" s="13">
        <v>0.0028</v>
      </c>
      <c r="J324" s="15"/>
      <c r="K324" s="11"/>
      <c r="L324" s="11"/>
      <c r="M324" s="11"/>
      <c r="N324" s="11"/>
    </row>
    <row r="325" ht="15.75" customHeight="1">
      <c r="A325" s="11" t="s">
        <v>305</v>
      </c>
      <c r="B325" s="38">
        <v>111.7</v>
      </c>
      <c r="C325" s="11">
        <f t="shared" si="1"/>
        <v>0.001793721973</v>
      </c>
      <c r="D325" s="13">
        <f t="shared" si="2"/>
        <v>0.001793721973</v>
      </c>
      <c r="E325" s="11" t="s">
        <v>305</v>
      </c>
      <c r="F325" s="12">
        <v>18608.0</v>
      </c>
      <c r="G325" s="11">
        <v>0.005992815</v>
      </c>
      <c r="H325" s="13">
        <v>0.006</v>
      </c>
      <c r="J325" s="15"/>
      <c r="K325" s="11"/>
      <c r="L325" s="11"/>
      <c r="M325" s="11"/>
      <c r="N325" s="11"/>
    </row>
    <row r="326" ht="15.75" customHeight="1">
      <c r="A326" s="55">
        <v>44907.0</v>
      </c>
      <c r="B326" s="38">
        <v>111.5</v>
      </c>
      <c r="C326" s="11">
        <f t="shared" si="1"/>
        <v>0.01179673321</v>
      </c>
      <c r="D326" s="13">
        <f t="shared" si="2"/>
        <v>0.01179673321</v>
      </c>
      <c r="E326" s="55">
        <v>44907.0</v>
      </c>
      <c r="F326" s="12">
        <v>18497.15</v>
      </c>
      <c r="G326" s="45">
        <v>2.97352E-5</v>
      </c>
      <c r="H326" s="13">
        <v>0.0</v>
      </c>
      <c r="J326" s="15"/>
      <c r="K326" s="11"/>
      <c r="L326" s="11"/>
      <c r="M326" s="11"/>
      <c r="N326" s="11"/>
    </row>
    <row r="327" ht="15.75" customHeight="1">
      <c r="A327" s="35">
        <v>44816.0</v>
      </c>
      <c r="B327" s="38">
        <v>110.2</v>
      </c>
      <c r="C327" s="11">
        <f t="shared" si="1"/>
        <v>-0.02821869489</v>
      </c>
      <c r="D327" s="13">
        <f t="shared" si="2"/>
        <v>-0.02821869489</v>
      </c>
      <c r="E327" s="35">
        <v>44816.0</v>
      </c>
      <c r="F327" s="12">
        <v>18496.6</v>
      </c>
      <c r="G327" s="11">
        <v>-0.006058782</v>
      </c>
      <c r="H327" s="13">
        <v>-0.0061</v>
      </c>
      <c r="J327" s="15"/>
      <c r="K327" s="11"/>
      <c r="L327" s="11"/>
      <c r="M327" s="11"/>
      <c r="N327" s="11"/>
    </row>
    <row r="328" ht="15.75" customHeight="1">
      <c r="A328" s="35">
        <v>44785.0</v>
      </c>
      <c r="B328" s="38">
        <v>113.4</v>
      </c>
      <c r="C328" s="11">
        <f t="shared" si="1"/>
        <v>-0.004389815628</v>
      </c>
      <c r="D328" s="13">
        <f t="shared" si="2"/>
        <v>-0.004389815628</v>
      </c>
      <c r="E328" s="35">
        <v>44785.0</v>
      </c>
      <c r="F328" s="12">
        <v>18609.35</v>
      </c>
      <c r="G328" s="11">
        <v>0.002631933</v>
      </c>
      <c r="H328" s="13">
        <v>0.0026</v>
      </c>
      <c r="J328" s="15"/>
      <c r="K328" s="11"/>
      <c r="L328" s="11"/>
      <c r="M328" s="11"/>
      <c r="N328" s="11"/>
    </row>
    <row r="329" ht="15.75" customHeight="1">
      <c r="A329" s="35">
        <v>44754.0</v>
      </c>
      <c r="B329" s="38">
        <v>113.9</v>
      </c>
      <c r="C329" s="11">
        <f t="shared" si="1"/>
        <v>-0.003499562555</v>
      </c>
      <c r="D329" s="13">
        <f t="shared" si="2"/>
        <v>-0.003499562555</v>
      </c>
      <c r="E329" s="35">
        <v>44754.0</v>
      </c>
      <c r="F329" s="12">
        <v>18560.5</v>
      </c>
      <c r="G329" s="11">
        <v>-0.004411903</v>
      </c>
      <c r="H329" s="13">
        <v>-0.0044</v>
      </c>
      <c r="J329" s="15"/>
      <c r="K329" s="11"/>
      <c r="L329" s="11"/>
      <c r="M329" s="11"/>
      <c r="N329" s="11"/>
    </row>
    <row r="330" ht="15.75" customHeight="1">
      <c r="A330" s="35">
        <v>44724.0</v>
      </c>
      <c r="B330" s="38">
        <v>114.3</v>
      </c>
      <c r="C330" s="11">
        <f t="shared" si="1"/>
        <v>0.002631578947</v>
      </c>
      <c r="D330" s="13">
        <f t="shared" si="2"/>
        <v>0.002631578947</v>
      </c>
      <c r="E330" s="35">
        <v>44724.0</v>
      </c>
      <c r="F330" s="12">
        <v>18642.75</v>
      </c>
      <c r="G330" s="11">
        <v>-0.003117472</v>
      </c>
      <c r="H330" s="13">
        <v>-0.0031</v>
      </c>
      <c r="J330" s="15"/>
      <c r="K330" s="11"/>
      <c r="L330" s="11"/>
      <c r="M330" s="11"/>
      <c r="N330" s="11"/>
    </row>
    <row r="331" ht="15.75" customHeight="1">
      <c r="A331" s="35">
        <v>44693.0</v>
      </c>
      <c r="B331" s="38">
        <v>114.0</v>
      </c>
      <c r="C331" s="11">
        <f t="shared" si="1"/>
        <v>-0.004366812227</v>
      </c>
      <c r="D331" s="13">
        <f t="shared" si="2"/>
        <v>-0.004366812227</v>
      </c>
      <c r="E331" s="35">
        <v>44693.0</v>
      </c>
      <c r="F331" s="12">
        <v>18701.05</v>
      </c>
      <c r="G331" s="11">
        <v>2.64761E-4</v>
      </c>
      <c r="H331" s="13">
        <v>3.0E-4</v>
      </c>
      <c r="J331" s="15"/>
      <c r="K331" s="11"/>
      <c r="L331" s="11"/>
      <c r="M331" s="11"/>
      <c r="N331" s="11"/>
    </row>
    <row r="332" ht="15.75" customHeight="1">
      <c r="A332" s="35">
        <v>44604.0</v>
      </c>
      <c r="B332" s="38">
        <v>114.5</v>
      </c>
      <c r="C332" s="11">
        <f t="shared" si="1"/>
        <v>-0.009086975335</v>
      </c>
      <c r="D332" s="13">
        <f t="shared" si="2"/>
        <v>-0.009086975335</v>
      </c>
      <c r="E332" s="35">
        <v>44604.0</v>
      </c>
      <c r="F332" s="12">
        <v>18696.1</v>
      </c>
      <c r="G332" s="11">
        <v>-0.006187375</v>
      </c>
      <c r="H332" s="13">
        <v>-0.0062</v>
      </c>
      <c r="J332" s="15"/>
      <c r="K332" s="11"/>
      <c r="L332" s="11"/>
      <c r="M332" s="11"/>
      <c r="N332" s="11"/>
    </row>
    <row r="333" ht="15.75" customHeight="1">
      <c r="A333" s="35">
        <v>44573.0</v>
      </c>
      <c r="B333" s="38">
        <v>115.55</v>
      </c>
      <c r="C333" s="11">
        <f t="shared" si="1"/>
        <v>0.01226456417</v>
      </c>
      <c r="D333" s="13">
        <f t="shared" si="2"/>
        <v>0.01226456417</v>
      </c>
      <c r="E333" s="35">
        <v>44573.0</v>
      </c>
      <c r="F333" s="12">
        <v>18812.5</v>
      </c>
      <c r="G333" s="11">
        <v>0.002886714</v>
      </c>
      <c r="H333" s="13">
        <v>0.0029</v>
      </c>
      <c r="J333" s="15"/>
      <c r="K333" s="11"/>
      <c r="L333" s="11"/>
      <c r="M333" s="11"/>
      <c r="N333" s="11"/>
    </row>
    <row r="334" ht="15.75" customHeight="1">
      <c r="A334" s="11" t="s">
        <v>306</v>
      </c>
      <c r="B334" s="38">
        <v>114.15</v>
      </c>
      <c r="C334" s="11">
        <f t="shared" si="1"/>
        <v>-0.001749016178</v>
      </c>
      <c r="D334" s="13">
        <f t="shared" si="2"/>
        <v>-0.001749016178</v>
      </c>
      <c r="E334" s="11" t="s">
        <v>306</v>
      </c>
      <c r="F334" s="12">
        <v>18758.35</v>
      </c>
      <c r="G334" s="11">
        <v>0.007535698</v>
      </c>
      <c r="H334" s="13">
        <v>0.0075</v>
      </c>
      <c r="J334" s="15"/>
      <c r="K334" s="11"/>
      <c r="L334" s="11"/>
      <c r="M334" s="11"/>
      <c r="N334" s="11"/>
    </row>
    <row r="335" ht="15.75" customHeight="1">
      <c r="A335" s="11" t="s">
        <v>307</v>
      </c>
      <c r="B335" s="38">
        <v>114.35</v>
      </c>
      <c r="C335" s="11">
        <f t="shared" si="1"/>
        <v>-0.007378472222</v>
      </c>
      <c r="D335" s="13">
        <f t="shared" si="2"/>
        <v>-0.007378472222</v>
      </c>
      <c r="E335" s="11" t="s">
        <v>307</v>
      </c>
      <c r="F335" s="12">
        <v>18618.05</v>
      </c>
      <c r="G335" s="11">
        <v>0.002979084</v>
      </c>
      <c r="H335" s="13">
        <v>0.003</v>
      </c>
      <c r="J335" s="15"/>
      <c r="K335" s="11"/>
      <c r="L335" s="11"/>
      <c r="M335" s="11"/>
      <c r="N335" s="11"/>
    </row>
    <row r="336" ht="15.75" customHeight="1">
      <c r="A336" s="11" t="s">
        <v>308</v>
      </c>
      <c r="B336" s="38">
        <v>115.2</v>
      </c>
      <c r="C336" s="11">
        <f t="shared" si="1"/>
        <v>0.03457566233</v>
      </c>
      <c r="D336" s="13">
        <f t="shared" si="2"/>
        <v>0.03457566233</v>
      </c>
      <c r="E336" s="11" t="s">
        <v>308</v>
      </c>
      <c r="F336" s="12">
        <v>18562.75</v>
      </c>
      <c r="G336" s="11">
        <v>0.002700841</v>
      </c>
      <c r="H336" s="13">
        <v>0.0027</v>
      </c>
      <c r="J336" s="15"/>
      <c r="K336" s="11"/>
      <c r="L336" s="11"/>
      <c r="M336" s="11"/>
      <c r="N336" s="11"/>
    </row>
    <row r="337" ht="15.75" customHeight="1">
      <c r="A337" s="11" t="s">
        <v>309</v>
      </c>
      <c r="B337" s="38">
        <v>111.35</v>
      </c>
      <c r="C337" s="11">
        <f t="shared" si="1"/>
        <v>-0.003133393017</v>
      </c>
      <c r="D337" s="13">
        <f t="shared" si="2"/>
        <v>-0.003133393017</v>
      </c>
      <c r="E337" s="11" t="s">
        <v>309</v>
      </c>
      <c r="F337" s="12">
        <v>18512.75</v>
      </c>
      <c r="G337" s="11">
        <v>0.001549981</v>
      </c>
      <c r="H337" s="13">
        <v>0.0016</v>
      </c>
      <c r="J337" s="15"/>
      <c r="K337" s="11"/>
      <c r="L337" s="11"/>
      <c r="M337" s="11"/>
      <c r="N337" s="11"/>
    </row>
    <row r="338" ht="15.75" customHeight="1">
      <c r="A338" s="11" t="s">
        <v>310</v>
      </c>
      <c r="B338" s="38">
        <v>111.7</v>
      </c>
      <c r="C338" s="11">
        <f t="shared" si="1"/>
        <v>0.002243158367</v>
      </c>
      <c r="D338" s="13">
        <f t="shared" si="2"/>
        <v>0.002243158367</v>
      </c>
      <c r="E338" s="11" t="s">
        <v>310</v>
      </c>
      <c r="F338" s="12">
        <v>18484.1</v>
      </c>
      <c r="G338" s="11">
        <v>0.011870971</v>
      </c>
      <c r="H338" s="13">
        <v>0.0119</v>
      </c>
      <c r="J338" s="15"/>
      <c r="K338" s="11"/>
      <c r="L338" s="11"/>
      <c r="M338" s="11"/>
      <c r="N338" s="11"/>
    </row>
    <row r="339" ht="15.75" customHeight="1">
      <c r="A339" s="11" t="s">
        <v>311</v>
      </c>
      <c r="B339" s="38">
        <v>111.45</v>
      </c>
      <c r="C339" s="11">
        <f t="shared" si="1"/>
        <v>0.02861098293</v>
      </c>
      <c r="D339" s="13">
        <f t="shared" si="2"/>
        <v>0.02861098293</v>
      </c>
      <c r="E339" s="11" t="s">
        <v>311</v>
      </c>
      <c r="F339" s="12">
        <v>18267.25</v>
      </c>
      <c r="G339" s="11">
        <v>0.001263415</v>
      </c>
      <c r="H339" s="13">
        <v>0.0013</v>
      </c>
      <c r="J339" s="15"/>
      <c r="K339" s="11"/>
      <c r="L339" s="11"/>
      <c r="M339" s="11"/>
      <c r="N339" s="11"/>
    </row>
    <row r="340" ht="15.75" customHeight="1">
      <c r="A340" s="11" t="s">
        <v>312</v>
      </c>
      <c r="B340" s="38">
        <v>108.35</v>
      </c>
      <c r="C340" s="11">
        <f t="shared" si="1"/>
        <v>-0.007783882784</v>
      </c>
      <c r="D340" s="13">
        <f t="shared" si="2"/>
        <v>-0.007783882784</v>
      </c>
      <c r="E340" s="11" t="s">
        <v>312</v>
      </c>
      <c r="F340" s="12">
        <v>18244.2</v>
      </c>
      <c r="G340" s="11">
        <v>0.00463933</v>
      </c>
      <c r="H340" s="13">
        <v>0.0046</v>
      </c>
      <c r="J340" s="15"/>
      <c r="K340" s="11"/>
      <c r="L340" s="11"/>
      <c r="M340" s="11"/>
      <c r="N340" s="11"/>
    </row>
    <row r="341" ht="15.75" customHeight="1">
      <c r="A341" s="11" t="s">
        <v>313</v>
      </c>
      <c r="B341" s="38">
        <v>109.2</v>
      </c>
      <c r="C341" s="11">
        <f t="shared" si="1"/>
        <v>0.003215434084</v>
      </c>
      <c r="D341" s="13">
        <f t="shared" si="2"/>
        <v>0.003215434084</v>
      </c>
      <c r="E341" s="11" t="s">
        <v>313</v>
      </c>
      <c r="F341" s="12">
        <v>18159.95</v>
      </c>
      <c r="G341" s="11">
        <v>-0.008067666</v>
      </c>
      <c r="H341" s="13">
        <v>-0.0081</v>
      </c>
      <c r="J341" s="15"/>
      <c r="K341" s="11"/>
      <c r="L341" s="11"/>
      <c r="M341" s="11"/>
      <c r="N341" s="11"/>
    </row>
    <row r="342" ht="15.75" customHeight="1">
      <c r="A342" s="11" t="s">
        <v>314</v>
      </c>
      <c r="B342" s="38">
        <v>108.85</v>
      </c>
      <c r="C342" s="11">
        <f t="shared" si="1"/>
        <v>-0.01671183379</v>
      </c>
      <c r="D342" s="13">
        <f t="shared" si="2"/>
        <v>-0.01671183379</v>
      </c>
      <c r="E342" s="11" t="s">
        <v>314</v>
      </c>
      <c r="F342" s="12">
        <v>18307.65</v>
      </c>
      <c r="G342" s="11">
        <v>-0.001976134</v>
      </c>
      <c r="H342" s="13">
        <v>-0.002</v>
      </c>
      <c r="J342" s="15"/>
      <c r="K342" s="11"/>
      <c r="L342" s="11"/>
      <c r="M342" s="11"/>
      <c r="N342" s="11"/>
    </row>
    <row r="343" ht="15.75" customHeight="1">
      <c r="A343" s="11" t="s">
        <v>315</v>
      </c>
      <c r="B343" s="38">
        <v>110.7</v>
      </c>
      <c r="C343" s="11">
        <f t="shared" si="1"/>
        <v>-0.006729475101</v>
      </c>
      <c r="D343" s="13">
        <f t="shared" si="2"/>
        <v>-0.006729475101</v>
      </c>
      <c r="E343" s="11" t="s">
        <v>315</v>
      </c>
      <c r="F343" s="12">
        <v>18343.9</v>
      </c>
      <c r="G343" s="11">
        <v>-0.003571496</v>
      </c>
      <c r="H343" s="13">
        <v>-0.0036</v>
      </c>
      <c r="J343" s="15"/>
      <c r="K343" s="11"/>
      <c r="L343" s="11"/>
      <c r="M343" s="11"/>
      <c r="N343" s="11"/>
    </row>
    <row r="344" ht="15.75" customHeight="1">
      <c r="A344" s="11" t="s">
        <v>316</v>
      </c>
      <c r="B344" s="38">
        <v>111.45</v>
      </c>
      <c r="C344" s="11">
        <f t="shared" si="1"/>
        <v>0.03051317614</v>
      </c>
      <c r="D344" s="13">
        <f t="shared" si="2"/>
        <v>0.03051317614</v>
      </c>
      <c r="E344" s="11" t="s">
        <v>316</v>
      </c>
      <c r="F344" s="12">
        <v>18409.65</v>
      </c>
      <c r="G344" s="11">
        <v>3.39611E-4</v>
      </c>
      <c r="H344" s="13">
        <v>3.0E-4</v>
      </c>
      <c r="J344" s="15"/>
      <c r="K344" s="11"/>
      <c r="L344" s="11"/>
      <c r="M344" s="11"/>
      <c r="N344" s="11"/>
    </row>
    <row r="345" ht="15.75" customHeight="1">
      <c r="A345" s="11" t="s">
        <v>317</v>
      </c>
      <c r="B345" s="38">
        <v>108.15</v>
      </c>
      <c r="C345" s="11">
        <f t="shared" si="1"/>
        <v>-0.009161704077</v>
      </c>
      <c r="D345" s="13">
        <f t="shared" si="2"/>
        <v>-0.009161704077</v>
      </c>
      <c r="E345" s="11" t="s">
        <v>317</v>
      </c>
      <c r="F345" s="12">
        <v>18403.4</v>
      </c>
      <c r="G345" s="11">
        <v>0.004050924</v>
      </c>
      <c r="H345" s="13">
        <v>0.0041</v>
      </c>
      <c r="J345" s="15"/>
      <c r="K345" s="11"/>
      <c r="L345" s="11"/>
      <c r="M345" s="11"/>
      <c r="N345" s="11"/>
    </row>
    <row r="346" ht="15.75" customHeight="1">
      <c r="A346" s="11" t="s">
        <v>318</v>
      </c>
      <c r="B346" s="38">
        <v>109.15</v>
      </c>
      <c r="C346" s="11">
        <f t="shared" si="1"/>
        <v>-0.01577998197</v>
      </c>
      <c r="D346" s="13">
        <f t="shared" si="2"/>
        <v>-0.01577998197</v>
      </c>
      <c r="E346" s="11" t="s">
        <v>318</v>
      </c>
      <c r="F346" s="12">
        <v>18329.15</v>
      </c>
      <c r="G346" s="11">
        <v>-0.001119909</v>
      </c>
      <c r="H346" s="13">
        <v>-0.0011</v>
      </c>
      <c r="J346" s="15"/>
      <c r="K346" s="11"/>
      <c r="L346" s="11"/>
      <c r="M346" s="11"/>
      <c r="N346" s="11"/>
    </row>
    <row r="347" ht="15.75" customHeight="1">
      <c r="A347" s="55">
        <v>44876.0</v>
      </c>
      <c r="B347" s="38">
        <v>110.9</v>
      </c>
      <c r="C347" s="11">
        <f t="shared" si="1"/>
        <v>0.01278538813</v>
      </c>
      <c r="D347" s="13">
        <f t="shared" si="2"/>
        <v>0.01278538813</v>
      </c>
      <c r="E347" s="55">
        <v>44876.0</v>
      </c>
      <c r="F347" s="12">
        <v>18349.7</v>
      </c>
      <c r="G347" s="11">
        <v>0.017833172</v>
      </c>
      <c r="H347" s="13">
        <v>0.0178</v>
      </c>
      <c r="J347" s="15"/>
      <c r="K347" s="11"/>
      <c r="L347" s="11"/>
      <c r="M347" s="11"/>
      <c r="N347" s="11"/>
    </row>
    <row r="348" ht="15.75" customHeight="1">
      <c r="A348" s="55">
        <v>44845.0</v>
      </c>
      <c r="B348" s="38">
        <v>109.5</v>
      </c>
      <c r="C348" s="11">
        <f t="shared" si="1"/>
        <v>-0.008152173913</v>
      </c>
      <c r="D348" s="13">
        <f t="shared" si="2"/>
        <v>-0.008152173913</v>
      </c>
      <c r="E348" s="55">
        <v>44845.0</v>
      </c>
      <c r="F348" s="12">
        <v>18028.2</v>
      </c>
      <c r="G348" s="11">
        <v>-0.007093683</v>
      </c>
      <c r="H348" s="13">
        <v>-0.0071</v>
      </c>
      <c r="J348" s="15"/>
      <c r="K348" s="11"/>
      <c r="L348" s="11"/>
      <c r="M348" s="11"/>
      <c r="N348" s="11"/>
    </row>
    <row r="349" ht="15.75" customHeight="1">
      <c r="A349" s="35">
        <v>44815.0</v>
      </c>
      <c r="B349" s="38">
        <v>110.4</v>
      </c>
      <c r="C349" s="11">
        <f t="shared" si="1"/>
        <v>-0.0009049773756</v>
      </c>
      <c r="D349" s="13">
        <f t="shared" si="2"/>
        <v>-0.0009049773756</v>
      </c>
      <c r="E349" s="35">
        <v>44815.0</v>
      </c>
      <c r="F349" s="12">
        <v>18157.0</v>
      </c>
      <c r="G349" s="11">
        <v>-0.002516096</v>
      </c>
      <c r="H349" s="13">
        <v>-0.0025</v>
      </c>
      <c r="J349" s="15"/>
      <c r="K349" s="11"/>
      <c r="L349" s="11"/>
      <c r="M349" s="11"/>
      <c r="N349" s="11"/>
    </row>
    <row r="350" ht="15.75" customHeight="1">
      <c r="A350" s="35">
        <v>44753.0</v>
      </c>
      <c r="B350" s="38">
        <v>110.5</v>
      </c>
      <c r="C350" s="11">
        <f t="shared" si="1"/>
        <v>-0.02514336127</v>
      </c>
      <c r="D350" s="13">
        <f t="shared" si="2"/>
        <v>-0.02514336127</v>
      </c>
      <c r="E350" s="35">
        <v>44753.0</v>
      </c>
      <c r="F350" s="12">
        <v>18202.8</v>
      </c>
      <c r="G350" s="11">
        <v>0.004727565</v>
      </c>
      <c r="H350" s="13">
        <v>0.0047</v>
      </c>
      <c r="J350" s="15"/>
      <c r="K350" s="11"/>
      <c r="L350" s="11"/>
      <c r="M350" s="11"/>
      <c r="N350" s="11"/>
    </row>
    <row r="351" ht="15.75" customHeight="1">
      <c r="A351" s="35">
        <v>44662.0</v>
      </c>
      <c r="B351" s="38">
        <v>113.35</v>
      </c>
      <c r="C351" s="11">
        <f t="shared" si="1"/>
        <v>0.005321507761</v>
      </c>
      <c r="D351" s="13">
        <f t="shared" si="2"/>
        <v>0.005321507761</v>
      </c>
      <c r="E351" s="35">
        <v>44662.0</v>
      </c>
      <c r="F351" s="12">
        <v>18117.15</v>
      </c>
      <c r="G351" s="11">
        <v>0.003570103</v>
      </c>
      <c r="H351" s="13">
        <v>0.0036</v>
      </c>
      <c r="J351" s="15"/>
      <c r="K351" s="11"/>
      <c r="L351" s="11"/>
      <c r="M351" s="11"/>
      <c r="N351" s="11"/>
    </row>
    <row r="352" ht="15.75" customHeight="1">
      <c r="A352" s="35">
        <v>44631.0</v>
      </c>
      <c r="B352" s="38">
        <v>112.75</v>
      </c>
      <c r="C352" s="11">
        <f t="shared" si="1"/>
        <v>-0.01657217619</v>
      </c>
      <c r="D352" s="13">
        <f t="shared" si="2"/>
        <v>-0.01657217619</v>
      </c>
      <c r="E352" s="35">
        <v>44631.0</v>
      </c>
      <c r="F352" s="12">
        <v>18052.7</v>
      </c>
      <c r="G352" s="11">
        <v>-0.001667326</v>
      </c>
      <c r="H352" s="13">
        <v>-0.0017</v>
      </c>
      <c r="J352" s="15"/>
      <c r="K352" s="11"/>
      <c r="L352" s="11"/>
      <c r="M352" s="11"/>
      <c r="N352" s="11"/>
    </row>
    <row r="353" ht="15.75" customHeight="1">
      <c r="A353" s="35">
        <v>44603.0</v>
      </c>
      <c r="B353" s="38">
        <v>114.65</v>
      </c>
      <c r="C353" s="11">
        <f t="shared" si="1"/>
        <v>-0.003909643788</v>
      </c>
      <c r="D353" s="13">
        <f t="shared" si="2"/>
        <v>-0.003909643788</v>
      </c>
      <c r="E353" s="35">
        <v>44603.0</v>
      </c>
      <c r="F353" s="12">
        <v>18082.85</v>
      </c>
      <c r="G353" s="11">
        <v>-0.003447155</v>
      </c>
      <c r="H353" s="13">
        <v>-0.0034</v>
      </c>
      <c r="J353" s="15"/>
      <c r="K353" s="11"/>
      <c r="L353" s="11"/>
      <c r="M353" s="11"/>
      <c r="N353" s="11"/>
    </row>
    <row r="354" ht="15.75" customHeight="1">
      <c r="A354" s="35">
        <v>44572.0</v>
      </c>
      <c r="B354" s="38">
        <v>115.1</v>
      </c>
      <c r="C354" s="11">
        <f t="shared" si="1"/>
        <v>0.08482563619</v>
      </c>
      <c r="D354" s="13">
        <f t="shared" si="2"/>
        <v>0.08482563619</v>
      </c>
      <c r="E354" s="35">
        <v>44572.0</v>
      </c>
      <c r="F354" s="12">
        <v>18145.4</v>
      </c>
      <c r="G354" s="11">
        <v>0.007394988</v>
      </c>
      <c r="H354" s="13">
        <v>0.0074</v>
      </c>
      <c r="J354" s="15"/>
      <c r="K354" s="11"/>
      <c r="L354" s="11"/>
      <c r="M354" s="11"/>
      <c r="N354" s="11"/>
    </row>
    <row r="355" ht="15.75" customHeight="1">
      <c r="A355" s="11" t="s">
        <v>319</v>
      </c>
      <c r="B355" s="38">
        <v>106.1</v>
      </c>
      <c r="C355" s="11">
        <f t="shared" si="1"/>
        <v>0.02215799615</v>
      </c>
      <c r="D355" s="13">
        <f t="shared" si="2"/>
        <v>0.02215799615</v>
      </c>
      <c r="E355" s="11" t="s">
        <v>319</v>
      </c>
      <c r="F355" s="12">
        <v>18012.2</v>
      </c>
      <c r="G355" s="11">
        <v>0.012672319</v>
      </c>
      <c r="H355" s="13">
        <v>0.0127</v>
      </c>
      <c r="J355" s="15"/>
      <c r="K355" s="11"/>
      <c r="L355" s="11"/>
      <c r="M355" s="11"/>
      <c r="N355" s="11"/>
    </row>
    <row r="356" ht="15.75" customHeight="1">
      <c r="A356" s="11" t="s">
        <v>320</v>
      </c>
      <c r="B356" s="38">
        <v>103.8</v>
      </c>
      <c r="C356" s="11">
        <f t="shared" si="1"/>
        <v>-0.003838771593</v>
      </c>
      <c r="D356" s="13">
        <f t="shared" si="2"/>
        <v>-0.003838771593</v>
      </c>
      <c r="E356" s="11" t="s">
        <v>320</v>
      </c>
      <c r="F356" s="12">
        <v>17786.8</v>
      </c>
      <c r="G356" s="11">
        <v>0.002810517</v>
      </c>
      <c r="H356" s="13">
        <v>0.0028</v>
      </c>
      <c r="J356" s="15"/>
      <c r="K356" s="11"/>
      <c r="L356" s="11"/>
      <c r="M356" s="11"/>
      <c r="N356" s="11"/>
    </row>
    <row r="357" ht="15.75" customHeight="1">
      <c r="A357" s="11" t="s">
        <v>321</v>
      </c>
      <c r="B357" s="38">
        <v>104.2</v>
      </c>
      <c r="C357" s="11">
        <f t="shared" si="1"/>
        <v>0.003370245546</v>
      </c>
      <c r="D357" s="13">
        <f t="shared" si="2"/>
        <v>0.003370245546</v>
      </c>
      <c r="E357" s="11" t="s">
        <v>321</v>
      </c>
      <c r="F357" s="12">
        <v>17736.95</v>
      </c>
      <c r="G357" s="11">
        <v>0.00456493</v>
      </c>
      <c r="H357" s="13">
        <v>0.0046</v>
      </c>
      <c r="J357" s="15"/>
      <c r="K357" s="11"/>
      <c r="L357" s="11"/>
      <c r="M357" s="11"/>
      <c r="N357" s="11"/>
    </row>
    <row r="358" ht="15.75" customHeight="1">
      <c r="A358" s="11" t="s">
        <v>322</v>
      </c>
      <c r="B358" s="38">
        <v>103.85</v>
      </c>
      <c r="C358" s="11">
        <f t="shared" si="1"/>
        <v>-0.0004812319538</v>
      </c>
      <c r="D358" s="13">
        <f t="shared" si="2"/>
        <v>-0.0004812319538</v>
      </c>
      <c r="E358" s="11" t="s">
        <v>322</v>
      </c>
      <c r="F358" s="12">
        <v>17656.35</v>
      </c>
      <c r="G358" s="11">
        <v>-0.0041961</v>
      </c>
      <c r="H358" s="13">
        <v>-0.0042</v>
      </c>
      <c r="J358" s="15"/>
      <c r="K358" s="11"/>
      <c r="L358" s="11"/>
      <c r="M358" s="11"/>
      <c r="N358" s="11"/>
    </row>
    <row r="359" ht="15.75" customHeight="1">
      <c r="A359" s="11" t="s">
        <v>323</v>
      </c>
      <c r="B359" s="38">
        <v>103.9</v>
      </c>
      <c r="C359" s="11">
        <f t="shared" si="1"/>
        <v>0.005321722303</v>
      </c>
      <c r="D359" s="13">
        <f t="shared" si="2"/>
        <v>0.005321722303</v>
      </c>
      <c r="E359" s="11" t="s">
        <v>323</v>
      </c>
      <c r="F359" s="12">
        <v>17730.75</v>
      </c>
      <c r="G359" s="11">
        <v>0.008787401</v>
      </c>
      <c r="H359" s="13">
        <v>0.0088</v>
      </c>
      <c r="J359" s="15"/>
      <c r="K359" s="11"/>
      <c r="L359" s="11"/>
      <c r="M359" s="11"/>
      <c r="N359" s="11"/>
    </row>
    <row r="360" ht="15.75" customHeight="1">
      <c r="A360" s="11" t="s">
        <v>324</v>
      </c>
      <c r="B360" s="38">
        <v>103.35</v>
      </c>
      <c r="C360" s="11">
        <f t="shared" si="1"/>
        <v>-0.01851851852</v>
      </c>
      <c r="D360" s="13">
        <f t="shared" si="2"/>
        <v>-0.01851851852</v>
      </c>
      <c r="E360" s="11" t="s">
        <v>324</v>
      </c>
      <c r="F360" s="12">
        <v>17576.3</v>
      </c>
      <c r="G360" s="11">
        <v>7.03145E-4</v>
      </c>
      <c r="H360" s="13">
        <v>7.0E-4</v>
      </c>
      <c r="J360" s="15"/>
      <c r="K360" s="11"/>
      <c r="L360" s="11"/>
      <c r="M360" s="11"/>
      <c r="N360" s="11"/>
    </row>
    <row r="361" ht="15.75" customHeight="1">
      <c r="A361" s="11" t="s">
        <v>325</v>
      </c>
      <c r="B361" s="38">
        <v>105.3</v>
      </c>
      <c r="C361" s="11">
        <f t="shared" si="1"/>
        <v>0.03285924473</v>
      </c>
      <c r="D361" s="13">
        <f t="shared" si="2"/>
        <v>0.03285924473</v>
      </c>
      <c r="E361" s="11" t="s">
        <v>325</v>
      </c>
      <c r="F361" s="12">
        <v>17563.95</v>
      </c>
      <c r="G361" s="11">
        <v>0.002952219</v>
      </c>
      <c r="H361" s="13">
        <v>0.003</v>
      </c>
      <c r="J361" s="15"/>
      <c r="K361" s="11"/>
      <c r="L361" s="11"/>
      <c r="M361" s="11"/>
      <c r="N361" s="11"/>
    </row>
    <row r="362" ht="15.75" customHeight="1">
      <c r="A362" s="11" t="s">
        <v>326</v>
      </c>
      <c r="B362" s="38">
        <v>101.95</v>
      </c>
      <c r="C362" s="11">
        <f t="shared" si="1"/>
        <v>-0.00293398533</v>
      </c>
      <c r="D362" s="13">
        <f t="shared" si="2"/>
        <v>-0.00293398533</v>
      </c>
      <c r="E362" s="11" t="s">
        <v>326</v>
      </c>
      <c r="F362" s="12">
        <v>17512.25</v>
      </c>
      <c r="G362" s="11">
        <v>0.001446793</v>
      </c>
      <c r="H362" s="13">
        <v>0.0014</v>
      </c>
      <c r="J362" s="15"/>
      <c r="K362" s="11"/>
      <c r="L362" s="11"/>
      <c r="M362" s="11"/>
      <c r="N362" s="11"/>
    </row>
    <row r="363" ht="15.75" customHeight="1">
      <c r="A363" s="11" t="s">
        <v>327</v>
      </c>
      <c r="B363" s="38">
        <v>102.25</v>
      </c>
      <c r="C363" s="11">
        <f t="shared" si="1"/>
        <v>0.007389162562</v>
      </c>
      <c r="D363" s="13">
        <f t="shared" si="2"/>
        <v>0.007389162562</v>
      </c>
      <c r="E363" s="11" t="s">
        <v>327</v>
      </c>
      <c r="F363" s="12">
        <v>17486.95</v>
      </c>
      <c r="G363" s="11">
        <v>0.010117377</v>
      </c>
      <c r="H363" s="13">
        <v>0.0101</v>
      </c>
      <c r="J363" s="15"/>
      <c r="K363" s="11"/>
      <c r="L363" s="11"/>
      <c r="M363" s="11"/>
      <c r="N363" s="11"/>
    </row>
    <row r="364" ht="15.75" customHeight="1">
      <c r="A364" s="11" t="s">
        <v>328</v>
      </c>
      <c r="B364" s="38">
        <v>101.5</v>
      </c>
      <c r="C364" s="11">
        <f t="shared" si="1"/>
        <v>0</v>
      </c>
      <c r="D364" s="13">
        <f t="shared" si="2"/>
        <v>0</v>
      </c>
      <c r="E364" s="11" t="s">
        <v>328</v>
      </c>
      <c r="F364" s="12">
        <v>17311.8</v>
      </c>
      <c r="G364" s="11">
        <v>0.007337496</v>
      </c>
      <c r="H364" s="13">
        <v>0.0073</v>
      </c>
      <c r="J364" s="15"/>
      <c r="K364" s="11"/>
      <c r="L364" s="11"/>
      <c r="M364" s="11"/>
      <c r="N364" s="11"/>
    </row>
    <row r="365" ht="15.75" customHeight="1">
      <c r="A365" s="11" t="s">
        <v>329</v>
      </c>
      <c r="B365" s="38">
        <v>101.5</v>
      </c>
      <c r="C365" s="11">
        <f t="shared" si="1"/>
        <v>-0.02544407105</v>
      </c>
      <c r="D365" s="13">
        <f t="shared" si="2"/>
        <v>-0.02544407105</v>
      </c>
      <c r="E365" s="11" t="s">
        <v>329</v>
      </c>
      <c r="F365" s="12">
        <v>17185.7</v>
      </c>
      <c r="G365" s="11">
        <v>0.010070911</v>
      </c>
      <c r="H365" s="13">
        <v>0.0101</v>
      </c>
      <c r="J365" s="15"/>
      <c r="K365" s="11"/>
      <c r="L365" s="11"/>
      <c r="M365" s="11"/>
      <c r="N365" s="11"/>
    </row>
    <row r="366" ht="15.75" customHeight="1">
      <c r="A366" s="11" t="s">
        <v>330</v>
      </c>
      <c r="B366" s="38">
        <v>104.15</v>
      </c>
      <c r="C366" s="11">
        <f t="shared" si="1"/>
        <v>-0.003825920612</v>
      </c>
      <c r="D366" s="13">
        <f t="shared" si="2"/>
        <v>-0.003825920612</v>
      </c>
      <c r="E366" s="11" t="s">
        <v>330</v>
      </c>
      <c r="F366" s="12">
        <v>17014.35</v>
      </c>
      <c r="G366" s="11">
        <v>-0.006380084</v>
      </c>
      <c r="H366" s="13">
        <v>-0.0064</v>
      </c>
      <c r="J366" s="15"/>
      <c r="K366" s="11"/>
      <c r="L366" s="11"/>
      <c r="M366" s="11"/>
      <c r="N366" s="11"/>
    </row>
    <row r="367" ht="15.75" customHeight="1">
      <c r="A367" s="55">
        <v>44905.0</v>
      </c>
      <c r="B367" s="38">
        <v>104.55</v>
      </c>
      <c r="C367" s="11">
        <f t="shared" si="1"/>
        <v>-0.005233111323</v>
      </c>
      <c r="D367" s="13">
        <f t="shared" si="2"/>
        <v>-0.005233111323</v>
      </c>
      <c r="E367" s="55">
        <v>44905.0</v>
      </c>
      <c r="F367" s="12">
        <v>17123.6</v>
      </c>
      <c r="G367" s="11">
        <v>0.008246215</v>
      </c>
      <c r="H367" s="13">
        <v>0.0082</v>
      </c>
      <c r="J367" s="15"/>
      <c r="K367" s="11"/>
      <c r="L367" s="11"/>
      <c r="M367" s="11"/>
      <c r="N367" s="11"/>
    </row>
    <row r="368" ht="15.75" customHeight="1">
      <c r="A368" s="55">
        <v>44875.0</v>
      </c>
      <c r="B368" s="38">
        <v>105.1</v>
      </c>
      <c r="C368" s="11">
        <f t="shared" si="1"/>
        <v>-0.02865064695</v>
      </c>
      <c r="D368" s="13">
        <f t="shared" si="2"/>
        <v>-0.02865064695</v>
      </c>
      <c r="E368" s="55">
        <v>44875.0</v>
      </c>
      <c r="F368" s="12">
        <v>16983.55</v>
      </c>
      <c r="G368" s="11">
        <v>-0.014932429</v>
      </c>
      <c r="H368" s="13">
        <v>-0.0149</v>
      </c>
      <c r="J368" s="15"/>
      <c r="K368" s="11"/>
      <c r="L368" s="11"/>
      <c r="M368" s="11"/>
      <c r="N368" s="11"/>
    </row>
    <row r="369" ht="15.75" customHeight="1">
      <c r="A369" s="55">
        <v>44844.0</v>
      </c>
      <c r="B369" s="38">
        <v>108.2</v>
      </c>
      <c r="C369" s="11">
        <f t="shared" si="1"/>
        <v>-0.007339449541</v>
      </c>
      <c r="D369" s="13">
        <f t="shared" si="2"/>
        <v>-0.007339449541</v>
      </c>
      <c r="E369" s="55">
        <v>44844.0</v>
      </c>
      <c r="F369" s="12">
        <v>17241.0</v>
      </c>
      <c r="G369" s="11">
        <v>-0.004253623</v>
      </c>
      <c r="H369" s="13">
        <v>-0.0043</v>
      </c>
      <c r="J369" s="15"/>
      <c r="K369" s="11"/>
      <c r="L369" s="11"/>
      <c r="M369" s="11"/>
      <c r="N369" s="11"/>
    </row>
    <row r="370" ht="15.75" customHeight="1">
      <c r="A370" s="35">
        <v>44752.0</v>
      </c>
      <c r="B370" s="38">
        <v>109.0</v>
      </c>
      <c r="C370" s="11">
        <f t="shared" si="1"/>
        <v>0.006928406467</v>
      </c>
      <c r="D370" s="13">
        <f t="shared" si="2"/>
        <v>0.006928406467</v>
      </c>
      <c r="E370" s="35">
        <v>44752.0</v>
      </c>
      <c r="F370" s="12">
        <v>17314.65</v>
      </c>
      <c r="G370" s="11">
        <v>-9.89511E-4</v>
      </c>
      <c r="H370" s="13">
        <v>-0.001</v>
      </c>
      <c r="J370" s="15"/>
      <c r="K370" s="11"/>
      <c r="L370" s="11"/>
      <c r="M370" s="11"/>
      <c r="N370" s="11"/>
    </row>
    <row r="371" ht="15.75" customHeight="1">
      <c r="A371" s="35">
        <v>44722.0</v>
      </c>
      <c r="B371" s="38">
        <v>108.25</v>
      </c>
      <c r="C371" s="11">
        <f t="shared" si="1"/>
        <v>-0.002304147465</v>
      </c>
      <c r="D371" s="13">
        <f t="shared" si="2"/>
        <v>-0.002304147465</v>
      </c>
      <c r="E371" s="35">
        <v>44722.0</v>
      </c>
      <c r="F371" s="12">
        <v>17331.8</v>
      </c>
      <c r="G371" s="11">
        <v>0.003328644</v>
      </c>
      <c r="H371" s="13">
        <v>0.0033</v>
      </c>
      <c r="J371" s="15"/>
      <c r="K371" s="11"/>
      <c r="L371" s="11"/>
      <c r="M371" s="11"/>
      <c r="N371" s="11"/>
    </row>
    <row r="372" ht="15.75" customHeight="1">
      <c r="A372" s="35">
        <v>44661.0</v>
      </c>
      <c r="B372" s="38">
        <v>108.5</v>
      </c>
      <c r="C372" s="11">
        <f t="shared" si="1"/>
        <v>0.0013844024</v>
      </c>
      <c r="D372" s="13">
        <f t="shared" si="2"/>
        <v>0.0013844024</v>
      </c>
      <c r="E372" s="35">
        <v>44661.0</v>
      </c>
      <c r="F372" s="12">
        <v>17274.3</v>
      </c>
      <c r="G372" s="11">
        <v>0.022913601</v>
      </c>
      <c r="H372" s="13">
        <v>0.0229</v>
      </c>
      <c r="J372" s="15"/>
      <c r="K372" s="11"/>
      <c r="L372" s="11"/>
      <c r="M372" s="11"/>
      <c r="N372" s="11"/>
    </row>
    <row r="373" ht="15.75" customHeight="1">
      <c r="A373" s="35">
        <v>44630.0</v>
      </c>
      <c r="B373" s="38">
        <v>108.35</v>
      </c>
      <c r="C373" s="11">
        <f t="shared" si="1"/>
        <v>0.0275011854</v>
      </c>
      <c r="D373" s="13">
        <f t="shared" si="2"/>
        <v>0.0275011854</v>
      </c>
      <c r="E373" s="35">
        <v>44630.0</v>
      </c>
      <c r="F373" s="12">
        <v>16887.35</v>
      </c>
      <c r="G373" s="11">
        <v>-0.012109264</v>
      </c>
      <c r="H373" s="13">
        <v>-0.0121</v>
      </c>
      <c r="J373" s="15"/>
      <c r="K373" s="11"/>
      <c r="L373" s="11"/>
      <c r="M373" s="11"/>
      <c r="N373" s="11"/>
    </row>
    <row r="374" ht="15.75" customHeight="1">
      <c r="A374" s="11" t="s">
        <v>331</v>
      </c>
      <c r="B374" s="38">
        <v>105.45</v>
      </c>
      <c r="C374" s="11">
        <f t="shared" si="1"/>
        <v>-0.01310248011</v>
      </c>
      <c r="D374" s="13">
        <f t="shared" si="2"/>
        <v>-0.01310248011</v>
      </c>
      <c r="E374" s="11" t="s">
        <v>331</v>
      </c>
      <c r="F374" s="12">
        <v>17094.35</v>
      </c>
      <c r="G374" s="11">
        <v>0.016425756</v>
      </c>
      <c r="H374" s="13">
        <v>0.0164</v>
      </c>
      <c r="J374" s="15"/>
      <c r="K374" s="11"/>
      <c r="L374" s="11"/>
      <c r="M374" s="11"/>
      <c r="N374" s="11"/>
    </row>
    <row r="375" ht="15.75" customHeight="1">
      <c r="A375" s="11" t="s">
        <v>332</v>
      </c>
      <c r="B375" s="38">
        <v>106.85</v>
      </c>
      <c r="C375" s="11">
        <f t="shared" si="1"/>
        <v>-0.04725813642</v>
      </c>
      <c r="D375" s="13">
        <f t="shared" si="2"/>
        <v>-0.04725813642</v>
      </c>
      <c r="E375" s="11" t="s">
        <v>332</v>
      </c>
      <c r="F375" s="12">
        <v>16818.1</v>
      </c>
      <c r="G375" s="11">
        <v>-0.002402335</v>
      </c>
      <c r="H375" s="13">
        <v>-0.0024</v>
      </c>
      <c r="J375" s="15"/>
      <c r="K375" s="11"/>
      <c r="L375" s="11"/>
      <c r="M375" s="11"/>
      <c r="N375" s="11"/>
    </row>
    <row r="376" ht="15.75" customHeight="1">
      <c r="A376" s="11" t="s">
        <v>333</v>
      </c>
      <c r="B376" s="38">
        <v>112.15</v>
      </c>
      <c r="C376" s="11">
        <f t="shared" si="1"/>
        <v>0.08409859836</v>
      </c>
      <c r="D376" s="13">
        <f t="shared" si="2"/>
        <v>0.08409859836</v>
      </c>
      <c r="E376" s="11" t="s">
        <v>333</v>
      </c>
      <c r="F376" s="12">
        <v>16858.6</v>
      </c>
      <c r="G376" s="11">
        <v>-0.008749133</v>
      </c>
      <c r="H376" s="13">
        <v>-0.0087</v>
      </c>
      <c r="J376" s="15"/>
      <c r="K376" s="11"/>
      <c r="L376" s="11"/>
      <c r="M376" s="11"/>
      <c r="N376" s="11"/>
    </row>
    <row r="377" ht="15.75" customHeight="1">
      <c r="A377" s="11" t="s">
        <v>334</v>
      </c>
      <c r="B377" s="38">
        <v>103.45</v>
      </c>
      <c r="C377" s="11">
        <f t="shared" si="1"/>
        <v>0.02730883813</v>
      </c>
      <c r="D377" s="13">
        <f t="shared" si="2"/>
        <v>0.02730883813</v>
      </c>
      <c r="E377" s="11" t="s">
        <v>334</v>
      </c>
      <c r="F377" s="12">
        <v>17007.4</v>
      </c>
      <c r="G377" s="11">
        <v>-5.23028E-4</v>
      </c>
      <c r="H377" s="13">
        <v>-5.0E-4</v>
      </c>
      <c r="J377" s="15"/>
      <c r="K377" s="11"/>
      <c r="L377" s="11"/>
      <c r="M377" s="11"/>
      <c r="N377" s="11"/>
    </row>
    <row r="378" ht="15.75" customHeight="1">
      <c r="A378" s="11" t="s">
        <v>335</v>
      </c>
      <c r="B378" s="38">
        <v>100.7</v>
      </c>
      <c r="C378" s="11">
        <f t="shared" si="1"/>
        <v>-0.04504504505</v>
      </c>
      <c r="D378" s="13">
        <f t="shared" si="2"/>
        <v>-0.04504504505</v>
      </c>
      <c r="E378" s="11" t="s">
        <v>335</v>
      </c>
      <c r="F378" s="12">
        <v>17016.3</v>
      </c>
      <c r="G378" s="11">
        <v>-0.017951389</v>
      </c>
      <c r="H378" s="13">
        <v>-0.018</v>
      </c>
      <c r="J378" s="15"/>
      <c r="K378" s="11"/>
      <c r="L378" s="11"/>
      <c r="M378" s="11"/>
      <c r="N378" s="11"/>
    </row>
    <row r="379" ht="15.75" customHeight="1">
      <c r="A379" s="11" t="s">
        <v>336</v>
      </c>
      <c r="B379" s="38">
        <v>105.45</v>
      </c>
      <c r="C379" s="11">
        <f t="shared" si="1"/>
        <v>-0.03917995444</v>
      </c>
      <c r="D379" s="13">
        <f t="shared" si="2"/>
        <v>-0.03917995444</v>
      </c>
      <c r="E379" s="11" t="s">
        <v>336</v>
      </c>
      <c r="F379" s="12">
        <v>17327.35</v>
      </c>
      <c r="G379" s="11">
        <v>-0.017155612</v>
      </c>
      <c r="H379" s="13">
        <v>-0.0172</v>
      </c>
      <c r="J379" s="15"/>
      <c r="K379" s="11"/>
      <c r="L379" s="11"/>
      <c r="M379" s="11"/>
      <c r="N379" s="11"/>
    </row>
    <row r="380" ht="15.75" customHeight="1">
      <c r="A380" s="11" t="s">
        <v>337</v>
      </c>
      <c r="B380" s="38">
        <v>109.75</v>
      </c>
      <c r="C380" s="11">
        <f t="shared" si="1"/>
        <v>0.01385681293</v>
      </c>
      <c r="D380" s="13">
        <f t="shared" si="2"/>
        <v>0.01385681293</v>
      </c>
      <c r="E380" s="11" t="s">
        <v>337</v>
      </c>
      <c r="F380" s="12">
        <v>17629.8</v>
      </c>
      <c r="G380" s="11">
        <v>-0.004997644</v>
      </c>
      <c r="H380" s="13">
        <v>-0.005</v>
      </c>
      <c r="J380" s="15"/>
      <c r="K380" s="11"/>
      <c r="L380" s="11"/>
      <c r="M380" s="11"/>
      <c r="N380" s="11"/>
    </row>
    <row r="381" ht="15.75" customHeight="1">
      <c r="A381" s="11" t="s">
        <v>338</v>
      </c>
      <c r="B381" s="38">
        <v>108.25</v>
      </c>
      <c r="C381" s="11">
        <f t="shared" si="1"/>
        <v>-0.007336084365</v>
      </c>
      <c r="D381" s="13">
        <f t="shared" si="2"/>
        <v>-0.007336084365</v>
      </c>
      <c r="E381" s="11" t="s">
        <v>338</v>
      </c>
      <c r="F381" s="12">
        <v>17718.35</v>
      </c>
      <c r="G381" s="11">
        <v>-0.005494984</v>
      </c>
      <c r="H381" s="13">
        <v>-0.0055</v>
      </c>
      <c r="J381" s="15"/>
      <c r="K381" s="11"/>
      <c r="L381" s="11"/>
      <c r="M381" s="11"/>
      <c r="N381" s="11"/>
    </row>
    <row r="382" ht="15.75" customHeight="1">
      <c r="A382" s="11" t="s">
        <v>339</v>
      </c>
      <c r="B382" s="38">
        <v>109.05</v>
      </c>
      <c r="C382" s="11">
        <f t="shared" si="1"/>
        <v>-0.006378132118</v>
      </c>
      <c r="D382" s="13">
        <f t="shared" si="2"/>
        <v>-0.006378132118</v>
      </c>
      <c r="E382" s="11" t="s">
        <v>339</v>
      </c>
      <c r="F382" s="12">
        <v>17816.25</v>
      </c>
      <c r="G382" s="11">
        <v>0.01100881</v>
      </c>
      <c r="H382" s="13">
        <v>0.011</v>
      </c>
      <c r="J382" s="15"/>
      <c r="K382" s="11"/>
      <c r="L382" s="11"/>
      <c r="M382" s="11"/>
      <c r="N382" s="11"/>
    </row>
    <row r="383" ht="15.75" customHeight="1">
      <c r="A383" s="11" t="s">
        <v>340</v>
      </c>
      <c r="B383" s="38">
        <v>109.75</v>
      </c>
      <c r="C383" s="11">
        <f t="shared" si="1"/>
        <v>0.002283105023</v>
      </c>
      <c r="D383" s="13">
        <f t="shared" si="2"/>
        <v>0.002283105023</v>
      </c>
      <c r="E383" s="11" t="s">
        <v>340</v>
      </c>
      <c r="F383" s="12">
        <v>17622.25</v>
      </c>
      <c r="G383" s="11">
        <v>0.005213666</v>
      </c>
      <c r="H383" s="13">
        <v>0.0052</v>
      </c>
      <c r="J383" s="15"/>
      <c r="K383" s="11"/>
      <c r="L383" s="11"/>
      <c r="M383" s="11"/>
      <c r="N383" s="11"/>
    </row>
    <row r="384" ht="15.75" customHeight="1">
      <c r="A384" s="11" t="s">
        <v>341</v>
      </c>
      <c r="B384" s="38">
        <v>109.5</v>
      </c>
      <c r="C384" s="11">
        <f t="shared" si="1"/>
        <v>-0.02101028163</v>
      </c>
      <c r="D384" s="13">
        <f t="shared" si="2"/>
        <v>-0.02101028163</v>
      </c>
      <c r="E384" s="11" t="s">
        <v>341</v>
      </c>
      <c r="F384" s="12">
        <v>17530.85</v>
      </c>
      <c r="G384" s="11">
        <v>-0.01938481</v>
      </c>
      <c r="H384" s="13">
        <v>-0.0194</v>
      </c>
      <c r="J384" s="15"/>
      <c r="K384" s="11"/>
      <c r="L384" s="11"/>
      <c r="M384" s="11"/>
      <c r="N384" s="11"/>
    </row>
    <row r="385" ht="15.75" customHeight="1">
      <c r="A385" s="11" t="s">
        <v>342</v>
      </c>
      <c r="B385" s="38">
        <v>111.85</v>
      </c>
      <c r="C385" s="11">
        <f t="shared" si="1"/>
        <v>-0.007101642255</v>
      </c>
      <c r="D385" s="13">
        <f t="shared" si="2"/>
        <v>-0.007101642255</v>
      </c>
      <c r="E385" s="11" t="s">
        <v>342</v>
      </c>
      <c r="F385" s="12">
        <v>17877.4</v>
      </c>
      <c r="G385" s="11">
        <v>-0.007017982</v>
      </c>
      <c r="H385" s="13">
        <v>-0.007</v>
      </c>
      <c r="J385" s="15"/>
      <c r="K385" s="11"/>
      <c r="L385" s="11"/>
      <c r="M385" s="11"/>
      <c r="N385" s="11"/>
    </row>
    <row r="386" ht="15.75" customHeight="1">
      <c r="A386" s="11" t="s">
        <v>343</v>
      </c>
      <c r="B386" s="38">
        <v>112.65</v>
      </c>
      <c r="C386" s="11">
        <f t="shared" si="1"/>
        <v>-0.007488986784</v>
      </c>
      <c r="D386" s="13">
        <f t="shared" si="2"/>
        <v>-0.007488986784</v>
      </c>
      <c r="E386" s="11" t="s">
        <v>343</v>
      </c>
      <c r="F386" s="12">
        <v>18003.75</v>
      </c>
      <c r="G386" s="11">
        <v>-0.003669055</v>
      </c>
      <c r="H386" s="13">
        <v>-0.0037</v>
      </c>
      <c r="J386" s="15"/>
      <c r="K386" s="11"/>
      <c r="L386" s="11"/>
      <c r="M386" s="11"/>
      <c r="N386" s="11"/>
    </row>
    <row r="387" ht="15.75" customHeight="1">
      <c r="A387" s="11" t="s">
        <v>344</v>
      </c>
      <c r="B387" s="38">
        <v>113.5</v>
      </c>
      <c r="C387" s="11">
        <f t="shared" si="1"/>
        <v>-0.0008802816901</v>
      </c>
      <c r="D387" s="13">
        <f t="shared" si="2"/>
        <v>-0.0008802816901</v>
      </c>
      <c r="E387" s="11" t="s">
        <v>344</v>
      </c>
      <c r="F387" s="12">
        <v>18070.05</v>
      </c>
      <c r="G387" s="11">
        <v>0.007454136</v>
      </c>
      <c r="H387" s="13">
        <v>0.0075</v>
      </c>
      <c r="J387" s="15"/>
      <c r="K387" s="11"/>
      <c r="L387" s="11"/>
      <c r="M387" s="11"/>
      <c r="N387" s="11"/>
    </row>
    <row r="388" ht="15.75" customHeight="1">
      <c r="A388" s="35">
        <v>44904.0</v>
      </c>
      <c r="B388" s="38">
        <v>113.6</v>
      </c>
      <c r="C388" s="11">
        <f t="shared" si="1"/>
        <v>0.0004403346543</v>
      </c>
      <c r="D388" s="13">
        <f t="shared" si="2"/>
        <v>0.0004403346543</v>
      </c>
      <c r="E388" s="35">
        <v>44904.0</v>
      </c>
      <c r="F388" s="12">
        <v>17936.35</v>
      </c>
      <c r="G388" s="11">
        <v>0.005775696</v>
      </c>
      <c r="H388" s="13">
        <v>0.0058</v>
      </c>
      <c r="J388" s="15"/>
      <c r="K388" s="11"/>
      <c r="L388" s="11"/>
      <c r="M388" s="11"/>
      <c r="N388" s="11"/>
    </row>
    <row r="389" ht="15.75" customHeight="1">
      <c r="A389" s="35">
        <v>44813.0</v>
      </c>
      <c r="B389" s="38">
        <v>113.55</v>
      </c>
      <c r="C389" s="11">
        <f t="shared" si="1"/>
        <v>-0.008296943231</v>
      </c>
      <c r="D389" s="13">
        <f t="shared" si="2"/>
        <v>-0.008296943231</v>
      </c>
      <c r="E389" s="35">
        <v>44813.0</v>
      </c>
      <c r="F389" s="12">
        <v>17833.35</v>
      </c>
      <c r="G389" s="11">
        <v>0.001943957</v>
      </c>
      <c r="H389" s="13">
        <v>0.0019</v>
      </c>
      <c r="J389" s="15"/>
      <c r="K389" s="11"/>
      <c r="L389" s="11"/>
      <c r="M389" s="11"/>
      <c r="N389" s="11"/>
    </row>
    <row r="390" ht="15.75" customHeight="1">
      <c r="A390" s="35">
        <v>44782.0</v>
      </c>
      <c r="B390" s="38">
        <v>114.5</v>
      </c>
      <c r="C390" s="11">
        <f t="shared" si="1"/>
        <v>0.004385964912</v>
      </c>
      <c r="D390" s="13">
        <f t="shared" si="2"/>
        <v>0.004385964912</v>
      </c>
      <c r="E390" s="35">
        <v>44782.0</v>
      </c>
      <c r="F390" s="12">
        <v>17798.75</v>
      </c>
      <c r="G390" s="11">
        <v>0.009892535</v>
      </c>
      <c r="H390" s="13">
        <v>0.0099</v>
      </c>
      <c r="J390" s="15"/>
      <c r="K390" s="11"/>
      <c r="L390" s="11"/>
      <c r="M390" s="11"/>
      <c r="N390" s="11"/>
    </row>
    <row r="391" ht="15.75" customHeight="1">
      <c r="A391" s="35">
        <v>44751.0</v>
      </c>
      <c r="B391" s="38">
        <v>114.0</v>
      </c>
      <c r="C391" s="11">
        <f t="shared" si="1"/>
        <v>-0.0008764241893</v>
      </c>
      <c r="D391" s="13">
        <f t="shared" si="2"/>
        <v>-0.0008764241893</v>
      </c>
      <c r="E391" s="35">
        <v>44751.0</v>
      </c>
      <c r="F391" s="12">
        <v>17624.4</v>
      </c>
      <c r="G391" s="11">
        <v>-0.001767145</v>
      </c>
      <c r="H391" s="13">
        <v>-0.0018</v>
      </c>
      <c r="J391" s="15"/>
      <c r="K391" s="11"/>
      <c r="L391" s="11"/>
      <c r="M391" s="11"/>
      <c r="N391" s="11"/>
    </row>
    <row r="392" ht="15.75" customHeight="1">
      <c r="A392" s="35">
        <v>44721.0</v>
      </c>
      <c r="B392" s="38">
        <v>114.1</v>
      </c>
      <c r="C392" s="11">
        <f t="shared" si="1"/>
        <v>-0.01040763226</v>
      </c>
      <c r="D392" s="13">
        <f t="shared" si="2"/>
        <v>-0.01040763226</v>
      </c>
      <c r="E392" s="35">
        <v>44721.0</v>
      </c>
      <c r="F392" s="12">
        <v>17655.6</v>
      </c>
      <c r="G392" s="11">
        <v>-5.77387E-4</v>
      </c>
      <c r="H392" s="13">
        <v>-6.0E-4</v>
      </c>
      <c r="J392" s="15"/>
      <c r="K392" s="11"/>
      <c r="L392" s="11"/>
      <c r="M392" s="11"/>
      <c r="N392" s="11"/>
    </row>
    <row r="393" ht="15.75" customHeight="1">
      <c r="A393" s="35">
        <v>44690.0</v>
      </c>
      <c r="B393" s="38">
        <v>115.3</v>
      </c>
      <c r="C393" s="11">
        <f t="shared" si="1"/>
        <v>0.01810154525</v>
      </c>
      <c r="D393" s="13">
        <f t="shared" si="2"/>
        <v>0.01810154525</v>
      </c>
      <c r="E393" s="35">
        <v>44690.0</v>
      </c>
      <c r="F393" s="12">
        <v>17665.8</v>
      </c>
      <c r="G393" s="11">
        <v>0.007203761</v>
      </c>
      <c r="H393" s="13">
        <v>0.0072</v>
      </c>
      <c r="J393" s="15"/>
      <c r="K393" s="11"/>
      <c r="L393" s="11"/>
      <c r="M393" s="11"/>
      <c r="N393" s="11"/>
    </row>
    <row r="394" ht="15.75" customHeight="1">
      <c r="A394" s="35">
        <v>44601.0</v>
      </c>
      <c r="B394" s="38">
        <v>113.25</v>
      </c>
      <c r="C394" s="11">
        <f t="shared" si="1"/>
        <v>-0.003957783641</v>
      </c>
      <c r="D394" s="13">
        <f t="shared" si="2"/>
        <v>-0.003957783641</v>
      </c>
      <c r="E394" s="35">
        <v>44601.0</v>
      </c>
      <c r="F394" s="12">
        <v>17539.45</v>
      </c>
      <c r="G394" s="11">
        <v>-1.90962E-4</v>
      </c>
      <c r="H394" s="13">
        <v>-2.0E-4</v>
      </c>
      <c r="J394" s="15"/>
      <c r="K394" s="11"/>
      <c r="L394" s="11"/>
      <c r="M394" s="11"/>
      <c r="N394" s="11"/>
    </row>
    <row r="395" ht="15.75" customHeight="1">
      <c r="A395" s="35">
        <v>44570.0</v>
      </c>
      <c r="B395" s="38">
        <v>113.7</v>
      </c>
      <c r="C395" s="11">
        <f t="shared" si="1"/>
        <v>0.001321003963</v>
      </c>
      <c r="D395" s="13">
        <f t="shared" si="2"/>
        <v>0.001321003963</v>
      </c>
      <c r="E395" s="35">
        <v>44570.0</v>
      </c>
      <c r="F395" s="12">
        <v>17542.8</v>
      </c>
      <c r="G395" s="11">
        <v>-0.012190796</v>
      </c>
      <c r="H395" s="13">
        <v>-0.0122</v>
      </c>
      <c r="J395" s="15"/>
      <c r="K395" s="11"/>
      <c r="L395" s="11"/>
      <c r="M395" s="11"/>
      <c r="N395" s="11"/>
    </row>
    <row r="396" ht="15.75" customHeight="1">
      <c r="A396" s="11" t="s">
        <v>345</v>
      </c>
      <c r="B396" s="38">
        <v>113.55</v>
      </c>
      <c r="C396" s="11">
        <f t="shared" si="1"/>
        <v>0.007542147294</v>
      </c>
      <c r="D396" s="13">
        <f t="shared" si="2"/>
        <v>0.007542147294</v>
      </c>
      <c r="E396" s="11" t="s">
        <v>345</v>
      </c>
      <c r="F396" s="12">
        <v>17759.3</v>
      </c>
      <c r="G396" s="11">
        <v>0.025784242</v>
      </c>
      <c r="H396" s="13">
        <v>0.0258</v>
      </c>
      <c r="J396" s="15"/>
      <c r="K396" s="11"/>
      <c r="L396" s="11"/>
      <c r="M396" s="11"/>
      <c r="N396" s="11"/>
    </row>
    <row r="397" ht="15.75" customHeight="1">
      <c r="A397" s="11" t="s">
        <v>346</v>
      </c>
      <c r="B397" s="38">
        <v>112.7</v>
      </c>
      <c r="C397" s="11">
        <f t="shared" si="1"/>
        <v>-0.01183691363</v>
      </c>
      <c r="D397" s="13">
        <f t="shared" si="2"/>
        <v>-0.01183691363</v>
      </c>
      <c r="E397" s="11" t="s">
        <v>346</v>
      </c>
      <c r="F397" s="12">
        <v>17312.9</v>
      </c>
      <c r="G397" s="11">
        <v>-0.014009989</v>
      </c>
      <c r="H397" s="13">
        <v>-0.014</v>
      </c>
      <c r="J397" s="15"/>
      <c r="K397" s="11"/>
      <c r="L397" s="11"/>
      <c r="M397" s="11"/>
      <c r="N397" s="11"/>
    </row>
    <row r="398" ht="15.75" customHeight="1">
      <c r="A398" s="11" t="s">
        <v>347</v>
      </c>
      <c r="B398" s="38">
        <v>114.05</v>
      </c>
      <c r="C398" s="11">
        <f t="shared" si="1"/>
        <v>-0.01169844021</v>
      </c>
      <c r="D398" s="13">
        <f t="shared" si="2"/>
        <v>-0.01169844021</v>
      </c>
      <c r="E398" s="11" t="s">
        <v>347</v>
      </c>
      <c r="F398" s="12">
        <v>17558.9</v>
      </c>
      <c r="G398" s="11">
        <v>0.002080189</v>
      </c>
      <c r="H398" s="13">
        <v>0.0021</v>
      </c>
      <c r="J398" s="15"/>
      <c r="K398" s="11"/>
      <c r="L398" s="11"/>
      <c r="M398" s="11"/>
      <c r="N398" s="11"/>
    </row>
    <row r="399" ht="15.75" customHeight="1">
      <c r="A399" s="11" t="s">
        <v>348</v>
      </c>
      <c r="B399" s="38">
        <v>115.4</v>
      </c>
      <c r="C399" s="11">
        <f t="shared" si="1"/>
        <v>0.007860262009</v>
      </c>
      <c r="D399" s="13">
        <f t="shared" si="2"/>
        <v>0.007860262009</v>
      </c>
      <c r="E399" s="11" t="s">
        <v>348</v>
      </c>
      <c r="F399" s="12">
        <v>17522.45</v>
      </c>
      <c r="G399" s="11">
        <v>-0.004686182</v>
      </c>
      <c r="H399" s="13">
        <v>-0.0047</v>
      </c>
      <c r="J399" s="15"/>
      <c r="K399" s="11"/>
      <c r="L399" s="11"/>
      <c r="M399" s="11"/>
      <c r="N399" s="11"/>
    </row>
    <row r="400" ht="15.75" customHeight="1">
      <c r="A400" s="11" t="s">
        <v>349</v>
      </c>
      <c r="B400" s="38">
        <v>114.5</v>
      </c>
      <c r="C400" s="11">
        <f t="shared" si="1"/>
        <v>0.003066141042</v>
      </c>
      <c r="D400" s="13">
        <f t="shared" si="2"/>
        <v>0.003066141042</v>
      </c>
      <c r="E400" s="11" t="s">
        <v>349</v>
      </c>
      <c r="F400" s="12">
        <v>17604.95</v>
      </c>
      <c r="G400" s="11">
        <v>0.001561656</v>
      </c>
      <c r="H400" s="13">
        <v>0.0016</v>
      </c>
      <c r="J400" s="15"/>
      <c r="K400" s="11"/>
      <c r="L400" s="11"/>
      <c r="M400" s="11"/>
      <c r="N400" s="11"/>
    </row>
    <row r="401" ht="15.75" customHeight="1">
      <c r="A401" s="11" t="s">
        <v>350</v>
      </c>
      <c r="B401" s="38">
        <v>114.15</v>
      </c>
      <c r="C401" s="11">
        <f t="shared" si="1"/>
        <v>-0.001312335958</v>
      </c>
      <c r="D401" s="13">
        <f t="shared" si="2"/>
        <v>-0.001312335958</v>
      </c>
      <c r="E401" s="11" t="s">
        <v>350</v>
      </c>
      <c r="F401" s="12">
        <v>17577.5</v>
      </c>
      <c r="G401" s="11">
        <v>0.004962637</v>
      </c>
      <c r="H401" s="13">
        <v>0.005</v>
      </c>
      <c r="J401" s="15"/>
      <c r="K401" s="11"/>
      <c r="L401" s="11"/>
      <c r="M401" s="11"/>
      <c r="N401" s="11"/>
    </row>
    <row r="402" ht="15.75" customHeight="1">
      <c r="A402" s="11" t="s">
        <v>351</v>
      </c>
      <c r="B402" s="38">
        <v>114.3</v>
      </c>
      <c r="C402" s="11">
        <f t="shared" si="1"/>
        <v>-0.02971137521</v>
      </c>
      <c r="D402" s="13">
        <f t="shared" si="2"/>
        <v>-0.02971137521</v>
      </c>
      <c r="E402" s="11" t="s">
        <v>351</v>
      </c>
      <c r="F402" s="12">
        <v>17490.7</v>
      </c>
      <c r="G402" s="11">
        <v>-0.015077329</v>
      </c>
      <c r="H402" s="13">
        <v>-0.0151</v>
      </c>
      <c r="J402" s="15"/>
      <c r="K402" s="11"/>
      <c r="L402" s="11"/>
      <c r="M402" s="11"/>
      <c r="N402" s="11"/>
    </row>
    <row r="403" ht="15.75" customHeight="1">
      <c r="A403" s="11" t="s">
        <v>352</v>
      </c>
      <c r="B403" s="38">
        <v>117.8</v>
      </c>
      <c r="C403" s="11">
        <f t="shared" si="1"/>
        <v>0.0356043956</v>
      </c>
      <c r="D403" s="13">
        <f t="shared" si="2"/>
        <v>0.0356043956</v>
      </c>
      <c r="E403" s="11" t="s">
        <v>352</v>
      </c>
      <c r="F403" s="12">
        <v>17758.45</v>
      </c>
      <c r="G403" s="11">
        <v>-0.011029432</v>
      </c>
      <c r="H403" s="13">
        <v>-0.011</v>
      </c>
      <c r="J403" s="15"/>
      <c r="K403" s="11"/>
      <c r="L403" s="11"/>
      <c r="M403" s="11"/>
      <c r="N403" s="11"/>
    </row>
    <row r="404" ht="15.75" customHeight="1">
      <c r="A404" s="11" t="s">
        <v>353</v>
      </c>
      <c r="B404" s="38">
        <v>113.75</v>
      </c>
      <c r="C404" s="11">
        <f t="shared" si="1"/>
        <v>0.0004397537379</v>
      </c>
      <c r="D404" s="13">
        <f t="shared" si="2"/>
        <v>0.0004397537379</v>
      </c>
      <c r="E404" s="11" t="s">
        <v>353</v>
      </c>
      <c r="F404" s="12">
        <v>17956.5</v>
      </c>
      <c r="G404" s="11">
        <v>6.8267E-4</v>
      </c>
      <c r="H404" s="13">
        <v>7.0E-4</v>
      </c>
      <c r="J404" s="15"/>
      <c r="K404" s="11"/>
      <c r="L404" s="11"/>
      <c r="M404" s="11"/>
      <c r="N404" s="11"/>
    </row>
    <row r="405" ht="15.75" customHeight="1">
      <c r="A405" s="11" t="s">
        <v>354</v>
      </c>
      <c r="B405" s="38">
        <v>113.7</v>
      </c>
      <c r="C405" s="11">
        <f t="shared" si="1"/>
        <v>0.0004399472063</v>
      </c>
      <c r="D405" s="13">
        <f t="shared" si="2"/>
        <v>0.0004399472063</v>
      </c>
      <c r="E405" s="11" t="s">
        <v>354</v>
      </c>
      <c r="F405" s="12">
        <v>17944.25</v>
      </c>
      <c r="G405" s="11">
        <v>0.006675923</v>
      </c>
      <c r="H405" s="13">
        <v>0.0067</v>
      </c>
      <c r="J405" s="15"/>
      <c r="K405" s="11"/>
      <c r="L405" s="11"/>
      <c r="M405" s="11"/>
      <c r="N405" s="11"/>
    </row>
    <row r="406" ht="15.75" customHeight="1">
      <c r="A406" s="11" t="s">
        <v>355</v>
      </c>
      <c r="B406" s="38">
        <v>113.65</v>
      </c>
      <c r="C406" s="11">
        <f t="shared" si="1"/>
        <v>-0.0004397537379</v>
      </c>
      <c r="D406" s="13">
        <f t="shared" si="2"/>
        <v>-0.0004397537379</v>
      </c>
      <c r="E406" s="11" t="s">
        <v>355</v>
      </c>
      <c r="F406" s="12">
        <v>17825.25</v>
      </c>
      <c r="G406" s="11">
        <v>0.007181542</v>
      </c>
      <c r="H406" s="13">
        <v>0.0072</v>
      </c>
      <c r="J406" s="15"/>
      <c r="K406" s="11"/>
      <c r="L406" s="11"/>
      <c r="M406" s="11"/>
      <c r="N406" s="11"/>
    </row>
    <row r="407" ht="15.75" customHeight="1">
      <c r="A407" s="35">
        <v>44903.0</v>
      </c>
      <c r="B407" s="38">
        <v>113.7</v>
      </c>
      <c r="C407" s="11">
        <f t="shared" si="1"/>
        <v>0.01066666667</v>
      </c>
      <c r="D407" s="13">
        <f t="shared" si="2"/>
        <v>0.01066666667</v>
      </c>
      <c r="E407" s="35">
        <v>44903.0</v>
      </c>
      <c r="F407" s="12">
        <v>17698.15</v>
      </c>
      <c r="G407" s="11">
        <v>0.002217</v>
      </c>
      <c r="H407" s="13">
        <v>0.0022</v>
      </c>
      <c r="J407" s="15"/>
      <c r="K407" s="11"/>
      <c r="L407" s="11"/>
      <c r="M407" s="11"/>
      <c r="N407" s="11"/>
    </row>
    <row r="408" ht="15.75" customHeight="1">
      <c r="A408" s="35">
        <v>44873.0</v>
      </c>
      <c r="B408" s="38">
        <v>112.5</v>
      </c>
      <c r="C408" s="11">
        <f t="shared" si="1"/>
        <v>-0.03928266439</v>
      </c>
      <c r="D408" s="13">
        <f t="shared" si="2"/>
        <v>-0.03928266439</v>
      </c>
      <c r="E408" s="35">
        <v>44873.0</v>
      </c>
      <c r="F408" s="12">
        <v>17659.0</v>
      </c>
      <c r="G408" s="11">
        <v>0.007085929</v>
      </c>
      <c r="H408" s="13">
        <v>0.0071</v>
      </c>
      <c r="J408" s="15"/>
      <c r="K408" s="11"/>
      <c r="L408" s="11"/>
      <c r="M408" s="11"/>
      <c r="N408" s="11"/>
    </row>
    <row r="409" ht="15.75" customHeight="1">
      <c r="A409" s="35">
        <v>44842.0</v>
      </c>
      <c r="B409" s="38">
        <v>117.1</v>
      </c>
      <c r="C409" s="11">
        <f t="shared" si="1"/>
        <v>-0.0008532423208</v>
      </c>
      <c r="D409" s="13">
        <f t="shared" si="2"/>
        <v>-0.0008532423208</v>
      </c>
      <c r="E409" s="35">
        <v>44842.0</v>
      </c>
      <c r="F409" s="12">
        <v>17534.75</v>
      </c>
      <c r="G409" s="11">
        <v>5.50639E-4</v>
      </c>
      <c r="H409" s="13">
        <v>6.0E-4</v>
      </c>
      <c r="J409" s="15"/>
      <c r="K409" s="11"/>
      <c r="L409" s="11"/>
      <c r="M409" s="11"/>
      <c r="N409" s="11"/>
    </row>
    <row r="410" ht="15.75" customHeight="1">
      <c r="A410" s="35">
        <v>44781.0</v>
      </c>
      <c r="B410" s="38">
        <v>117.2</v>
      </c>
      <c r="C410" s="11">
        <f t="shared" si="1"/>
        <v>-0.000852514919</v>
      </c>
      <c r="D410" s="13">
        <f t="shared" si="2"/>
        <v>-0.000852514919</v>
      </c>
      <c r="E410" s="35">
        <v>44781.0</v>
      </c>
      <c r="F410" s="12">
        <v>17525.1</v>
      </c>
      <c r="G410" s="11">
        <v>0.007334387</v>
      </c>
      <c r="H410" s="13">
        <v>0.0073</v>
      </c>
      <c r="J410" s="15"/>
      <c r="K410" s="11"/>
      <c r="L410" s="11"/>
      <c r="M410" s="11"/>
      <c r="N410" s="11"/>
    </row>
    <row r="411" ht="15.75" customHeight="1">
      <c r="A411" s="35">
        <v>44689.0</v>
      </c>
      <c r="B411" s="38">
        <v>117.3</v>
      </c>
      <c r="C411" s="11">
        <f t="shared" si="1"/>
        <v>-0.005089058524</v>
      </c>
      <c r="D411" s="13">
        <f t="shared" si="2"/>
        <v>-0.005089058524</v>
      </c>
      <c r="E411" s="35">
        <v>44689.0</v>
      </c>
      <c r="F411" s="12">
        <v>17397.5</v>
      </c>
      <c r="G411" s="11">
        <v>8.91727E-4</v>
      </c>
      <c r="H411" s="13">
        <v>9.0E-4</v>
      </c>
      <c r="J411" s="15"/>
      <c r="K411" s="11"/>
      <c r="L411" s="11"/>
      <c r="M411" s="11"/>
      <c r="N411" s="11"/>
    </row>
    <row r="412" ht="15.75" customHeight="1">
      <c r="A412" s="35">
        <v>44659.0</v>
      </c>
      <c r="B412" s="38">
        <v>117.9</v>
      </c>
      <c r="C412" s="11">
        <f t="shared" si="1"/>
        <v>-0.01380175659</v>
      </c>
      <c r="D412" s="13">
        <f t="shared" si="2"/>
        <v>-0.01380175659</v>
      </c>
      <c r="E412" s="35">
        <v>44659.0</v>
      </c>
      <c r="F412" s="12">
        <v>17382.0</v>
      </c>
      <c r="G412" s="11">
        <v>-3.53689E-4</v>
      </c>
      <c r="H412" s="13">
        <v>-4.0E-4</v>
      </c>
      <c r="J412" s="15"/>
      <c r="K412" s="11"/>
      <c r="L412" s="11"/>
      <c r="M412" s="11"/>
      <c r="N412" s="11"/>
    </row>
    <row r="413" ht="15.75" customHeight="1">
      <c r="A413" s="35">
        <v>44628.0</v>
      </c>
      <c r="B413" s="38">
        <v>119.55</v>
      </c>
      <c r="C413" s="11">
        <f t="shared" si="1"/>
        <v>0.01918158568</v>
      </c>
      <c r="D413" s="13">
        <f t="shared" si="2"/>
        <v>0.01918158568</v>
      </c>
      <c r="E413" s="35">
        <v>44628.0</v>
      </c>
      <c r="F413" s="12">
        <v>17388.15</v>
      </c>
      <c r="G413" s="11">
        <v>0.002461741</v>
      </c>
      <c r="H413" s="13">
        <v>0.0025</v>
      </c>
      <c r="J413" s="15"/>
      <c r="K413" s="11"/>
      <c r="L413" s="11"/>
      <c r="M413" s="11"/>
      <c r="N413" s="11"/>
    </row>
    <row r="414" ht="15.75" customHeight="1">
      <c r="A414" s="35">
        <v>44600.0</v>
      </c>
      <c r="B414" s="38">
        <v>117.3</v>
      </c>
      <c r="C414" s="11">
        <f t="shared" si="1"/>
        <v>0.0004264392324</v>
      </c>
      <c r="D414" s="13">
        <f t="shared" si="2"/>
        <v>0.0004264392324</v>
      </c>
      <c r="E414" s="35">
        <v>44600.0</v>
      </c>
      <c r="F414" s="12">
        <v>17345.45</v>
      </c>
      <c r="G414" s="11">
        <v>3.11418E-4</v>
      </c>
      <c r="H414" s="13">
        <v>3.0E-4</v>
      </c>
      <c r="J414" s="15"/>
      <c r="K414" s="11"/>
      <c r="L414" s="11"/>
      <c r="M414" s="11"/>
      <c r="N414" s="11"/>
    </row>
    <row r="415" ht="15.75" customHeight="1">
      <c r="A415" s="35">
        <v>44569.0</v>
      </c>
      <c r="B415" s="38">
        <v>117.25</v>
      </c>
      <c r="C415" s="11">
        <f t="shared" si="1"/>
        <v>0.004282655246</v>
      </c>
      <c r="D415" s="13">
        <f t="shared" si="2"/>
        <v>0.004282655246</v>
      </c>
      <c r="E415" s="35">
        <v>44569.0</v>
      </c>
      <c r="F415" s="12">
        <v>17340.05</v>
      </c>
      <c r="G415" s="11">
        <v>0.010595486</v>
      </c>
      <c r="H415" s="13">
        <v>0.0106</v>
      </c>
      <c r="J415" s="15"/>
      <c r="K415" s="11"/>
      <c r="L415" s="11"/>
      <c r="M415" s="11"/>
      <c r="N415" s="11"/>
    </row>
    <row r="416" ht="15.75" customHeight="1">
      <c r="A416" s="11" t="s">
        <v>356</v>
      </c>
      <c r="B416" s="38">
        <v>116.75</v>
      </c>
      <c r="C416" s="11">
        <f t="shared" si="1"/>
        <v>-0.002988898377</v>
      </c>
      <c r="D416" s="13">
        <f t="shared" si="2"/>
        <v>-0.002988898377</v>
      </c>
      <c r="E416" s="11" t="s">
        <v>356</v>
      </c>
      <c r="F416" s="12">
        <v>17158.25</v>
      </c>
      <c r="G416" s="11">
        <v>0.01350593</v>
      </c>
      <c r="H416" s="13">
        <v>0.0135</v>
      </c>
      <c r="J416" s="15"/>
      <c r="K416" s="11"/>
      <c r="L416" s="11"/>
      <c r="M416" s="11"/>
      <c r="N416" s="11"/>
    </row>
    <row r="417" ht="15.75" customHeight="1">
      <c r="A417" s="11" t="s">
        <v>357</v>
      </c>
      <c r="B417" s="38">
        <v>117.1</v>
      </c>
      <c r="C417" s="11">
        <f t="shared" si="1"/>
        <v>-0.0008532423208</v>
      </c>
      <c r="D417" s="13">
        <f t="shared" si="2"/>
        <v>-0.0008532423208</v>
      </c>
      <c r="E417" s="11" t="s">
        <v>357</v>
      </c>
      <c r="F417" s="12">
        <v>16929.6</v>
      </c>
      <c r="G417" s="11">
        <v>0.017293802</v>
      </c>
      <c r="H417" s="13">
        <v>0.0173</v>
      </c>
      <c r="J417" s="15"/>
      <c r="K417" s="11"/>
      <c r="L417" s="11"/>
      <c r="M417" s="11"/>
      <c r="N417" s="11"/>
    </row>
    <row r="418" ht="15.75" customHeight="1">
      <c r="A418" s="11" t="s">
        <v>358</v>
      </c>
      <c r="B418" s="38">
        <v>117.2</v>
      </c>
      <c r="C418" s="11">
        <f t="shared" si="1"/>
        <v>-0.01842546064</v>
      </c>
      <c r="D418" s="13">
        <f t="shared" si="2"/>
        <v>-0.01842546064</v>
      </c>
      <c r="E418" s="11" t="s">
        <v>358</v>
      </c>
      <c r="F418" s="12">
        <v>16641.8</v>
      </c>
      <c r="G418" s="11">
        <v>0.009582106</v>
      </c>
      <c r="H418" s="13">
        <v>0.0096</v>
      </c>
      <c r="J418" s="15"/>
      <c r="K418" s="11"/>
      <c r="L418" s="11"/>
      <c r="M418" s="11"/>
      <c r="N418" s="11"/>
    </row>
    <row r="419" ht="15.75" customHeight="1">
      <c r="A419" s="11" t="s">
        <v>359</v>
      </c>
      <c r="B419" s="38">
        <v>119.4</v>
      </c>
      <c r="C419" s="11">
        <f t="shared" si="1"/>
        <v>-0.02331288344</v>
      </c>
      <c r="D419" s="13">
        <f t="shared" si="2"/>
        <v>-0.02331288344</v>
      </c>
      <c r="E419" s="11" t="s">
        <v>359</v>
      </c>
      <c r="F419" s="12">
        <v>16483.85</v>
      </c>
      <c r="G419" s="11">
        <v>-0.008847935</v>
      </c>
      <c r="H419" s="13">
        <v>-0.0088</v>
      </c>
      <c r="J419" s="15"/>
      <c r="K419" s="11"/>
      <c r="L419" s="11"/>
      <c r="M419" s="11"/>
      <c r="N419" s="11"/>
    </row>
    <row r="420" ht="15.75" customHeight="1">
      <c r="A420" s="11" t="s">
        <v>360</v>
      </c>
      <c r="B420" s="38">
        <v>122.25</v>
      </c>
      <c r="C420" s="11">
        <f t="shared" si="1"/>
        <v>0.01242236025</v>
      </c>
      <c r="D420" s="13">
        <f t="shared" si="2"/>
        <v>0.01242236025</v>
      </c>
      <c r="E420" s="11" t="s">
        <v>360</v>
      </c>
      <c r="F420" s="12">
        <v>16631.0</v>
      </c>
      <c r="G420" s="11">
        <v>-0.005290246</v>
      </c>
      <c r="H420" s="13">
        <v>-0.0053</v>
      </c>
      <c r="J420" s="15"/>
      <c r="K420" s="11"/>
      <c r="L420" s="11"/>
      <c r="M420" s="11"/>
      <c r="N420" s="11"/>
    </row>
    <row r="421" ht="15.75" customHeight="1">
      <c r="A421" s="11" t="s">
        <v>361</v>
      </c>
      <c r="B421" s="38">
        <v>120.75</v>
      </c>
      <c r="C421" s="11">
        <f t="shared" si="1"/>
        <v>-0.0308988764</v>
      </c>
      <c r="D421" s="13">
        <f t="shared" si="2"/>
        <v>-0.0308988764</v>
      </c>
      <c r="E421" s="11" t="s">
        <v>361</v>
      </c>
      <c r="F421" s="12">
        <v>16719.45</v>
      </c>
      <c r="G421" s="11">
        <v>0.006877343</v>
      </c>
      <c r="H421" s="13">
        <v>0.0069</v>
      </c>
      <c r="J421" s="15"/>
      <c r="K421" s="11"/>
      <c r="L421" s="11"/>
      <c r="M421" s="11"/>
      <c r="N421" s="11"/>
    </row>
    <row r="422" ht="15.75" customHeight="1">
      <c r="A422" s="11" t="s">
        <v>362</v>
      </c>
      <c r="B422" s="38">
        <v>124.6</v>
      </c>
      <c r="C422" s="11">
        <f t="shared" si="1"/>
        <v>0.009724473258</v>
      </c>
      <c r="D422" s="13">
        <f t="shared" si="2"/>
        <v>0.009724473258</v>
      </c>
      <c r="E422" s="11" t="s">
        <v>362</v>
      </c>
      <c r="F422" s="12">
        <v>16605.25</v>
      </c>
      <c r="G422" s="11">
        <v>0.005108696</v>
      </c>
      <c r="H422" s="13">
        <v>0.0051</v>
      </c>
      <c r="J422" s="15"/>
      <c r="K422" s="11"/>
      <c r="L422" s="11"/>
      <c r="M422" s="11"/>
      <c r="N422" s="11"/>
    </row>
    <row r="423" ht="15.75" customHeight="1">
      <c r="A423" s="11" t="s">
        <v>363</v>
      </c>
      <c r="B423" s="38">
        <v>123.4</v>
      </c>
      <c r="C423" s="11">
        <f t="shared" si="1"/>
        <v>-0.0008097165992</v>
      </c>
      <c r="D423" s="13">
        <f t="shared" si="2"/>
        <v>-0.0008097165992</v>
      </c>
      <c r="E423" s="11" t="s">
        <v>363</v>
      </c>
      <c r="F423" s="12">
        <v>16520.85</v>
      </c>
      <c r="G423" s="11">
        <v>0.0110339</v>
      </c>
      <c r="H423" s="13">
        <v>0.011</v>
      </c>
      <c r="J423" s="15"/>
      <c r="K423" s="11"/>
      <c r="L423" s="11"/>
      <c r="M423" s="11"/>
      <c r="N423" s="11"/>
    </row>
    <row r="424" ht="15.75" customHeight="1">
      <c r="A424" s="11" t="s">
        <v>364</v>
      </c>
      <c r="B424" s="38">
        <v>123.5</v>
      </c>
      <c r="C424" s="11">
        <f t="shared" si="1"/>
        <v>0.0524073285</v>
      </c>
      <c r="D424" s="13">
        <f t="shared" si="2"/>
        <v>0.0524073285</v>
      </c>
      <c r="E424" s="11" t="s">
        <v>364</v>
      </c>
      <c r="F424" s="12">
        <v>16340.55</v>
      </c>
      <c r="G424" s="11">
        <v>0.003811776</v>
      </c>
      <c r="H424" s="13">
        <v>0.0038</v>
      </c>
      <c r="J424" s="15"/>
      <c r="K424" s="11"/>
      <c r="L424" s="11"/>
      <c r="M424" s="11"/>
      <c r="N424" s="11"/>
    </row>
    <row r="425" ht="15.75" customHeight="1">
      <c r="A425" s="11" t="s">
        <v>365</v>
      </c>
      <c r="B425" s="38">
        <v>117.35</v>
      </c>
      <c r="C425" s="11">
        <f t="shared" si="1"/>
        <v>-0.02694859038</v>
      </c>
      <c r="D425" s="13">
        <f t="shared" si="2"/>
        <v>-0.02694859038</v>
      </c>
      <c r="E425" s="11" t="s">
        <v>365</v>
      </c>
      <c r="F425" s="12">
        <v>16278.5</v>
      </c>
      <c r="G425" s="11">
        <v>0.014287317</v>
      </c>
      <c r="H425" s="13">
        <v>0.0143</v>
      </c>
      <c r="J425" s="15"/>
      <c r="K425" s="11"/>
      <c r="L425" s="11"/>
      <c r="M425" s="11"/>
      <c r="N425" s="11"/>
    </row>
    <row r="426" ht="15.75" customHeight="1">
      <c r="A426" s="11" t="s">
        <v>366</v>
      </c>
      <c r="B426" s="38">
        <v>120.6</v>
      </c>
      <c r="C426" s="11">
        <f t="shared" si="1"/>
        <v>0.1125461255</v>
      </c>
      <c r="D426" s="13">
        <f t="shared" si="2"/>
        <v>0.1125461255</v>
      </c>
      <c r="E426" s="11" t="s">
        <v>366</v>
      </c>
      <c r="F426" s="12">
        <v>16049.2</v>
      </c>
      <c r="G426" s="11">
        <v>0.00693597</v>
      </c>
      <c r="H426" s="13">
        <v>0.0069</v>
      </c>
      <c r="J426" s="15"/>
      <c r="K426" s="11"/>
      <c r="L426" s="11"/>
      <c r="M426" s="11"/>
      <c r="N426" s="11"/>
    </row>
    <row r="427" ht="15.75" customHeight="1">
      <c r="A427" s="11" t="s">
        <v>367</v>
      </c>
      <c r="B427" s="38">
        <v>108.4</v>
      </c>
      <c r="C427" s="11">
        <f t="shared" si="1"/>
        <v>-0.03084488154</v>
      </c>
      <c r="D427" s="13">
        <f t="shared" si="2"/>
        <v>-0.03084488154</v>
      </c>
      <c r="E427" s="11" t="s">
        <v>367</v>
      </c>
      <c r="F427" s="12">
        <v>15938.65</v>
      </c>
      <c r="G427" s="11">
        <v>-0.001753655</v>
      </c>
      <c r="H427" s="13">
        <v>-0.0018</v>
      </c>
      <c r="J427" s="15"/>
      <c r="K427" s="11"/>
      <c r="L427" s="11"/>
      <c r="M427" s="11"/>
      <c r="N427" s="11"/>
    </row>
    <row r="428" ht="15.75" customHeight="1">
      <c r="A428" s="11" t="s">
        <v>368</v>
      </c>
      <c r="B428" s="38">
        <v>111.85</v>
      </c>
      <c r="C428" s="11">
        <f t="shared" si="1"/>
        <v>-0.02143482065</v>
      </c>
      <c r="D428" s="13">
        <f t="shared" si="2"/>
        <v>-0.02143482065</v>
      </c>
      <c r="E428" s="11" t="s">
        <v>368</v>
      </c>
      <c r="F428" s="12">
        <v>15966.65</v>
      </c>
      <c r="G428" s="11">
        <v>-0.005707329</v>
      </c>
      <c r="H428" s="13">
        <v>-0.0057</v>
      </c>
      <c r="J428" s="15"/>
      <c r="K428" s="11"/>
      <c r="L428" s="11"/>
      <c r="M428" s="11"/>
      <c r="N428" s="11"/>
    </row>
    <row r="429" ht="15.75" customHeight="1">
      <c r="A429" s="35">
        <v>44902.0</v>
      </c>
      <c r="B429" s="38">
        <v>114.3</v>
      </c>
      <c r="C429" s="11">
        <f t="shared" si="1"/>
        <v>0.1663265306</v>
      </c>
      <c r="D429" s="13">
        <f t="shared" si="2"/>
        <v>0.1663265306</v>
      </c>
      <c r="E429" s="35">
        <v>44902.0</v>
      </c>
      <c r="F429" s="12">
        <v>16058.3</v>
      </c>
      <c r="G429" s="11">
        <v>-0.009724963</v>
      </c>
      <c r="H429" s="13">
        <v>-0.0097</v>
      </c>
      <c r="J429" s="15"/>
      <c r="K429" s="11"/>
      <c r="L429" s="11"/>
      <c r="M429" s="11"/>
      <c r="N429" s="11"/>
    </row>
    <row r="430" ht="15.75" customHeight="1">
      <c r="A430" s="35">
        <v>44872.0</v>
      </c>
      <c r="B430" s="38">
        <v>98.0</v>
      </c>
      <c r="C430" s="11">
        <f t="shared" si="1"/>
        <v>0</v>
      </c>
      <c r="D430" s="13">
        <f t="shared" si="2"/>
        <v>0</v>
      </c>
      <c r="E430" s="35">
        <v>44872.0</v>
      </c>
      <c r="F430" s="12">
        <v>16216.0</v>
      </c>
      <c r="G430" s="11">
        <v>-2.8359E-4</v>
      </c>
      <c r="H430" s="13">
        <v>-3.0E-4</v>
      </c>
      <c r="J430" s="15"/>
      <c r="K430" s="11"/>
      <c r="L430" s="11"/>
      <c r="M430" s="11"/>
      <c r="N430" s="11"/>
    </row>
    <row r="431" ht="15.75" customHeight="1">
      <c r="A431" s="35">
        <v>44780.0</v>
      </c>
      <c r="B431" s="38">
        <v>98.0</v>
      </c>
      <c r="C431" s="11">
        <f t="shared" si="1"/>
        <v>-0.005580923389</v>
      </c>
      <c r="D431" s="13">
        <f t="shared" si="2"/>
        <v>-0.005580923389</v>
      </c>
      <c r="E431" s="35">
        <v>44780.0</v>
      </c>
      <c r="F431" s="12">
        <v>16220.6</v>
      </c>
      <c r="G431" s="11">
        <v>0.005436096</v>
      </c>
      <c r="H431" s="13">
        <v>0.0054</v>
      </c>
      <c r="J431" s="15"/>
      <c r="K431" s="11"/>
      <c r="L431" s="11"/>
      <c r="M431" s="11"/>
      <c r="N431" s="11"/>
    </row>
    <row r="432" ht="15.75" customHeight="1">
      <c r="A432" s="35">
        <v>44749.0</v>
      </c>
      <c r="B432" s="38">
        <v>98.55</v>
      </c>
      <c r="C432" s="11">
        <f t="shared" si="1"/>
        <v>0.007153806847</v>
      </c>
      <c r="D432" s="13">
        <f t="shared" si="2"/>
        <v>0.007153806847</v>
      </c>
      <c r="E432" s="35">
        <v>44749.0</v>
      </c>
      <c r="F432" s="12">
        <v>16132.9</v>
      </c>
      <c r="G432" s="11">
        <v>0.008949455</v>
      </c>
      <c r="H432" s="13">
        <v>0.0089</v>
      </c>
      <c r="J432" s="15"/>
      <c r="K432" s="11"/>
      <c r="L432" s="11"/>
      <c r="M432" s="11"/>
      <c r="N432" s="11"/>
    </row>
    <row r="433" ht="15.75" customHeight="1">
      <c r="A433" s="35">
        <v>44719.0</v>
      </c>
      <c r="B433" s="38">
        <v>97.85</v>
      </c>
      <c r="C433" s="11">
        <f t="shared" si="1"/>
        <v>0.001023017903</v>
      </c>
      <c r="D433" s="13">
        <f t="shared" si="2"/>
        <v>0.001023017903</v>
      </c>
      <c r="E433" s="35">
        <v>44719.0</v>
      </c>
      <c r="F433" s="12">
        <v>15989.8</v>
      </c>
      <c r="G433" s="11">
        <v>0.011318177</v>
      </c>
      <c r="H433" s="13">
        <v>0.0113</v>
      </c>
      <c r="J433" s="15"/>
      <c r="K433" s="11"/>
      <c r="L433" s="11"/>
      <c r="M433" s="11"/>
      <c r="N433" s="11"/>
    </row>
    <row r="434" ht="15.75" customHeight="1">
      <c r="A434" s="35">
        <v>44688.0</v>
      </c>
      <c r="B434" s="38">
        <v>97.75</v>
      </c>
      <c r="C434" s="11">
        <f t="shared" si="1"/>
        <v>-0.02054108216</v>
      </c>
      <c r="D434" s="13">
        <f t="shared" si="2"/>
        <v>-0.02054108216</v>
      </c>
      <c r="E434" s="35">
        <v>44688.0</v>
      </c>
      <c r="F434" s="12">
        <v>15810.85</v>
      </c>
      <c r="G434" s="11">
        <v>-0.001547171</v>
      </c>
      <c r="H434" s="13">
        <v>-0.0015</v>
      </c>
      <c r="J434" s="15"/>
      <c r="K434" s="11"/>
      <c r="L434" s="11"/>
      <c r="M434" s="11"/>
      <c r="N434" s="11"/>
    </row>
    <row r="435" ht="15.75" customHeight="1">
      <c r="A435" s="35">
        <v>44658.0</v>
      </c>
      <c r="B435" s="38">
        <v>99.8</v>
      </c>
      <c r="C435" s="11">
        <f t="shared" si="1"/>
        <v>0.01422764228</v>
      </c>
      <c r="D435" s="13">
        <f t="shared" si="2"/>
        <v>0.01422764228</v>
      </c>
      <c r="E435" s="35">
        <v>44658.0</v>
      </c>
      <c r="F435" s="12">
        <v>15835.35</v>
      </c>
      <c r="G435" s="11">
        <v>0.005288201</v>
      </c>
      <c r="H435" s="13">
        <v>0.0053</v>
      </c>
      <c r="J435" s="15"/>
      <c r="K435" s="11"/>
      <c r="L435" s="11"/>
      <c r="M435" s="11"/>
      <c r="N435" s="11"/>
    </row>
    <row r="436" ht="15.75" customHeight="1">
      <c r="A436" s="35">
        <v>44568.0</v>
      </c>
      <c r="B436" s="38">
        <v>98.4</v>
      </c>
      <c r="C436" s="11">
        <f t="shared" si="1"/>
        <v>-0.02235469449</v>
      </c>
      <c r="D436" s="13">
        <f t="shared" si="2"/>
        <v>-0.02235469449</v>
      </c>
      <c r="E436" s="35">
        <v>44568.0</v>
      </c>
      <c r="F436" s="12">
        <v>15752.05</v>
      </c>
      <c r="G436" s="11">
        <v>-0.001787044</v>
      </c>
      <c r="H436" s="13">
        <v>-0.0018</v>
      </c>
      <c r="J436" s="15"/>
      <c r="K436" s="11"/>
      <c r="L436" s="11"/>
      <c r="M436" s="11"/>
      <c r="N436" s="11"/>
    </row>
    <row r="437" ht="15.75" customHeight="1">
      <c r="A437" s="11" t="s">
        <v>369</v>
      </c>
      <c r="B437" s="38">
        <v>100.65</v>
      </c>
      <c r="C437" s="11">
        <f t="shared" si="1"/>
        <v>-0.01226692836</v>
      </c>
      <c r="D437" s="13">
        <f t="shared" si="2"/>
        <v>-0.01226692836</v>
      </c>
      <c r="E437" s="11" t="s">
        <v>369</v>
      </c>
      <c r="F437" s="12">
        <v>15780.25</v>
      </c>
      <c r="G437" s="11">
        <v>-0.001193106</v>
      </c>
      <c r="H437" s="13">
        <v>-0.0012</v>
      </c>
      <c r="J437" s="15"/>
      <c r="K437" s="11"/>
      <c r="L437" s="11"/>
      <c r="M437" s="11"/>
      <c r="N437" s="11"/>
    </row>
    <row r="438" ht="15.75" customHeight="1">
      <c r="A438" s="11" t="s">
        <v>370</v>
      </c>
      <c r="B438" s="38">
        <v>101.9</v>
      </c>
      <c r="C438" s="11">
        <f t="shared" si="1"/>
        <v>-0.0154589372</v>
      </c>
      <c r="D438" s="13">
        <f t="shared" si="2"/>
        <v>-0.0154589372</v>
      </c>
      <c r="E438" s="11" t="s">
        <v>370</v>
      </c>
      <c r="F438" s="12">
        <v>15799.1</v>
      </c>
      <c r="G438" s="11">
        <v>-0.003223934</v>
      </c>
      <c r="H438" s="13">
        <v>-0.0032</v>
      </c>
      <c r="J438" s="15"/>
      <c r="K438" s="11"/>
      <c r="L438" s="11"/>
      <c r="M438" s="11"/>
      <c r="N438" s="11"/>
    </row>
    <row r="439" ht="15.75" customHeight="1">
      <c r="A439" s="11" t="s">
        <v>371</v>
      </c>
      <c r="B439" s="38">
        <v>103.5</v>
      </c>
      <c r="C439" s="11">
        <f t="shared" si="1"/>
        <v>-0.02588235294</v>
      </c>
      <c r="D439" s="13">
        <f t="shared" si="2"/>
        <v>-0.02588235294</v>
      </c>
      <c r="E439" s="11" t="s">
        <v>371</v>
      </c>
      <c r="F439" s="12">
        <v>15850.2</v>
      </c>
      <c r="G439" s="11">
        <v>0.001146409</v>
      </c>
      <c r="H439" s="13">
        <v>0.0011</v>
      </c>
      <c r="J439" s="15"/>
      <c r="K439" s="11"/>
      <c r="L439" s="11"/>
      <c r="M439" s="11"/>
      <c r="N439" s="11"/>
    </row>
    <row r="440" ht="15.75" customHeight="1">
      <c r="A440" s="11" t="s">
        <v>372</v>
      </c>
      <c r="B440" s="38">
        <v>106.25</v>
      </c>
      <c r="C440" s="11">
        <f t="shared" si="1"/>
        <v>0.001885902876</v>
      </c>
      <c r="D440" s="13">
        <f t="shared" si="2"/>
        <v>0.001885902876</v>
      </c>
      <c r="E440" s="11" t="s">
        <v>372</v>
      </c>
      <c r="F440" s="12">
        <v>15832.05</v>
      </c>
      <c r="G440" s="11">
        <v>0.008459003</v>
      </c>
      <c r="H440" s="13">
        <v>0.0085</v>
      </c>
      <c r="J440" s="15"/>
      <c r="K440" s="11"/>
      <c r="L440" s="11"/>
      <c r="M440" s="11"/>
      <c r="N440" s="11"/>
    </row>
    <row r="441" ht="15.75" customHeight="1">
      <c r="A441" s="11" t="s">
        <v>373</v>
      </c>
      <c r="B441" s="38">
        <v>106.05</v>
      </c>
      <c r="C441" s="11">
        <f t="shared" si="1"/>
        <v>-0.01440520446</v>
      </c>
      <c r="D441" s="13">
        <f t="shared" si="2"/>
        <v>-0.01440520446</v>
      </c>
      <c r="E441" s="11" t="s">
        <v>373</v>
      </c>
      <c r="F441" s="12">
        <v>15699.25</v>
      </c>
      <c r="G441" s="11">
        <v>0.009166498</v>
      </c>
      <c r="H441" s="13">
        <v>0.0092</v>
      </c>
      <c r="J441" s="15"/>
      <c r="K441" s="11"/>
      <c r="L441" s="11"/>
      <c r="M441" s="11"/>
      <c r="N441" s="11"/>
    </row>
    <row r="442" ht="15.75" customHeight="1">
      <c r="A442" s="11" t="s">
        <v>374</v>
      </c>
      <c r="B442" s="38">
        <v>107.6</v>
      </c>
      <c r="C442" s="11">
        <f t="shared" si="1"/>
        <v>0.03262955854</v>
      </c>
      <c r="D442" s="13">
        <f t="shared" si="2"/>
        <v>0.03262955854</v>
      </c>
      <c r="E442" s="11" t="s">
        <v>374</v>
      </c>
      <c r="F442" s="12">
        <v>15556.65</v>
      </c>
      <c r="G442" s="11">
        <v>0.009300409</v>
      </c>
      <c r="H442" s="13">
        <v>0.0093</v>
      </c>
      <c r="J442" s="15"/>
      <c r="K442" s="11"/>
      <c r="L442" s="11"/>
      <c r="M442" s="11"/>
      <c r="N442" s="11"/>
    </row>
    <row r="443" ht="15.75" customHeight="1">
      <c r="A443" s="11" t="s">
        <v>375</v>
      </c>
      <c r="B443" s="38">
        <v>104.2</v>
      </c>
      <c r="C443" s="11">
        <f t="shared" si="1"/>
        <v>0.1721034871</v>
      </c>
      <c r="D443" s="13">
        <f t="shared" si="2"/>
        <v>0.1721034871</v>
      </c>
      <c r="E443" s="11" t="s">
        <v>375</v>
      </c>
      <c r="F443" s="12">
        <v>15413.3</v>
      </c>
      <c r="G443" s="11">
        <v>-0.014419265</v>
      </c>
      <c r="H443" s="13">
        <v>-0.0144</v>
      </c>
      <c r="J443" s="15"/>
      <c r="K443" s="11"/>
      <c r="L443" s="11"/>
      <c r="M443" s="11"/>
      <c r="N443" s="11"/>
    </row>
    <row r="444" ht="15.75" customHeight="1">
      <c r="A444" s="11" t="s">
        <v>376</v>
      </c>
      <c r="B444" s="38">
        <v>88.9</v>
      </c>
      <c r="C444" s="11">
        <f t="shared" si="1"/>
        <v>-0.04408602151</v>
      </c>
      <c r="D444" s="13">
        <f t="shared" si="2"/>
        <v>-0.04408602151</v>
      </c>
      <c r="E444" s="11" t="s">
        <v>376</v>
      </c>
      <c r="F444" s="12">
        <v>15638.8</v>
      </c>
      <c r="G444" s="11">
        <v>0.018804377</v>
      </c>
      <c r="H444" s="13">
        <v>0.0188</v>
      </c>
      <c r="J444" s="15"/>
      <c r="K444" s="11"/>
      <c r="L444" s="11"/>
      <c r="M444" s="11"/>
      <c r="N444" s="11"/>
    </row>
    <row r="445" ht="15.75" customHeight="1">
      <c r="A445" s="11" t="s">
        <v>377</v>
      </c>
      <c r="B445" s="38">
        <v>93.0</v>
      </c>
      <c r="C445" s="11">
        <f t="shared" si="1"/>
        <v>0.1252268603</v>
      </c>
      <c r="D445" s="13">
        <f t="shared" si="2"/>
        <v>0.1252268603</v>
      </c>
      <c r="E445" s="11" t="s">
        <v>377</v>
      </c>
      <c r="F445" s="12">
        <v>15350.15</v>
      </c>
      <c r="G445" s="11">
        <v>0.003704188</v>
      </c>
      <c r="H445" s="13">
        <v>0.0037</v>
      </c>
      <c r="J445" s="15"/>
      <c r="K445" s="11"/>
      <c r="L445" s="11"/>
      <c r="M445" s="11"/>
      <c r="N445" s="11"/>
    </row>
    <row r="446" ht="15.75" customHeight="1">
      <c r="A446" s="11" t="s">
        <v>378</v>
      </c>
      <c r="B446" s="38">
        <v>82.65</v>
      </c>
      <c r="C446" s="11">
        <f t="shared" si="1"/>
        <v>-0.02650176678</v>
      </c>
      <c r="D446" s="13">
        <f t="shared" si="2"/>
        <v>-0.02650176678</v>
      </c>
      <c r="E446" s="11" t="s">
        <v>378</v>
      </c>
      <c r="F446" s="12">
        <v>15293.5</v>
      </c>
      <c r="G446" s="11">
        <v>-0.004368319</v>
      </c>
      <c r="H446" s="13">
        <v>-0.0044</v>
      </c>
      <c r="J446" s="15"/>
      <c r="K446" s="11"/>
      <c r="L446" s="11"/>
      <c r="M446" s="11"/>
      <c r="N446" s="11"/>
    </row>
    <row r="447" ht="15.75" customHeight="1">
      <c r="A447" s="11" t="s">
        <v>379</v>
      </c>
      <c r="B447" s="38">
        <v>84.9</v>
      </c>
      <c r="C447" s="11">
        <f t="shared" si="1"/>
        <v>-0.04391891892</v>
      </c>
      <c r="D447" s="13">
        <f t="shared" si="2"/>
        <v>-0.04391891892</v>
      </c>
      <c r="E447" s="11" t="s">
        <v>379</v>
      </c>
      <c r="F447" s="12">
        <v>15360.6</v>
      </c>
      <c r="G447" s="11">
        <v>-0.021128399</v>
      </c>
      <c r="H447" s="13">
        <v>-0.0211</v>
      </c>
      <c r="J447" s="15"/>
      <c r="K447" s="11"/>
      <c r="L447" s="11"/>
      <c r="M447" s="11"/>
      <c r="N447" s="11"/>
    </row>
    <row r="448" ht="15.75" customHeight="1">
      <c r="A448" s="11" t="s">
        <v>380</v>
      </c>
      <c r="B448" s="38">
        <v>88.8</v>
      </c>
      <c r="C448" s="11">
        <f t="shared" si="1"/>
        <v>-0.001124859393</v>
      </c>
      <c r="D448" s="13">
        <f t="shared" si="2"/>
        <v>-0.001124859393</v>
      </c>
      <c r="E448" s="11" t="s">
        <v>380</v>
      </c>
      <c r="F448" s="12">
        <v>15692.15</v>
      </c>
      <c r="G448" s="11">
        <v>-0.002539394</v>
      </c>
      <c r="H448" s="13">
        <v>-0.0025</v>
      </c>
      <c r="J448" s="15"/>
      <c r="K448" s="11"/>
      <c r="L448" s="11"/>
      <c r="M448" s="11"/>
      <c r="N448" s="11"/>
    </row>
    <row r="449" ht="15.75" customHeight="1">
      <c r="A449" s="11" t="s">
        <v>381</v>
      </c>
      <c r="B449" s="38">
        <v>88.9</v>
      </c>
      <c r="C449" s="11">
        <f t="shared" si="1"/>
        <v>0.01484018265</v>
      </c>
      <c r="D449" s="13">
        <f t="shared" si="2"/>
        <v>0.01484018265</v>
      </c>
      <c r="E449" s="11" t="s">
        <v>381</v>
      </c>
      <c r="F449" s="12">
        <v>15732.1</v>
      </c>
      <c r="G449" s="11">
        <v>-0.00268156</v>
      </c>
      <c r="H449" s="13">
        <v>-0.0027</v>
      </c>
      <c r="J449" s="15"/>
      <c r="K449" s="11"/>
      <c r="L449" s="11"/>
      <c r="M449" s="11"/>
      <c r="N449" s="11"/>
    </row>
    <row r="450" ht="15.75" customHeight="1">
      <c r="A450" s="11" t="s">
        <v>382</v>
      </c>
      <c r="B450" s="38">
        <v>87.6</v>
      </c>
      <c r="C450" s="11">
        <f t="shared" si="1"/>
        <v>-0.03364589079</v>
      </c>
      <c r="D450" s="13">
        <f t="shared" si="2"/>
        <v>-0.03364589079</v>
      </c>
      <c r="E450" s="11" t="s">
        <v>382</v>
      </c>
      <c r="F450" s="12">
        <v>15774.4</v>
      </c>
      <c r="G450" s="11">
        <v>-0.026379785</v>
      </c>
      <c r="H450" s="13">
        <v>-0.0264</v>
      </c>
      <c r="J450" s="15"/>
      <c r="K450" s="11"/>
      <c r="L450" s="11"/>
      <c r="M450" s="11"/>
      <c r="N450" s="11"/>
    </row>
    <row r="451" ht="15.75" customHeight="1">
      <c r="A451" s="35">
        <v>44840.0</v>
      </c>
      <c r="B451" s="38">
        <v>90.65</v>
      </c>
      <c r="C451" s="11">
        <f t="shared" si="1"/>
        <v>-0.006575342466</v>
      </c>
      <c r="D451" s="13">
        <f t="shared" si="2"/>
        <v>-0.006575342466</v>
      </c>
      <c r="E451" s="35">
        <v>44840.0</v>
      </c>
      <c r="F451" s="12">
        <v>16201.8</v>
      </c>
      <c r="G451" s="11">
        <v>-0.01676771</v>
      </c>
      <c r="H451" s="13">
        <v>-0.0168</v>
      </c>
      <c r="J451" s="15"/>
      <c r="K451" s="11"/>
      <c r="L451" s="11"/>
      <c r="M451" s="11"/>
      <c r="N451" s="11"/>
    </row>
    <row r="452" ht="15.75" customHeight="1">
      <c r="A452" s="35">
        <v>44810.0</v>
      </c>
      <c r="B452" s="38">
        <v>91.25</v>
      </c>
      <c r="C452" s="11">
        <f t="shared" si="1"/>
        <v>-0.005991285403</v>
      </c>
      <c r="D452" s="13">
        <f t="shared" si="2"/>
        <v>-0.005991285403</v>
      </c>
      <c r="E452" s="35">
        <v>44810.0</v>
      </c>
      <c r="F452" s="12">
        <v>16478.1</v>
      </c>
      <c r="G452" s="11">
        <v>0.007449752</v>
      </c>
      <c r="H452" s="13">
        <v>0.0074</v>
      </c>
      <c r="J452" s="15"/>
      <c r="K452" s="11"/>
      <c r="L452" s="11"/>
      <c r="M452" s="11"/>
      <c r="N452" s="11"/>
    </row>
    <row r="453" ht="15.75" customHeight="1">
      <c r="A453" s="35">
        <v>44779.0</v>
      </c>
      <c r="B453" s="38">
        <v>91.8</v>
      </c>
      <c r="C453" s="11">
        <f t="shared" si="1"/>
        <v>-0.006493506494</v>
      </c>
      <c r="D453" s="13">
        <f t="shared" si="2"/>
        <v>-0.006493506494</v>
      </c>
      <c r="E453" s="35">
        <v>44779.0</v>
      </c>
      <c r="F453" s="12">
        <v>16356.25</v>
      </c>
      <c r="G453" s="11">
        <v>-0.003660984</v>
      </c>
      <c r="H453" s="13">
        <v>-0.0037</v>
      </c>
      <c r="J453" s="15"/>
      <c r="K453" s="11"/>
      <c r="L453" s="11"/>
      <c r="M453" s="11"/>
      <c r="N453" s="11"/>
    </row>
    <row r="454" ht="15.75" customHeight="1">
      <c r="A454" s="35">
        <v>44748.0</v>
      </c>
      <c r="B454" s="38">
        <v>92.4</v>
      </c>
      <c r="C454" s="11">
        <f t="shared" si="1"/>
        <v>-0.001620745543</v>
      </c>
      <c r="D454" s="13">
        <f t="shared" si="2"/>
        <v>-0.001620745543</v>
      </c>
      <c r="E454" s="35">
        <v>44748.0</v>
      </c>
      <c r="F454" s="12">
        <v>16416.35</v>
      </c>
      <c r="G454" s="11">
        <v>-0.009245876</v>
      </c>
      <c r="H454" s="13">
        <v>-0.0092</v>
      </c>
      <c r="J454" s="15"/>
      <c r="K454" s="11"/>
      <c r="L454" s="11"/>
      <c r="M454" s="11"/>
      <c r="N454" s="11"/>
    </row>
    <row r="455" ht="15.75" customHeight="1">
      <c r="A455" s="35">
        <v>44718.0</v>
      </c>
      <c r="B455" s="38">
        <v>92.55</v>
      </c>
      <c r="C455" s="11">
        <f t="shared" si="1"/>
        <v>-0.00963081862</v>
      </c>
      <c r="D455" s="13">
        <f t="shared" si="2"/>
        <v>-0.00963081862</v>
      </c>
      <c r="E455" s="35">
        <v>44718.0</v>
      </c>
      <c r="F455" s="12">
        <v>16569.55</v>
      </c>
      <c r="G455" s="11">
        <v>-8.89395E-4</v>
      </c>
      <c r="H455" s="13">
        <v>-9.0E-4</v>
      </c>
      <c r="J455" s="15"/>
      <c r="K455" s="11"/>
      <c r="L455" s="11"/>
      <c r="M455" s="11"/>
      <c r="N455" s="11"/>
    </row>
    <row r="456" ht="15.75" customHeight="1">
      <c r="A456" s="35">
        <v>44626.0</v>
      </c>
      <c r="B456" s="38">
        <v>93.45</v>
      </c>
      <c r="C456" s="11">
        <f t="shared" si="1"/>
        <v>0.01465798046</v>
      </c>
      <c r="D456" s="13">
        <f t="shared" si="2"/>
        <v>0.01465798046</v>
      </c>
      <c r="E456" s="35">
        <v>44626.0</v>
      </c>
      <c r="F456" s="12">
        <v>16584.3</v>
      </c>
      <c r="G456" s="11">
        <v>-0.002628097</v>
      </c>
      <c r="H456" s="13">
        <v>-0.0026</v>
      </c>
      <c r="J456" s="15"/>
      <c r="K456" s="11"/>
      <c r="L456" s="11"/>
      <c r="M456" s="11"/>
      <c r="N456" s="11"/>
    </row>
    <row r="457" ht="15.75" customHeight="1">
      <c r="A457" s="35">
        <v>44598.0</v>
      </c>
      <c r="B457" s="38">
        <v>92.1</v>
      </c>
      <c r="C457" s="11">
        <f t="shared" si="1"/>
        <v>-0.004324324324</v>
      </c>
      <c r="D457" s="13">
        <f t="shared" si="2"/>
        <v>-0.004324324324</v>
      </c>
      <c r="E457" s="35">
        <v>44598.0</v>
      </c>
      <c r="F457" s="12">
        <v>16628.0</v>
      </c>
      <c r="G457" s="11">
        <v>0.006370005</v>
      </c>
      <c r="H457" s="13">
        <v>0.0064</v>
      </c>
      <c r="J457" s="15"/>
      <c r="K457" s="11"/>
      <c r="L457" s="11"/>
      <c r="M457" s="11"/>
      <c r="N457" s="11"/>
    </row>
    <row r="458" ht="15.75" customHeight="1">
      <c r="A458" s="35">
        <v>44567.0</v>
      </c>
      <c r="B458" s="38">
        <v>92.5</v>
      </c>
      <c r="C458" s="11">
        <f t="shared" si="1"/>
        <v>0.00707675558</v>
      </c>
      <c r="D458" s="13">
        <f t="shared" si="2"/>
        <v>0.00707675558</v>
      </c>
      <c r="E458" s="35">
        <v>44567.0</v>
      </c>
      <c r="F458" s="12">
        <v>16522.75</v>
      </c>
      <c r="G458" s="11">
        <v>-0.00372636</v>
      </c>
      <c r="H458" s="13">
        <v>-0.0037</v>
      </c>
      <c r="J458" s="15"/>
      <c r="K458" s="11"/>
      <c r="L458" s="11"/>
      <c r="M458" s="11"/>
      <c r="N458" s="11"/>
    </row>
    <row r="459" ht="15.75" customHeight="1">
      <c r="A459" s="11" t="s">
        <v>383</v>
      </c>
      <c r="B459" s="38">
        <v>91.85</v>
      </c>
      <c r="C459" s="11">
        <f t="shared" si="1"/>
        <v>-0.01448497854</v>
      </c>
      <c r="D459" s="13">
        <f t="shared" si="2"/>
        <v>-0.01448497854</v>
      </c>
      <c r="E459" s="11" t="s">
        <v>383</v>
      </c>
      <c r="F459" s="12">
        <v>16584.55</v>
      </c>
      <c r="G459" s="11">
        <v>-0.004612458</v>
      </c>
      <c r="H459" s="13">
        <v>-0.0046</v>
      </c>
      <c r="J459" s="15"/>
      <c r="K459" s="11"/>
      <c r="L459" s="11"/>
      <c r="M459" s="11"/>
      <c r="N459" s="11"/>
    </row>
    <row r="460" ht="15.75" customHeight="1">
      <c r="A460" s="11" t="s">
        <v>384</v>
      </c>
      <c r="B460" s="38">
        <v>93.2</v>
      </c>
      <c r="C460" s="11">
        <f t="shared" si="1"/>
        <v>-0.0142781597</v>
      </c>
      <c r="D460" s="13">
        <f t="shared" si="2"/>
        <v>-0.0142781597</v>
      </c>
      <c r="E460" s="11" t="s">
        <v>384</v>
      </c>
      <c r="F460" s="12">
        <v>16661.4</v>
      </c>
      <c r="G460" s="11">
        <v>0.018893193</v>
      </c>
      <c r="H460" s="13">
        <v>0.0189</v>
      </c>
      <c r="J460" s="15"/>
      <c r="K460" s="11"/>
      <c r="L460" s="11"/>
      <c r="M460" s="11"/>
      <c r="N460" s="11"/>
    </row>
    <row r="461" ht="15.75" customHeight="1">
      <c r="A461" s="11" t="s">
        <v>385</v>
      </c>
      <c r="B461" s="38">
        <v>94.55</v>
      </c>
      <c r="C461" s="11">
        <f t="shared" si="1"/>
        <v>-0.04446690248</v>
      </c>
      <c r="D461" s="13">
        <f t="shared" si="2"/>
        <v>-0.04446690248</v>
      </c>
      <c r="E461" s="11" t="s">
        <v>385</v>
      </c>
      <c r="F461" s="12">
        <v>16352.45</v>
      </c>
      <c r="G461" s="11">
        <v>0.01127386</v>
      </c>
      <c r="H461" s="13">
        <v>0.0113</v>
      </c>
      <c r="J461" s="15"/>
      <c r="K461" s="11"/>
      <c r="L461" s="11"/>
      <c r="M461" s="11"/>
      <c r="N461" s="11"/>
    </row>
    <row r="462" ht="15.75" customHeight="1">
      <c r="A462" s="11" t="s">
        <v>386</v>
      </c>
      <c r="B462" s="38">
        <v>98.95</v>
      </c>
      <c r="C462" s="11">
        <f t="shared" si="1"/>
        <v>0.1779761905</v>
      </c>
      <c r="D462" s="13">
        <f t="shared" si="2"/>
        <v>0.1779761905</v>
      </c>
      <c r="E462" s="11" t="s">
        <v>386</v>
      </c>
      <c r="F462" s="12">
        <v>16170.15</v>
      </c>
      <c r="G462" s="11">
        <v>0.009007351</v>
      </c>
      <c r="H462" s="13">
        <v>0.009</v>
      </c>
      <c r="J462" s="15"/>
      <c r="K462" s="11"/>
      <c r="L462" s="11"/>
      <c r="M462" s="11"/>
      <c r="N462" s="11"/>
    </row>
    <row r="463" ht="15.75" customHeight="1">
      <c r="A463" s="11" t="s">
        <v>387</v>
      </c>
      <c r="B463" s="38">
        <v>84.0</v>
      </c>
      <c r="C463" s="11">
        <f t="shared" si="1"/>
        <v>-0.02325581395</v>
      </c>
      <c r="D463" s="13">
        <f t="shared" si="2"/>
        <v>-0.02325581395</v>
      </c>
      <c r="E463" s="11" t="s">
        <v>387</v>
      </c>
      <c r="F463" s="12">
        <v>16025.8</v>
      </c>
      <c r="G463" s="11">
        <v>-0.006161183</v>
      </c>
      <c r="H463" s="13">
        <v>-0.0062</v>
      </c>
      <c r="J463" s="15"/>
      <c r="K463" s="11"/>
      <c r="L463" s="11"/>
      <c r="M463" s="11"/>
      <c r="N463" s="11"/>
    </row>
    <row r="464" ht="15.75" customHeight="1">
      <c r="A464" s="11" t="s">
        <v>388</v>
      </c>
      <c r="B464" s="38">
        <v>86.0</v>
      </c>
      <c r="C464" s="11">
        <f t="shared" si="1"/>
        <v>-0.0243902439</v>
      </c>
      <c r="D464" s="13">
        <f t="shared" si="2"/>
        <v>-0.0243902439</v>
      </c>
      <c r="E464" s="11" t="s">
        <v>388</v>
      </c>
      <c r="F464" s="12">
        <v>16125.15</v>
      </c>
      <c r="G464" s="11">
        <v>-0.005522766</v>
      </c>
      <c r="H464" s="13">
        <v>-0.0055</v>
      </c>
      <c r="J464" s="15"/>
      <c r="K464" s="11"/>
      <c r="L464" s="11"/>
      <c r="M464" s="11"/>
      <c r="N464" s="11"/>
    </row>
    <row r="465" ht="15.75" customHeight="1">
      <c r="A465" s="11" t="s">
        <v>389</v>
      </c>
      <c r="B465" s="38">
        <v>88.15</v>
      </c>
      <c r="C465" s="11">
        <f t="shared" si="1"/>
        <v>0.00570450656</v>
      </c>
      <c r="D465" s="13">
        <f t="shared" si="2"/>
        <v>0.00570450656</v>
      </c>
      <c r="E465" s="11" t="s">
        <v>389</v>
      </c>
      <c r="F465" s="12">
        <v>16214.7</v>
      </c>
      <c r="G465" s="11">
        <v>-0.00316301</v>
      </c>
      <c r="H465" s="13">
        <v>-0.0032</v>
      </c>
      <c r="J465" s="15"/>
      <c r="K465" s="11"/>
      <c r="L465" s="11"/>
      <c r="M465" s="11"/>
      <c r="N465" s="11"/>
    </row>
    <row r="466" ht="15.75" customHeight="1">
      <c r="A466" s="11" t="s">
        <v>390</v>
      </c>
      <c r="B466" s="38">
        <v>87.65</v>
      </c>
      <c r="C466" s="11">
        <f t="shared" si="1"/>
        <v>0.02037252619</v>
      </c>
      <c r="D466" s="13">
        <f t="shared" si="2"/>
        <v>0.02037252619</v>
      </c>
      <c r="E466" s="11" t="s">
        <v>390</v>
      </c>
      <c r="F466" s="12">
        <v>16266.15</v>
      </c>
      <c r="G466" s="11">
        <v>0.02889104</v>
      </c>
      <c r="H466" s="13">
        <v>0.0289</v>
      </c>
      <c r="J466" s="15"/>
      <c r="K466" s="11"/>
      <c r="L466" s="11"/>
      <c r="M466" s="11"/>
      <c r="N466" s="11"/>
    </row>
    <row r="467" ht="15.75" customHeight="1">
      <c r="A467" s="11" t="s">
        <v>391</v>
      </c>
      <c r="B467" s="38">
        <v>85.9</v>
      </c>
      <c r="C467" s="11">
        <f t="shared" si="1"/>
        <v>-0.02330869812</v>
      </c>
      <c r="D467" s="13">
        <f t="shared" si="2"/>
        <v>-0.02330869812</v>
      </c>
      <c r="E467" s="11" t="s">
        <v>391</v>
      </c>
      <c r="F467" s="12">
        <v>15809.4</v>
      </c>
      <c r="G467" s="11">
        <v>-0.026532761</v>
      </c>
      <c r="H467" s="13">
        <v>-0.0265</v>
      </c>
      <c r="J467" s="15"/>
      <c r="K467" s="11"/>
      <c r="L467" s="11"/>
      <c r="M467" s="11"/>
      <c r="N467" s="11"/>
    </row>
    <row r="468" ht="15.75" customHeight="1">
      <c r="A468" s="11" t="s">
        <v>392</v>
      </c>
      <c r="B468" s="38">
        <v>87.95</v>
      </c>
      <c r="C468" s="11">
        <f t="shared" si="1"/>
        <v>0.003422703936</v>
      </c>
      <c r="D468" s="13">
        <f t="shared" si="2"/>
        <v>0.003422703936</v>
      </c>
      <c r="E468" s="11" t="s">
        <v>392</v>
      </c>
      <c r="F468" s="12">
        <v>16240.3</v>
      </c>
      <c r="G468" s="11">
        <v>-0.001168562</v>
      </c>
      <c r="H468" s="13">
        <v>-0.0012</v>
      </c>
      <c r="J468" s="15"/>
      <c r="K468" s="11"/>
      <c r="L468" s="11"/>
      <c r="M468" s="11"/>
      <c r="N468" s="11"/>
    </row>
    <row r="469" ht="15.75" customHeight="1">
      <c r="A469" s="11" t="s">
        <v>393</v>
      </c>
      <c r="B469" s="38">
        <v>87.65</v>
      </c>
      <c r="C469" s="11">
        <f t="shared" si="1"/>
        <v>0.009792626728</v>
      </c>
      <c r="D469" s="13">
        <f t="shared" si="2"/>
        <v>0.009792626728</v>
      </c>
      <c r="E469" s="11" t="s">
        <v>393</v>
      </c>
      <c r="F469" s="12">
        <v>16259.3</v>
      </c>
      <c r="G469" s="11">
        <v>0.026321936</v>
      </c>
      <c r="H469" s="13">
        <v>0.0263</v>
      </c>
      <c r="J469" s="15"/>
      <c r="K469" s="11"/>
      <c r="L469" s="11"/>
      <c r="M469" s="11"/>
      <c r="N469" s="11"/>
    </row>
    <row r="470" ht="15.75" customHeight="1">
      <c r="A470" s="11" t="s">
        <v>394</v>
      </c>
      <c r="B470" s="38">
        <v>86.8</v>
      </c>
      <c r="C470" s="11">
        <f t="shared" si="1"/>
        <v>0.03765690377</v>
      </c>
      <c r="D470" s="13">
        <f t="shared" si="2"/>
        <v>0.03765690377</v>
      </c>
      <c r="E470" s="11" t="s">
        <v>394</v>
      </c>
      <c r="F470" s="12">
        <v>15842.3</v>
      </c>
      <c r="G470" s="11">
        <v>0.003811268</v>
      </c>
      <c r="H470" s="13">
        <v>0.0038</v>
      </c>
      <c r="J470" s="15"/>
      <c r="K470" s="11"/>
      <c r="L470" s="11"/>
      <c r="M470" s="11"/>
      <c r="N470" s="11"/>
    </row>
    <row r="471" ht="15.75" customHeight="1">
      <c r="A471" s="11" t="s">
        <v>395</v>
      </c>
      <c r="B471" s="38">
        <v>83.65</v>
      </c>
      <c r="C471" s="11">
        <f t="shared" si="1"/>
        <v>0.02701043585</v>
      </c>
      <c r="D471" s="13">
        <f t="shared" si="2"/>
        <v>0.02701043585</v>
      </c>
      <c r="E471" s="11" t="s">
        <v>395</v>
      </c>
      <c r="F471" s="12">
        <v>15782.15</v>
      </c>
      <c r="G471" s="11">
        <v>-0.001635248</v>
      </c>
      <c r="H471" s="13">
        <v>-0.0016</v>
      </c>
      <c r="J471" s="15"/>
      <c r="K471" s="11"/>
      <c r="L471" s="11"/>
      <c r="M471" s="11"/>
      <c r="N471" s="11"/>
    </row>
    <row r="472" ht="15.75" customHeight="1">
      <c r="A472" s="35">
        <v>44900.0</v>
      </c>
      <c r="B472" s="38">
        <v>81.45</v>
      </c>
      <c r="C472" s="11">
        <f t="shared" si="1"/>
        <v>-0.02396644697</v>
      </c>
      <c r="D472" s="13">
        <f t="shared" si="2"/>
        <v>-0.02396644697</v>
      </c>
      <c r="E472" s="35">
        <v>44900.0</v>
      </c>
      <c r="F472" s="12">
        <v>15808.0</v>
      </c>
      <c r="G472" s="11">
        <v>-0.022211776</v>
      </c>
      <c r="H472" s="13">
        <v>-0.0222</v>
      </c>
      <c r="J472" s="15"/>
      <c r="K472" s="11"/>
      <c r="L472" s="11"/>
      <c r="M472" s="11"/>
      <c r="N472" s="11"/>
    </row>
    <row r="473" ht="15.75" customHeight="1">
      <c r="A473" s="35">
        <v>44870.0</v>
      </c>
      <c r="B473" s="38">
        <v>83.45</v>
      </c>
      <c r="C473" s="11">
        <f t="shared" si="1"/>
        <v>-0.0613048369</v>
      </c>
      <c r="D473" s="13">
        <f t="shared" si="2"/>
        <v>-0.0613048369</v>
      </c>
      <c r="E473" s="35">
        <v>44870.0</v>
      </c>
      <c r="F473" s="12">
        <v>16167.1</v>
      </c>
      <c r="G473" s="11">
        <v>-0.004491981</v>
      </c>
      <c r="H473" s="13">
        <v>-0.0045</v>
      </c>
      <c r="J473" s="15"/>
      <c r="K473" s="11"/>
      <c r="L473" s="11"/>
      <c r="M473" s="11"/>
      <c r="N473" s="11"/>
    </row>
    <row r="474" ht="15.75" customHeight="1">
      <c r="A474" s="35">
        <v>44839.0</v>
      </c>
      <c r="B474" s="38">
        <v>88.9</v>
      </c>
      <c r="C474" s="11">
        <f t="shared" si="1"/>
        <v>-0.008918617614</v>
      </c>
      <c r="D474" s="13">
        <f t="shared" si="2"/>
        <v>-0.008918617614</v>
      </c>
      <c r="E474" s="35">
        <v>44839.0</v>
      </c>
      <c r="F474" s="12">
        <v>16240.05</v>
      </c>
      <c r="G474" s="11">
        <v>-0.003790981</v>
      </c>
      <c r="H474" s="13">
        <v>-0.0038</v>
      </c>
      <c r="J474" s="15"/>
      <c r="K474" s="11"/>
      <c r="L474" s="11"/>
      <c r="M474" s="11"/>
      <c r="N474" s="11"/>
    </row>
    <row r="475" ht="15.75" customHeight="1">
      <c r="A475" s="35">
        <v>44809.0</v>
      </c>
      <c r="B475" s="38">
        <v>89.7</v>
      </c>
      <c r="C475" s="11">
        <f t="shared" si="1"/>
        <v>-0.01428571429</v>
      </c>
      <c r="D475" s="13">
        <f t="shared" si="2"/>
        <v>-0.01428571429</v>
      </c>
      <c r="E475" s="35">
        <v>44809.0</v>
      </c>
      <c r="F475" s="12">
        <v>16301.85</v>
      </c>
      <c r="G475" s="11">
        <v>-0.006666159</v>
      </c>
      <c r="H475" s="13">
        <v>-0.0067</v>
      </c>
      <c r="J475" s="15"/>
      <c r="K475" s="11"/>
      <c r="L475" s="11"/>
      <c r="M475" s="11"/>
      <c r="N475" s="11"/>
    </row>
    <row r="476" ht="15.75" customHeight="1">
      <c r="A476" s="35">
        <v>44717.0</v>
      </c>
      <c r="B476" s="38">
        <v>91.0</v>
      </c>
      <c r="C476" s="11">
        <f t="shared" si="1"/>
        <v>-0.02203116604</v>
      </c>
      <c r="D476" s="13">
        <f t="shared" si="2"/>
        <v>-0.02203116604</v>
      </c>
      <c r="E476" s="35">
        <v>44717.0</v>
      </c>
      <c r="F476" s="12">
        <v>16411.25</v>
      </c>
      <c r="G476" s="11">
        <v>-0.016268399</v>
      </c>
      <c r="H476" s="13">
        <v>-0.0163</v>
      </c>
      <c r="J476" s="15"/>
      <c r="K476" s="11"/>
      <c r="L476" s="11"/>
      <c r="M476" s="11"/>
      <c r="N476" s="11"/>
    </row>
    <row r="477" ht="15.75" customHeight="1">
      <c r="A477" s="35">
        <v>44686.0</v>
      </c>
      <c r="B477" s="38">
        <v>93.05</v>
      </c>
      <c r="C477" s="11">
        <f t="shared" si="1"/>
        <v>-0.02616431188</v>
      </c>
      <c r="D477" s="13">
        <f t="shared" si="2"/>
        <v>-0.02616431188</v>
      </c>
      <c r="E477" s="35">
        <v>44686.0</v>
      </c>
      <c r="F477" s="12">
        <v>16682.65</v>
      </c>
      <c r="G477" s="11">
        <v>3.02801E-4</v>
      </c>
      <c r="H477" s="13">
        <v>3.0E-4</v>
      </c>
      <c r="J477" s="15"/>
      <c r="K477" s="11"/>
      <c r="L477" s="11"/>
      <c r="M477" s="11"/>
      <c r="N477" s="11"/>
    </row>
    <row r="478" ht="15.75" customHeight="1">
      <c r="A478" s="35">
        <v>44656.0</v>
      </c>
      <c r="B478" s="38">
        <v>95.55</v>
      </c>
      <c r="C478" s="11">
        <f t="shared" si="1"/>
        <v>-0.025</v>
      </c>
      <c r="D478" s="13">
        <f t="shared" si="2"/>
        <v>-0.025</v>
      </c>
      <c r="E478" s="35">
        <v>44656.0</v>
      </c>
      <c r="F478" s="12">
        <v>16677.6</v>
      </c>
      <c r="G478" s="11">
        <v>-0.022936183</v>
      </c>
      <c r="H478" s="13">
        <v>-0.0229</v>
      </c>
      <c r="J478" s="15"/>
      <c r="K478" s="11"/>
      <c r="L478" s="11"/>
      <c r="M478" s="11"/>
      <c r="N478" s="11"/>
    </row>
    <row r="479" ht="15.75" customHeight="1">
      <c r="A479" s="35">
        <v>44597.0</v>
      </c>
      <c r="B479" s="38">
        <v>98.0</v>
      </c>
      <c r="C479" s="11">
        <f t="shared" si="1"/>
        <v>-0.02632886239</v>
      </c>
      <c r="D479" s="13">
        <f t="shared" si="2"/>
        <v>-0.02632886239</v>
      </c>
      <c r="E479" s="35">
        <v>44597.0</v>
      </c>
      <c r="F479" s="12">
        <v>17069.1</v>
      </c>
      <c r="G479" s="11">
        <v>-0.001955849</v>
      </c>
      <c r="H479" s="13">
        <v>-0.002</v>
      </c>
      <c r="J479" s="15"/>
      <c r="K479" s="11"/>
      <c r="L479" s="11"/>
      <c r="M479" s="11"/>
      <c r="N479" s="11"/>
    </row>
    <row r="480" ht="15.75" customHeight="1">
      <c r="A480" s="11" t="s">
        <v>396</v>
      </c>
      <c r="B480" s="38">
        <v>100.65</v>
      </c>
      <c r="C480" s="11">
        <f t="shared" si="1"/>
        <v>0.002490039841</v>
      </c>
      <c r="D480" s="13">
        <f t="shared" si="2"/>
        <v>0.002490039841</v>
      </c>
      <c r="E480" s="11" t="s">
        <v>396</v>
      </c>
      <c r="F480" s="12">
        <v>17102.55</v>
      </c>
      <c r="G480" s="11">
        <v>-0.008263241</v>
      </c>
      <c r="H480" s="13">
        <v>-0.0083</v>
      </c>
      <c r="J480" s="15"/>
      <c r="K480" s="11"/>
      <c r="L480" s="11"/>
      <c r="M480" s="11"/>
      <c r="N480" s="11"/>
    </row>
    <row r="481" ht="15.75" customHeight="1">
      <c r="A481" s="11" t="s">
        <v>397</v>
      </c>
      <c r="B481" s="38">
        <v>100.4</v>
      </c>
      <c r="C481" s="11">
        <f t="shared" si="1"/>
        <v>-0.008395061728</v>
      </c>
      <c r="D481" s="13">
        <f t="shared" si="2"/>
        <v>-0.008395061728</v>
      </c>
      <c r="E481" s="11" t="s">
        <v>397</v>
      </c>
      <c r="F481" s="12">
        <v>17245.05</v>
      </c>
      <c r="G481" s="11">
        <v>0.012128486</v>
      </c>
      <c r="H481" s="13">
        <v>0.0121</v>
      </c>
      <c r="J481" s="15"/>
      <c r="K481" s="11"/>
      <c r="L481" s="11"/>
      <c r="M481" s="11"/>
      <c r="N481" s="11"/>
    </row>
    <row r="482" ht="15.75" customHeight="1">
      <c r="A482" s="11" t="s">
        <v>398</v>
      </c>
      <c r="B482" s="38">
        <v>101.25</v>
      </c>
      <c r="C482" s="11">
        <f t="shared" si="1"/>
        <v>-0.004424778761</v>
      </c>
      <c r="D482" s="13">
        <f t="shared" si="2"/>
        <v>-0.004424778761</v>
      </c>
      <c r="E482" s="11" t="s">
        <v>398</v>
      </c>
      <c r="F482" s="12">
        <v>17038.4</v>
      </c>
      <c r="G482" s="11">
        <v>-0.009441421</v>
      </c>
      <c r="H482" s="13">
        <v>-0.0094</v>
      </c>
      <c r="J482" s="15"/>
      <c r="K482" s="11"/>
      <c r="L482" s="11"/>
      <c r="M482" s="11"/>
      <c r="N482" s="11"/>
    </row>
    <row r="483" ht="15.75" customHeight="1">
      <c r="A483" s="11" t="s">
        <v>399</v>
      </c>
      <c r="B483" s="38">
        <v>101.7</v>
      </c>
      <c r="C483" s="11">
        <f t="shared" si="1"/>
        <v>0.002958579882</v>
      </c>
      <c r="D483" s="13">
        <f t="shared" si="2"/>
        <v>0.002958579882</v>
      </c>
      <c r="E483" s="11" t="s">
        <v>399</v>
      </c>
      <c r="F483" s="12">
        <v>17200.8</v>
      </c>
      <c r="G483" s="11">
        <v>0.014560029</v>
      </c>
      <c r="H483" s="13">
        <v>0.0146</v>
      </c>
      <c r="J483" s="15"/>
      <c r="K483" s="11"/>
      <c r="L483" s="11"/>
      <c r="M483" s="11"/>
      <c r="N483" s="11"/>
    </row>
    <row r="484" ht="15.75" customHeight="1">
      <c r="A484" s="11" t="s">
        <v>400</v>
      </c>
      <c r="B484" s="38">
        <v>101.4</v>
      </c>
      <c r="C484" s="11">
        <f t="shared" si="1"/>
        <v>-0.0169655841</v>
      </c>
      <c r="D484" s="13">
        <f t="shared" si="2"/>
        <v>-0.0169655841</v>
      </c>
      <c r="E484" s="11" t="s">
        <v>400</v>
      </c>
      <c r="F484" s="12">
        <v>16953.95</v>
      </c>
      <c r="G484" s="11">
        <v>-0.012695122</v>
      </c>
      <c r="H484" s="13">
        <v>-0.0127</v>
      </c>
      <c r="J484" s="15"/>
      <c r="K484" s="11"/>
      <c r="L484" s="11"/>
      <c r="M484" s="11"/>
      <c r="N484" s="11"/>
    </row>
    <row r="485" ht="15.75" customHeight="1">
      <c r="A485" s="11" t="s">
        <v>401</v>
      </c>
      <c r="B485" s="38">
        <v>103.15</v>
      </c>
      <c r="C485" s="11">
        <f t="shared" si="1"/>
        <v>0.01375921376</v>
      </c>
      <c r="D485" s="13">
        <f t="shared" si="2"/>
        <v>0.01375921376</v>
      </c>
      <c r="E485" s="11" t="s">
        <v>401</v>
      </c>
      <c r="F485" s="12">
        <v>17171.95</v>
      </c>
      <c r="G485" s="11">
        <v>-0.01268643</v>
      </c>
      <c r="H485" s="13">
        <v>-0.0127</v>
      </c>
      <c r="J485" s="15"/>
      <c r="K485" s="11"/>
      <c r="L485" s="11"/>
      <c r="M485" s="11"/>
      <c r="N485" s="11"/>
    </row>
    <row r="486" ht="15.75" customHeight="1">
      <c r="A486" s="11" t="s">
        <v>402</v>
      </c>
      <c r="B486" s="38">
        <v>101.75</v>
      </c>
      <c r="C486" s="11">
        <f t="shared" si="1"/>
        <v>0.001969473166</v>
      </c>
      <c r="D486" s="13">
        <f t="shared" si="2"/>
        <v>0.001969473166</v>
      </c>
      <c r="E486" s="11" t="s">
        <v>402</v>
      </c>
      <c r="F486" s="12">
        <v>17392.6</v>
      </c>
      <c r="G486" s="11">
        <v>0.014941747</v>
      </c>
      <c r="H486" s="13">
        <v>0.0149</v>
      </c>
      <c r="J486" s="15"/>
      <c r="K486" s="11"/>
      <c r="L486" s="11"/>
      <c r="M486" s="11"/>
      <c r="N486" s="11"/>
    </row>
    <row r="487" ht="15.75" customHeight="1">
      <c r="A487" s="11" t="s">
        <v>403</v>
      </c>
      <c r="B487" s="38">
        <v>101.55</v>
      </c>
      <c r="C487" s="11">
        <f t="shared" si="1"/>
        <v>0.00794044665</v>
      </c>
      <c r="D487" s="13">
        <f t="shared" si="2"/>
        <v>0.00794044665</v>
      </c>
      <c r="E487" s="11" t="s">
        <v>403</v>
      </c>
      <c r="F487" s="12">
        <v>17136.55</v>
      </c>
      <c r="G487" s="11">
        <v>0.010490222</v>
      </c>
      <c r="H487" s="13">
        <v>0.0105</v>
      </c>
      <c r="J487" s="15"/>
      <c r="K487" s="11"/>
      <c r="L487" s="11"/>
      <c r="M487" s="11"/>
      <c r="N487" s="11"/>
    </row>
    <row r="488" ht="15.75" customHeight="1">
      <c r="A488" s="11" t="s">
        <v>404</v>
      </c>
      <c r="B488" s="38">
        <v>100.75</v>
      </c>
      <c r="C488" s="11">
        <f t="shared" si="1"/>
        <v>-0.02891566265</v>
      </c>
      <c r="D488" s="13">
        <f t="shared" si="2"/>
        <v>-0.02891566265</v>
      </c>
      <c r="E488" s="11" t="s">
        <v>404</v>
      </c>
      <c r="F488" s="12">
        <v>16958.65</v>
      </c>
      <c r="G488" s="11">
        <v>-0.012519179</v>
      </c>
      <c r="H488" s="13">
        <v>-0.0125</v>
      </c>
      <c r="J488" s="15"/>
      <c r="K488" s="11"/>
      <c r="L488" s="11"/>
      <c r="M488" s="11"/>
      <c r="N488" s="11"/>
    </row>
    <row r="489" ht="15.75" customHeight="1">
      <c r="A489" s="11" t="s">
        <v>405</v>
      </c>
      <c r="B489" s="38">
        <v>103.75</v>
      </c>
      <c r="C489" s="11">
        <f t="shared" si="1"/>
        <v>0.01170160897</v>
      </c>
      <c r="D489" s="13">
        <f t="shared" si="2"/>
        <v>0.01170160897</v>
      </c>
      <c r="E489" s="11" t="s">
        <v>405</v>
      </c>
      <c r="F489" s="12">
        <v>17173.65</v>
      </c>
      <c r="G489" s="11">
        <v>-0.017281188</v>
      </c>
      <c r="H489" s="13">
        <v>-0.0173</v>
      </c>
      <c r="J489" s="15"/>
      <c r="K489" s="11"/>
      <c r="L489" s="11"/>
      <c r="M489" s="11"/>
      <c r="N489" s="11"/>
    </row>
    <row r="490" ht="15.75" customHeight="1">
      <c r="A490" s="11" t="s">
        <v>406</v>
      </c>
      <c r="B490" s="38">
        <v>102.55</v>
      </c>
      <c r="C490" s="11">
        <f t="shared" si="1"/>
        <v>0.000487804878</v>
      </c>
      <c r="D490" s="13">
        <f t="shared" si="2"/>
        <v>0.000487804878</v>
      </c>
      <c r="E490" s="11" t="s">
        <v>406</v>
      </c>
      <c r="F490" s="12">
        <v>17475.65</v>
      </c>
      <c r="G490" s="11">
        <v>-0.003117459</v>
      </c>
      <c r="H490" s="13">
        <v>-0.0031</v>
      </c>
      <c r="J490" s="15"/>
      <c r="K490" s="11"/>
      <c r="L490" s="11"/>
      <c r="M490" s="11"/>
      <c r="N490" s="11"/>
    </row>
    <row r="491" ht="15.75" customHeight="1">
      <c r="A491" s="35">
        <v>44899.0</v>
      </c>
      <c r="B491" s="38">
        <v>102.5</v>
      </c>
      <c r="C491" s="11">
        <f t="shared" si="1"/>
        <v>-0.01489668429</v>
      </c>
      <c r="D491" s="13">
        <f t="shared" si="2"/>
        <v>-0.01489668429</v>
      </c>
      <c r="E491" s="35">
        <v>44899.0</v>
      </c>
      <c r="F491" s="12">
        <v>17530.3</v>
      </c>
      <c r="G491" s="11">
        <v>-0.008183899</v>
      </c>
      <c r="H491" s="13">
        <v>-0.0082</v>
      </c>
      <c r="J491" s="15"/>
      <c r="K491" s="11"/>
      <c r="L491" s="11"/>
      <c r="M491" s="11"/>
      <c r="N491" s="11"/>
    </row>
    <row r="492" ht="15.75" customHeight="1">
      <c r="A492" s="35">
        <v>44869.0</v>
      </c>
      <c r="B492" s="38">
        <v>104.05</v>
      </c>
      <c r="C492" s="11">
        <f t="shared" si="1"/>
        <v>-0.004782400765</v>
      </c>
      <c r="D492" s="13">
        <f t="shared" si="2"/>
        <v>-0.004782400765</v>
      </c>
      <c r="E492" s="35">
        <v>44869.0</v>
      </c>
      <c r="F492" s="12">
        <v>17674.95</v>
      </c>
      <c r="G492" s="11">
        <v>-0.006151476</v>
      </c>
      <c r="H492" s="13">
        <v>-0.0062</v>
      </c>
      <c r="J492" s="15"/>
      <c r="K492" s="11"/>
      <c r="L492" s="11"/>
      <c r="M492" s="11"/>
      <c r="N492" s="11"/>
    </row>
    <row r="493" ht="15.75" customHeight="1">
      <c r="A493" s="35">
        <v>44777.0</v>
      </c>
      <c r="B493" s="38">
        <v>104.55</v>
      </c>
      <c r="C493" s="11">
        <f t="shared" si="1"/>
        <v>0.008683068017</v>
      </c>
      <c r="D493" s="13">
        <f t="shared" si="2"/>
        <v>0.008683068017</v>
      </c>
      <c r="E493" s="35">
        <v>44777.0</v>
      </c>
      <c r="F493" s="12">
        <v>17784.35</v>
      </c>
      <c r="G493" s="11">
        <v>0.008208826</v>
      </c>
      <c r="H493" s="13">
        <v>0.0082</v>
      </c>
      <c r="J493" s="15"/>
      <c r="K493" s="11"/>
      <c r="L493" s="11"/>
      <c r="M493" s="11"/>
      <c r="N493" s="11"/>
    </row>
    <row r="494" ht="15.75" customHeight="1">
      <c r="A494" s="35">
        <v>44746.0</v>
      </c>
      <c r="B494" s="38">
        <v>103.65</v>
      </c>
      <c r="C494" s="11">
        <f t="shared" si="1"/>
        <v>0.006310679612</v>
      </c>
      <c r="D494" s="13">
        <f t="shared" si="2"/>
        <v>0.006310679612</v>
      </c>
      <c r="E494" s="35">
        <v>44746.0</v>
      </c>
      <c r="F494" s="12">
        <v>17639.55</v>
      </c>
      <c r="G494" s="11">
        <v>-0.009439763</v>
      </c>
      <c r="H494" s="13">
        <v>-0.0094</v>
      </c>
      <c r="J494" s="15"/>
      <c r="K494" s="11"/>
      <c r="L494" s="11"/>
      <c r="M494" s="11"/>
      <c r="N494" s="11"/>
    </row>
    <row r="495" ht="15.75" customHeight="1">
      <c r="A495" s="35">
        <v>44716.0</v>
      </c>
      <c r="B495" s="38">
        <v>103.0</v>
      </c>
      <c r="C495" s="11">
        <f t="shared" si="1"/>
        <v>0.006350757206</v>
      </c>
      <c r="D495" s="13">
        <f t="shared" si="2"/>
        <v>0.006350757206</v>
      </c>
      <c r="E495" s="35">
        <v>44716.0</v>
      </c>
      <c r="F495" s="12">
        <v>17807.65</v>
      </c>
      <c r="G495" s="11">
        <v>-0.008339181</v>
      </c>
      <c r="H495" s="13">
        <v>-0.0083</v>
      </c>
      <c r="J495" s="15"/>
      <c r="K495" s="11"/>
      <c r="L495" s="11"/>
      <c r="M495" s="11"/>
      <c r="N495" s="11"/>
    </row>
    <row r="496" ht="15.75" customHeight="1">
      <c r="A496" s="35">
        <v>44685.0</v>
      </c>
      <c r="B496" s="38">
        <v>102.35</v>
      </c>
      <c r="C496" s="11">
        <f t="shared" si="1"/>
        <v>0.001467710372</v>
      </c>
      <c r="D496" s="13">
        <f t="shared" si="2"/>
        <v>0.001467710372</v>
      </c>
      <c r="E496" s="35">
        <v>44685.0</v>
      </c>
      <c r="F496" s="12">
        <v>17957.4</v>
      </c>
      <c r="G496" s="11">
        <v>-0.005317558</v>
      </c>
      <c r="H496" s="13">
        <v>-0.0053</v>
      </c>
      <c r="J496" s="15"/>
      <c r="K496" s="11"/>
      <c r="L496" s="11"/>
      <c r="M496" s="11"/>
      <c r="N496" s="11"/>
    </row>
    <row r="497" ht="15.75" customHeight="1">
      <c r="A497" s="35">
        <v>44655.0</v>
      </c>
      <c r="B497" s="38">
        <v>102.2</v>
      </c>
      <c r="C497" s="11">
        <f t="shared" si="1"/>
        <v>0.03076147252</v>
      </c>
      <c r="D497" s="13">
        <f t="shared" si="2"/>
        <v>0.03076147252</v>
      </c>
      <c r="E497" s="35">
        <v>44655.0</v>
      </c>
      <c r="F497" s="12">
        <v>18053.4</v>
      </c>
      <c r="G497" s="11">
        <v>0.021671774</v>
      </c>
      <c r="H497" s="13">
        <v>0.0217</v>
      </c>
      <c r="J497" s="15"/>
      <c r="K497" s="11"/>
      <c r="L497" s="11"/>
      <c r="M497" s="11"/>
      <c r="N497" s="11"/>
    </row>
    <row r="498" ht="15.75" customHeight="1">
      <c r="A498" s="35">
        <v>44565.0</v>
      </c>
      <c r="B498" s="38">
        <v>99.15</v>
      </c>
      <c r="C498" s="11">
        <f t="shared" si="1"/>
        <v>0.02799377916</v>
      </c>
      <c r="D498" s="13">
        <f t="shared" si="2"/>
        <v>0.02799377916</v>
      </c>
      <c r="E498" s="35">
        <v>44565.0</v>
      </c>
      <c r="F498" s="12">
        <v>17670.45</v>
      </c>
      <c r="G498" s="11">
        <v>0.01177801</v>
      </c>
      <c r="H498" s="13">
        <v>0.0118</v>
      </c>
      <c r="J498" s="15"/>
      <c r="K498" s="11"/>
      <c r="L498" s="11"/>
      <c r="M498" s="11"/>
      <c r="N498" s="11"/>
    </row>
    <row r="499" ht="15.75" customHeight="1">
      <c r="A499" s="11" t="s">
        <v>407</v>
      </c>
      <c r="B499" s="38">
        <v>96.45</v>
      </c>
      <c r="C499" s="11">
        <f t="shared" si="1"/>
        <v>-0.02081218274</v>
      </c>
      <c r="D499" s="13">
        <f t="shared" si="2"/>
        <v>-0.02081218274</v>
      </c>
      <c r="E499" s="11" t="s">
        <v>407</v>
      </c>
      <c r="F499" s="12">
        <v>17464.75</v>
      </c>
      <c r="G499" s="11">
        <v>-0.001914477</v>
      </c>
      <c r="H499" s="13">
        <v>-0.0019</v>
      </c>
      <c r="J499" s="15"/>
      <c r="K499" s="11"/>
      <c r="L499" s="11"/>
      <c r="M499" s="11"/>
      <c r="N499" s="11"/>
    </row>
    <row r="500" ht="15.75" customHeight="1">
      <c r="A500" s="11" t="s">
        <v>408</v>
      </c>
      <c r="B500" s="38">
        <v>98.5</v>
      </c>
      <c r="C500" s="11">
        <f t="shared" si="1"/>
        <v>0.02764736568</v>
      </c>
      <c r="D500" s="13">
        <f t="shared" si="2"/>
        <v>0.02764736568</v>
      </c>
      <c r="E500" s="11" t="s">
        <v>408</v>
      </c>
      <c r="F500" s="12">
        <v>17498.25</v>
      </c>
      <c r="G500" s="11">
        <v>0.009982511</v>
      </c>
      <c r="H500" s="13">
        <v>0.01</v>
      </c>
      <c r="J500" s="15"/>
      <c r="K500" s="11"/>
      <c r="L500" s="11"/>
      <c r="M500" s="11"/>
      <c r="N500" s="11"/>
    </row>
    <row r="501" ht="15.75" customHeight="1">
      <c r="A501" s="11" t="s">
        <v>409</v>
      </c>
      <c r="B501" s="38">
        <v>95.85</v>
      </c>
      <c r="C501" s="11">
        <f t="shared" si="1"/>
        <v>-0.02591463415</v>
      </c>
      <c r="D501" s="13">
        <f t="shared" si="2"/>
        <v>-0.02591463415</v>
      </c>
      <c r="E501" s="11" t="s">
        <v>409</v>
      </c>
      <c r="F501" s="12">
        <v>17325.3</v>
      </c>
      <c r="G501" s="11">
        <v>0.005998142</v>
      </c>
      <c r="H501" s="13">
        <v>0.006</v>
      </c>
      <c r="J501" s="15"/>
      <c r="K501" s="11"/>
      <c r="L501" s="11"/>
      <c r="M501" s="11"/>
      <c r="N501" s="11"/>
    </row>
    <row r="502" ht="15.75" customHeight="1">
      <c r="A502" s="11" t="s">
        <v>410</v>
      </c>
      <c r="B502" s="38">
        <v>98.4</v>
      </c>
      <c r="C502" s="11">
        <f t="shared" si="1"/>
        <v>-0.016</v>
      </c>
      <c r="D502" s="13">
        <f t="shared" si="2"/>
        <v>-0.016</v>
      </c>
      <c r="E502" s="11" t="s">
        <v>410</v>
      </c>
      <c r="F502" s="12">
        <v>17222.0</v>
      </c>
      <c r="G502" s="11">
        <v>0.00402262</v>
      </c>
      <c r="H502" s="13">
        <v>0.004</v>
      </c>
      <c r="J502" s="15"/>
      <c r="K502" s="11"/>
      <c r="L502" s="11"/>
      <c r="M502" s="11"/>
      <c r="N502" s="11"/>
    </row>
    <row r="503" ht="15.75" customHeight="1">
      <c r="A503" s="11" t="s">
        <v>411</v>
      </c>
      <c r="B503" s="38">
        <v>100.0</v>
      </c>
      <c r="C503" s="11">
        <f t="shared" si="1"/>
        <v>-0.002493765586</v>
      </c>
      <c r="D503" s="13">
        <f t="shared" si="2"/>
        <v>-0.002493765586</v>
      </c>
      <c r="E503" s="11" t="s">
        <v>411</v>
      </c>
      <c r="F503" s="12">
        <v>17153.0</v>
      </c>
      <c r="G503" s="11">
        <v>-0.004049876</v>
      </c>
      <c r="H503" s="13">
        <v>-0.004</v>
      </c>
      <c r="J503" s="15"/>
      <c r="K503" s="11"/>
      <c r="L503" s="11"/>
      <c r="M503" s="11"/>
      <c r="N503" s="11"/>
    </row>
    <row r="504" ht="15.75" customHeight="1">
      <c r="A504" s="11" t="s">
        <v>412</v>
      </c>
      <c r="B504" s="38">
        <v>100.25</v>
      </c>
      <c r="C504" s="11">
        <f t="shared" si="1"/>
        <v>0</v>
      </c>
      <c r="D504" s="13">
        <f t="shared" si="2"/>
        <v>0</v>
      </c>
      <c r="E504" s="11" t="s">
        <v>412</v>
      </c>
      <c r="F504" s="12">
        <v>17222.75</v>
      </c>
      <c r="G504" s="11">
        <v>-0.001327871</v>
      </c>
      <c r="H504" s="13">
        <v>-0.0013</v>
      </c>
      <c r="J504" s="15"/>
      <c r="K504" s="11"/>
      <c r="L504" s="11"/>
      <c r="M504" s="11"/>
      <c r="N504" s="11"/>
    </row>
    <row r="505" ht="15.75" customHeight="1">
      <c r="A505" s="11" t="s">
        <v>413</v>
      </c>
      <c r="B505" s="38">
        <v>100.25</v>
      </c>
      <c r="C505" s="11">
        <f t="shared" si="1"/>
        <v>-0.007916872835</v>
      </c>
      <c r="D505" s="13">
        <f t="shared" si="2"/>
        <v>-0.007916872835</v>
      </c>
      <c r="E505" s="11" t="s">
        <v>413</v>
      </c>
      <c r="F505" s="12">
        <v>17245.65</v>
      </c>
      <c r="G505" s="11">
        <v>-0.004033958</v>
      </c>
      <c r="H505" s="13">
        <v>-0.004</v>
      </c>
      <c r="J505" s="15"/>
      <c r="K505" s="11"/>
      <c r="L505" s="11"/>
      <c r="M505" s="11"/>
      <c r="N505" s="11"/>
    </row>
    <row r="506" ht="15.75" customHeight="1">
      <c r="A506" s="11" t="s">
        <v>414</v>
      </c>
      <c r="B506" s="38">
        <v>101.05</v>
      </c>
      <c r="C506" s="11">
        <f t="shared" si="1"/>
        <v>0</v>
      </c>
      <c r="D506" s="13">
        <f t="shared" si="2"/>
        <v>0</v>
      </c>
      <c r="E506" s="11" t="s">
        <v>414</v>
      </c>
      <c r="F506" s="12">
        <v>17315.5</v>
      </c>
      <c r="G506" s="11">
        <v>0.0115612</v>
      </c>
      <c r="H506" s="13">
        <v>0.0116</v>
      </c>
      <c r="J506" s="15"/>
      <c r="K506" s="11"/>
      <c r="L506" s="11"/>
      <c r="M506" s="11"/>
      <c r="N506" s="11"/>
    </row>
    <row r="507" ht="15.75" customHeight="1">
      <c r="A507" s="11" t="s">
        <v>415</v>
      </c>
      <c r="B507" s="38">
        <v>101.05</v>
      </c>
      <c r="C507" s="11">
        <f t="shared" si="1"/>
        <v>-0.01558694593</v>
      </c>
      <c r="D507" s="13">
        <f t="shared" si="2"/>
        <v>-0.01558694593</v>
      </c>
      <c r="E507" s="11" t="s">
        <v>415</v>
      </c>
      <c r="F507" s="12">
        <v>17117.6</v>
      </c>
      <c r="G507" s="11">
        <v>-0.009802135</v>
      </c>
      <c r="H507" s="13">
        <v>-0.0098</v>
      </c>
      <c r="J507" s="15"/>
      <c r="K507" s="11"/>
      <c r="L507" s="11"/>
      <c r="M507" s="11"/>
      <c r="N507" s="11"/>
    </row>
    <row r="508" ht="15.75" customHeight="1">
      <c r="A508" s="11" t="s">
        <v>416</v>
      </c>
      <c r="B508" s="38">
        <v>102.65</v>
      </c>
      <c r="C508" s="11">
        <f t="shared" si="1"/>
        <v>0.05552699229</v>
      </c>
      <c r="D508" s="13">
        <f t="shared" si="2"/>
        <v>0.05552699229</v>
      </c>
      <c r="E508" s="11" t="s">
        <v>416</v>
      </c>
      <c r="F508" s="12">
        <v>17287.05</v>
      </c>
      <c r="G508" s="11">
        <v>0.018361919</v>
      </c>
      <c r="H508" s="13">
        <v>0.0184</v>
      </c>
      <c r="J508" s="15"/>
      <c r="K508" s="11"/>
      <c r="L508" s="11"/>
      <c r="M508" s="11"/>
      <c r="N508" s="11"/>
    </row>
    <row r="509" ht="15.75" customHeight="1">
      <c r="A509" s="11" t="s">
        <v>417</v>
      </c>
      <c r="B509" s="38">
        <v>97.25</v>
      </c>
      <c r="C509" s="11">
        <f t="shared" si="1"/>
        <v>0.01513569937</v>
      </c>
      <c r="D509" s="13">
        <f t="shared" si="2"/>
        <v>0.01513569937</v>
      </c>
      <c r="E509" s="11" t="s">
        <v>417</v>
      </c>
      <c r="F509" s="12">
        <v>16975.35</v>
      </c>
      <c r="G509" s="11">
        <v>0.018745124</v>
      </c>
      <c r="H509" s="13">
        <v>0.0187</v>
      </c>
      <c r="J509" s="15"/>
      <c r="K509" s="11"/>
      <c r="L509" s="11"/>
      <c r="M509" s="11"/>
      <c r="N509" s="11"/>
    </row>
    <row r="510" ht="15.75" customHeight="1">
      <c r="A510" s="11" t="s">
        <v>418</v>
      </c>
      <c r="B510" s="38">
        <v>95.8</v>
      </c>
      <c r="C510" s="11">
        <f t="shared" si="1"/>
        <v>-0.008794619762</v>
      </c>
      <c r="D510" s="13">
        <f t="shared" si="2"/>
        <v>-0.008794619762</v>
      </c>
      <c r="E510" s="11" t="s">
        <v>418</v>
      </c>
      <c r="F510" s="12">
        <v>16663.0</v>
      </c>
      <c r="G510" s="11">
        <v>-0.012346411</v>
      </c>
      <c r="H510" s="13">
        <v>-0.0123</v>
      </c>
      <c r="J510" s="15"/>
      <c r="K510" s="11"/>
      <c r="L510" s="11"/>
      <c r="M510" s="11"/>
      <c r="N510" s="11"/>
    </row>
    <row r="511" ht="15.75" customHeight="1">
      <c r="A511" s="11" t="s">
        <v>419</v>
      </c>
      <c r="B511" s="38">
        <v>96.65</v>
      </c>
      <c r="C511" s="11">
        <f t="shared" si="1"/>
        <v>-0.0102406554</v>
      </c>
      <c r="D511" s="13">
        <f t="shared" si="2"/>
        <v>-0.0102406554</v>
      </c>
      <c r="E511" s="11" t="s">
        <v>419</v>
      </c>
      <c r="F511" s="12">
        <v>16871.3</v>
      </c>
      <c r="G511" s="11">
        <v>0.01448247</v>
      </c>
      <c r="H511" s="13">
        <v>0.0145</v>
      </c>
      <c r="J511" s="15"/>
      <c r="K511" s="11"/>
      <c r="L511" s="11"/>
      <c r="M511" s="11"/>
      <c r="N511" s="11"/>
    </row>
    <row r="512" ht="15.75" customHeight="1">
      <c r="A512" s="35">
        <v>44868.0</v>
      </c>
      <c r="B512" s="38">
        <v>97.65</v>
      </c>
      <c r="C512" s="11">
        <f t="shared" si="1"/>
        <v>-0.0005117707267</v>
      </c>
      <c r="D512" s="13">
        <f t="shared" si="2"/>
        <v>-0.0005117707267</v>
      </c>
      <c r="E512" s="35">
        <v>44868.0</v>
      </c>
      <c r="F512" s="12">
        <v>16630.45</v>
      </c>
      <c r="G512" s="11">
        <v>0.002142224</v>
      </c>
      <c r="H512" s="13">
        <v>0.0021</v>
      </c>
      <c r="J512" s="15"/>
      <c r="K512" s="11"/>
      <c r="L512" s="11"/>
      <c r="M512" s="11"/>
      <c r="N512" s="11"/>
    </row>
    <row r="513" ht="15.75" customHeight="1">
      <c r="A513" s="35">
        <v>44837.0</v>
      </c>
      <c r="B513" s="38">
        <v>97.7</v>
      </c>
      <c r="C513" s="11">
        <f t="shared" si="1"/>
        <v>0.007216494845</v>
      </c>
      <c r="D513" s="13">
        <f t="shared" si="2"/>
        <v>0.007216494845</v>
      </c>
      <c r="E513" s="35">
        <v>44837.0</v>
      </c>
      <c r="F513" s="12">
        <v>16594.9</v>
      </c>
      <c r="G513" s="11">
        <v>0.015267339</v>
      </c>
      <c r="H513" s="13">
        <v>0.0153</v>
      </c>
      <c r="J513" s="15"/>
      <c r="K513" s="11"/>
      <c r="L513" s="11"/>
      <c r="M513" s="11"/>
      <c r="N513" s="11"/>
    </row>
    <row r="514" ht="15.75" customHeight="1">
      <c r="A514" s="35">
        <v>44807.0</v>
      </c>
      <c r="B514" s="38">
        <v>97.0</v>
      </c>
      <c r="C514" s="11">
        <f t="shared" si="1"/>
        <v>0.03910016069</v>
      </c>
      <c r="D514" s="13">
        <f t="shared" si="2"/>
        <v>0.03910016069</v>
      </c>
      <c r="E514" s="35">
        <v>44807.0</v>
      </c>
      <c r="F514" s="12">
        <v>16345.35</v>
      </c>
      <c r="G514" s="11">
        <v>0.020726327</v>
      </c>
      <c r="H514" s="13">
        <v>0.0207</v>
      </c>
      <c r="J514" s="15"/>
      <c r="K514" s="11"/>
      <c r="L514" s="11"/>
      <c r="M514" s="11"/>
      <c r="N514" s="11"/>
    </row>
    <row r="515" ht="15.75" customHeight="1">
      <c r="A515" s="35">
        <v>44776.0</v>
      </c>
      <c r="B515" s="38">
        <v>93.35</v>
      </c>
      <c r="C515" s="11">
        <f t="shared" si="1"/>
        <v>0.01357220413</v>
      </c>
      <c r="D515" s="13">
        <f t="shared" si="2"/>
        <v>0.01357220413</v>
      </c>
      <c r="E515" s="35">
        <v>44776.0</v>
      </c>
      <c r="F515" s="12">
        <v>16013.45</v>
      </c>
      <c r="G515" s="11">
        <v>0.009474789</v>
      </c>
      <c r="H515" s="13">
        <v>0.0095</v>
      </c>
      <c r="J515" s="15"/>
      <c r="K515" s="11"/>
      <c r="L515" s="11"/>
      <c r="M515" s="11"/>
      <c r="N515" s="11"/>
    </row>
    <row r="516" ht="15.75" customHeight="1">
      <c r="A516" s="35">
        <v>44745.0</v>
      </c>
      <c r="B516" s="38">
        <v>92.1</v>
      </c>
      <c r="C516" s="11">
        <f t="shared" si="1"/>
        <v>-0.01812366738</v>
      </c>
      <c r="D516" s="13">
        <f t="shared" si="2"/>
        <v>-0.01812366738</v>
      </c>
      <c r="E516" s="35">
        <v>44745.0</v>
      </c>
      <c r="F516" s="12">
        <v>15863.15</v>
      </c>
      <c r="G516" s="11">
        <v>-0.023526732</v>
      </c>
      <c r="H516" s="13">
        <v>-0.0235</v>
      </c>
      <c r="J516" s="15"/>
      <c r="K516" s="11"/>
      <c r="L516" s="11"/>
      <c r="M516" s="11"/>
      <c r="N516" s="11"/>
    </row>
    <row r="517" ht="15.75" customHeight="1">
      <c r="A517" s="35">
        <v>44654.0</v>
      </c>
      <c r="B517" s="38">
        <v>93.8</v>
      </c>
      <c r="C517" s="11">
        <f t="shared" si="1"/>
        <v>-0.01054852321</v>
      </c>
      <c r="D517" s="13">
        <f t="shared" si="2"/>
        <v>-0.01054852321</v>
      </c>
      <c r="E517" s="35">
        <v>44654.0</v>
      </c>
      <c r="F517" s="12">
        <v>16245.35</v>
      </c>
      <c r="G517" s="11">
        <v>-0.015316962</v>
      </c>
      <c r="H517" s="13">
        <v>-0.0153</v>
      </c>
      <c r="J517" s="15"/>
      <c r="K517" s="11"/>
      <c r="L517" s="11"/>
      <c r="M517" s="11"/>
      <c r="N517" s="11"/>
    </row>
    <row r="518" ht="15.75" customHeight="1">
      <c r="A518" s="35">
        <v>44623.0</v>
      </c>
      <c r="B518" s="38">
        <v>94.8</v>
      </c>
      <c r="C518" s="11">
        <f t="shared" si="1"/>
        <v>0.01444622793</v>
      </c>
      <c r="D518" s="13">
        <f t="shared" si="2"/>
        <v>0.01444622793</v>
      </c>
      <c r="E518" s="35">
        <v>44623.0</v>
      </c>
      <c r="F518" s="12">
        <v>16498.05</v>
      </c>
      <c r="G518" s="11">
        <v>-0.006497671</v>
      </c>
      <c r="H518" s="13">
        <v>-0.0065</v>
      </c>
      <c r="J518" s="15"/>
      <c r="K518" s="11"/>
      <c r="L518" s="11"/>
      <c r="M518" s="11"/>
      <c r="N518" s="11"/>
    </row>
    <row r="519" ht="15.75" customHeight="1">
      <c r="A519" s="35">
        <v>44595.0</v>
      </c>
      <c r="B519" s="38">
        <v>93.45</v>
      </c>
      <c r="C519" s="11">
        <f t="shared" si="1"/>
        <v>-0.00901378579</v>
      </c>
      <c r="D519" s="13">
        <f t="shared" si="2"/>
        <v>-0.00901378579</v>
      </c>
      <c r="E519" s="35">
        <v>44595.0</v>
      </c>
      <c r="F519" s="12">
        <v>16605.95</v>
      </c>
      <c r="G519" s="11">
        <v>-0.011191564</v>
      </c>
      <c r="H519" s="13">
        <v>-0.0112</v>
      </c>
      <c r="J519" s="15"/>
      <c r="K519" s="11"/>
      <c r="L519" s="11"/>
      <c r="M519" s="11"/>
      <c r="N519" s="11"/>
    </row>
    <row r="520" ht="15.75" customHeight="1">
      <c r="A520" s="11" t="s">
        <v>420</v>
      </c>
      <c r="B520" s="38">
        <v>94.3</v>
      </c>
      <c r="C520" s="11">
        <f t="shared" si="1"/>
        <v>-0.01049317943</v>
      </c>
      <c r="D520" s="13">
        <f t="shared" si="2"/>
        <v>-0.01049317943</v>
      </c>
      <c r="E520" s="11" t="s">
        <v>420</v>
      </c>
      <c r="F520" s="12">
        <v>16793.9</v>
      </c>
      <c r="G520" s="11">
        <v>0.008134034</v>
      </c>
      <c r="H520" s="13">
        <v>0.0081</v>
      </c>
      <c r="J520" s="15"/>
      <c r="K520" s="11"/>
      <c r="L520" s="11"/>
      <c r="M520" s="11"/>
      <c r="N520" s="11"/>
    </row>
    <row r="521" ht="15.75" customHeight="1">
      <c r="A521" s="11" t="s">
        <v>421</v>
      </c>
      <c r="B521" s="38">
        <v>95.3</v>
      </c>
      <c r="C521" s="11">
        <f t="shared" si="1"/>
        <v>0.05187637969</v>
      </c>
      <c r="D521" s="13">
        <f t="shared" si="2"/>
        <v>0.05187637969</v>
      </c>
      <c r="E521" s="11" t="s">
        <v>421</v>
      </c>
      <c r="F521" s="12">
        <v>16658.4</v>
      </c>
      <c r="G521" s="11">
        <v>0.025261648</v>
      </c>
      <c r="H521" s="13">
        <v>0.0253</v>
      </c>
      <c r="J521" s="15"/>
      <c r="K521" s="11"/>
      <c r="L521" s="11"/>
      <c r="M521" s="11"/>
      <c r="N521" s="11"/>
    </row>
    <row r="522" ht="15.75" customHeight="1">
      <c r="A522" s="11" t="s">
        <v>422</v>
      </c>
      <c r="B522" s="38">
        <v>90.6</v>
      </c>
      <c r="C522" s="11">
        <f t="shared" si="1"/>
        <v>-0.1034141514</v>
      </c>
      <c r="D522" s="13">
        <f t="shared" si="2"/>
        <v>-0.1034141514</v>
      </c>
      <c r="E522" s="11" t="s">
        <v>422</v>
      </c>
      <c r="F522" s="12">
        <v>16247.95</v>
      </c>
      <c r="G522" s="11">
        <v>-0.04778105</v>
      </c>
      <c r="H522" s="13">
        <v>-0.0478</v>
      </c>
      <c r="J522" s="15"/>
      <c r="K522" s="11"/>
      <c r="L522" s="11"/>
      <c r="M522" s="11"/>
      <c r="N522" s="11"/>
    </row>
    <row r="523" ht="15.75" customHeight="1">
      <c r="A523" s="11" t="s">
        <v>423</v>
      </c>
      <c r="B523" s="38">
        <v>101.05</v>
      </c>
      <c r="C523" s="11">
        <f t="shared" si="1"/>
        <v>0.001983143282</v>
      </c>
      <c r="D523" s="13">
        <f t="shared" si="2"/>
        <v>0.001983143282</v>
      </c>
      <c r="E523" s="11" t="s">
        <v>423</v>
      </c>
      <c r="F523" s="12">
        <v>17063.25</v>
      </c>
      <c r="G523" s="11">
        <v>-0.001693755</v>
      </c>
      <c r="H523" s="13">
        <v>-0.0017</v>
      </c>
      <c r="J523" s="15"/>
      <c r="K523" s="11"/>
      <c r="L523" s="11"/>
      <c r="M523" s="11"/>
      <c r="N523" s="11"/>
    </row>
    <row r="524" ht="15.75" customHeight="1">
      <c r="A524" s="11" t="s">
        <v>424</v>
      </c>
      <c r="B524" s="38">
        <v>100.85</v>
      </c>
      <c r="C524" s="11">
        <f t="shared" si="1"/>
        <v>-0.03814973772</v>
      </c>
      <c r="D524" s="13">
        <f t="shared" si="2"/>
        <v>-0.03814973772</v>
      </c>
      <c r="E524" s="11" t="s">
        <v>424</v>
      </c>
      <c r="F524" s="12">
        <v>17092.2</v>
      </c>
      <c r="G524" s="11">
        <v>-0.006651498</v>
      </c>
      <c r="H524" s="13">
        <v>-0.0067</v>
      </c>
      <c r="J524" s="15"/>
      <c r="K524" s="11"/>
      <c r="L524" s="11"/>
      <c r="M524" s="11"/>
      <c r="N524" s="11"/>
    </row>
    <row r="525" ht="15.75" customHeight="1">
      <c r="A525" s="11" t="s">
        <v>425</v>
      </c>
      <c r="B525" s="38">
        <v>104.85</v>
      </c>
      <c r="C525" s="11">
        <f t="shared" si="1"/>
        <v>-0.03319502075</v>
      </c>
      <c r="D525" s="13">
        <f t="shared" si="2"/>
        <v>-0.03319502075</v>
      </c>
      <c r="E525" s="11" t="s">
        <v>425</v>
      </c>
      <c r="F525" s="12">
        <v>17206.65</v>
      </c>
      <c r="G525" s="11">
        <v>-0.004031535</v>
      </c>
      <c r="H525" s="13">
        <v>-0.004</v>
      </c>
      <c r="J525" s="15"/>
      <c r="K525" s="11"/>
      <c r="L525" s="11"/>
      <c r="M525" s="11"/>
      <c r="N525" s="11"/>
    </row>
    <row r="526" ht="15.75" customHeight="1">
      <c r="A526" s="11" t="s">
        <v>426</v>
      </c>
      <c r="B526" s="38">
        <v>108.45</v>
      </c>
      <c r="C526" s="11">
        <f t="shared" si="1"/>
        <v>-0.006413192854</v>
      </c>
      <c r="D526" s="13">
        <f t="shared" si="2"/>
        <v>-0.006413192854</v>
      </c>
      <c r="E526" s="11" t="s">
        <v>426</v>
      </c>
      <c r="F526" s="12">
        <v>17276.3</v>
      </c>
      <c r="G526" s="11">
        <v>-0.001635403</v>
      </c>
      <c r="H526" s="13">
        <v>-0.0016</v>
      </c>
      <c r="J526" s="15"/>
      <c r="K526" s="11"/>
      <c r="L526" s="11"/>
      <c r="M526" s="11"/>
      <c r="N526" s="11"/>
    </row>
    <row r="527" ht="15.75" customHeight="1">
      <c r="A527" s="11" t="s">
        <v>427</v>
      </c>
      <c r="B527" s="38">
        <v>109.15</v>
      </c>
      <c r="C527" s="11">
        <f t="shared" si="1"/>
        <v>-0.05864596809</v>
      </c>
      <c r="D527" s="13">
        <f t="shared" si="2"/>
        <v>-0.05864596809</v>
      </c>
      <c r="E527" s="11" t="s">
        <v>427</v>
      </c>
      <c r="F527" s="12">
        <v>17304.6</v>
      </c>
      <c r="G527" s="11">
        <v>-0.001016037</v>
      </c>
      <c r="H527" s="13">
        <v>-0.001</v>
      </c>
      <c r="J527" s="15"/>
      <c r="K527" s="11"/>
      <c r="L527" s="11"/>
      <c r="M527" s="11"/>
      <c r="N527" s="11"/>
    </row>
    <row r="528" ht="15.75" customHeight="1">
      <c r="A528" s="11" t="s">
        <v>428</v>
      </c>
      <c r="B528" s="38">
        <v>115.95</v>
      </c>
      <c r="C528" s="11">
        <f t="shared" si="1"/>
        <v>0.04884667571</v>
      </c>
      <c r="D528" s="13">
        <f t="shared" si="2"/>
        <v>0.04884667571</v>
      </c>
      <c r="E528" s="11" t="s">
        <v>428</v>
      </c>
      <c r="F528" s="12">
        <v>17322.2</v>
      </c>
      <c r="G528" s="11">
        <v>-0.00174327</v>
      </c>
      <c r="H528" s="13">
        <v>-0.0017</v>
      </c>
      <c r="J528" s="15"/>
      <c r="K528" s="11"/>
      <c r="L528" s="11"/>
      <c r="M528" s="11"/>
      <c r="N528" s="11"/>
    </row>
    <row r="529" ht="15.75" customHeight="1">
      <c r="A529" s="11" t="s">
        <v>429</v>
      </c>
      <c r="B529" s="38">
        <v>110.55</v>
      </c>
      <c r="C529" s="11">
        <f t="shared" si="1"/>
        <v>0.00408719346</v>
      </c>
      <c r="D529" s="13">
        <f t="shared" si="2"/>
        <v>0.00408719346</v>
      </c>
      <c r="E529" s="11" t="s">
        <v>429</v>
      </c>
      <c r="F529" s="12">
        <v>17352.45</v>
      </c>
      <c r="G529" s="11">
        <v>0.030259221</v>
      </c>
      <c r="H529" s="13">
        <v>0.0303</v>
      </c>
      <c r="J529" s="15"/>
      <c r="K529" s="11"/>
      <c r="L529" s="11"/>
      <c r="M529" s="11"/>
      <c r="N529" s="11"/>
    </row>
    <row r="530" ht="15.75" customHeight="1">
      <c r="A530" s="11" t="s">
        <v>430</v>
      </c>
      <c r="B530" s="38">
        <v>110.1</v>
      </c>
      <c r="C530" s="11">
        <f t="shared" si="1"/>
        <v>-0.03378674857</v>
      </c>
      <c r="D530" s="13">
        <f t="shared" si="2"/>
        <v>-0.03378674857</v>
      </c>
      <c r="E530" s="11" t="s">
        <v>430</v>
      </c>
      <c r="F530" s="12">
        <v>16842.8</v>
      </c>
      <c r="G530" s="11">
        <v>-0.030616268</v>
      </c>
      <c r="H530" s="13">
        <v>-0.0306</v>
      </c>
      <c r="J530" s="15"/>
      <c r="K530" s="11"/>
      <c r="L530" s="11"/>
      <c r="M530" s="11"/>
      <c r="N530" s="11"/>
    </row>
    <row r="531" ht="15.75" customHeight="1">
      <c r="A531" s="35">
        <v>44867.0</v>
      </c>
      <c r="B531" s="38">
        <v>113.95</v>
      </c>
      <c r="C531" s="11">
        <f t="shared" si="1"/>
        <v>-0.007404181185</v>
      </c>
      <c r="D531" s="13">
        <f t="shared" si="2"/>
        <v>-0.007404181185</v>
      </c>
      <c r="E531" s="35">
        <v>44867.0</v>
      </c>
      <c r="F531" s="12">
        <v>17374.75</v>
      </c>
      <c r="G531" s="11">
        <v>-0.013126319</v>
      </c>
      <c r="H531" s="13">
        <v>-0.0131</v>
      </c>
      <c r="J531" s="15"/>
      <c r="K531" s="11"/>
      <c r="L531" s="11"/>
      <c r="M531" s="11"/>
      <c r="N531" s="11"/>
    </row>
    <row r="532" ht="15.75" customHeight="1">
      <c r="A532" s="35">
        <v>44836.0</v>
      </c>
      <c r="B532" s="38">
        <v>114.8</v>
      </c>
      <c r="C532" s="11">
        <f t="shared" si="1"/>
        <v>-0.001304915181</v>
      </c>
      <c r="D532" s="13">
        <f t="shared" si="2"/>
        <v>-0.001304915181</v>
      </c>
      <c r="E532" s="35">
        <v>44836.0</v>
      </c>
      <c r="F532" s="12">
        <v>17605.85</v>
      </c>
      <c r="G532" s="11">
        <v>0.008133969</v>
      </c>
      <c r="H532" s="13">
        <v>0.0081</v>
      </c>
      <c r="J532" s="15"/>
      <c r="K532" s="11"/>
      <c r="L532" s="11"/>
      <c r="M532" s="11"/>
      <c r="N532" s="11"/>
    </row>
    <row r="533" ht="15.75" customHeight="1">
      <c r="A533" s="35">
        <v>44806.0</v>
      </c>
      <c r="B533" s="38">
        <v>114.95</v>
      </c>
      <c r="C533" s="11">
        <f t="shared" si="1"/>
        <v>0</v>
      </c>
      <c r="D533" s="13">
        <f t="shared" si="2"/>
        <v>0</v>
      </c>
      <c r="E533" s="35">
        <v>44806.0</v>
      </c>
      <c r="F533" s="12">
        <v>17463.8</v>
      </c>
      <c r="G533" s="11">
        <v>0.011412107</v>
      </c>
      <c r="H533" s="13">
        <v>0.0114</v>
      </c>
      <c r="J533" s="15"/>
      <c r="K533" s="11"/>
      <c r="L533" s="11"/>
      <c r="M533" s="11"/>
      <c r="N533" s="11"/>
    </row>
    <row r="534" ht="15.75" customHeight="1">
      <c r="A534" s="35">
        <v>44775.0</v>
      </c>
      <c r="B534" s="38">
        <v>114.95</v>
      </c>
      <c r="C534" s="11">
        <f t="shared" si="1"/>
        <v>-0.01160791058</v>
      </c>
      <c r="D534" s="13">
        <f t="shared" si="2"/>
        <v>-0.01160791058</v>
      </c>
      <c r="E534" s="35">
        <v>44775.0</v>
      </c>
      <c r="F534" s="12">
        <v>17266.75</v>
      </c>
      <c r="G534" s="11">
        <v>0.003087675</v>
      </c>
      <c r="H534" s="13">
        <v>0.0031</v>
      </c>
      <c r="J534" s="15"/>
      <c r="K534" s="11"/>
      <c r="L534" s="11"/>
      <c r="M534" s="11"/>
      <c r="N534" s="11"/>
    </row>
    <row r="535" ht="15.75" customHeight="1">
      <c r="A535" s="35">
        <v>44744.0</v>
      </c>
      <c r="B535" s="38">
        <v>116.3</v>
      </c>
      <c r="C535" s="11">
        <f t="shared" si="1"/>
        <v>-0.002572898799</v>
      </c>
      <c r="D535" s="13">
        <f t="shared" si="2"/>
        <v>-0.002572898799</v>
      </c>
      <c r="E535" s="35">
        <v>44744.0</v>
      </c>
      <c r="F535" s="12">
        <v>17213.6</v>
      </c>
      <c r="G535" s="11">
        <v>-0.017281047</v>
      </c>
      <c r="H535" s="13">
        <v>-0.0173</v>
      </c>
      <c r="J535" s="15"/>
      <c r="K535" s="11"/>
      <c r="L535" s="11"/>
      <c r="M535" s="11"/>
      <c r="N535" s="11"/>
    </row>
    <row r="536" ht="15.75" customHeight="1">
      <c r="A536" s="35">
        <v>44653.0</v>
      </c>
      <c r="B536" s="38">
        <v>116.6</v>
      </c>
      <c r="C536" s="11">
        <f t="shared" si="1"/>
        <v>-0.002992731937</v>
      </c>
      <c r="D536" s="13">
        <f t="shared" si="2"/>
        <v>-0.002992731937</v>
      </c>
      <c r="E536" s="35">
        <v>44653.0</v>
      </c>
      <c r="F536" s="12">
        <v>17516.3</v>
      </c>
      <c r="G536" s="11">
        <v>-0.002499972</v>
      </c>
      <c r="H536" s="13">
        <v>-0.0025</v>
      </c>
      <c r="J536" s="15"/>
      <c r="K536" s="11"/>
      <c r="L536" s="11"/>
      <c r="M536" s="11"/>
      <c r="N536" s="11"/>
    </row>
    <row r="537" ht="15.75" customHeight="1">
      <c r="A537" s="35">
        <v>44622.0</v>
      </c>
      <c r="B537" s="38">
        <v>116.95</v>
      </c>
      <c r="C537" s="11">
        <f t="shared" si="1"/>
        <v>-0.01308016878</v>
      </c>
      <c r="D537" s="13">
        <f t="shared" si="2"/>
        <v>-0.01308016878</v>
      </c>
      <c r="E537" s="35">
        <v>44622.0</v>
      </c>
      <c r="F537" s="12">
        <v>17560.2</v>
      </c>
      <c r="G537" s="11">
        <v>-0.012362205</v>
      </c>
      <c r="H537" s="13">
        <v>-0.0124</v>
      </c>
      <c r="J537" s="15"/>
      <c r="K537" s="11"/>
      <c r="L537" s="11"/>
      <c r="M537" s="11"/>
      <c r="N537" s="11"/>
    </row>
    <row r="538" ht="15.75" customHeight="1">
      <c r="A538" s="35">
        <v>44594.0</v>
      </c>
      <c r="B538" s="38">
        <v>118.5</v>
      </c>
      <c r="C538" s="11">
        <f t="shared" si="1"/>
        <v>0.02111158983</v>
      </c>
      <c r="D538" s="13">
        <f t="shared" si="2"/>
        <v>0.02111158983</v>
      </c>
      <c r="E538" s="35">
        <v>44594.0</v>
      </c>
      <c r="F538" s="12">
        <v>17780.0</v>
      </c>
      <c r="G538" s="11">
        <v>0.011557816</v>
      </c>
      <c r="H538" s="13">
        <v>0.0116</v>
      </c>
      <c r="J538" s="15"/>
      <c r="K538" s="11"/>
      <c r="L538" s="11"/>
      <c r="M538" s="11"/>
      <c r="N538" s="11"/>
    </row>
    <row r="539" ht="15.75" customHeight="1">
      <c r="A539" s="35">
        <v>44563.0</v>
      </c>
      <c r="B539" s="38">
        <v>116.05</v>
      </c>
      <c r="C539" s="11">
        <f t="shared" si="1"/>
        <v>0.007378472222</v>
      </c>
      <c r="D539" s="13">
        <f t="shared" si="2"/>
        <v>0.007378472222</v>
      </c>
      <c r="E539" s="35">
        <v>44563.0</v>
      </c>
      <c r="F539" s="12">
        <v>17576.85</v>
      </c>
      <c r="G539" s="11">
        <v>0.013667938</v>
      </c>
      <c r="H539" s="13">
        <v>0.0137</v>
      </c>
      <c r="J539" s="15"/>
      <c r="K539" s="11"/>
      <c r="L539" s="11"/>
      <c r="M539" s="11"/>
      <c r="N539" s="11"/>
    </row>
    <row r="540" ht="15.75" customHeight="1">
      <c r="A540" s="11" t="s">
        <v>431</v>
      </c>
      <c r="B540" s="38">
        <v>115.2</v>
      </c>
      <c r="C540" s="11">
        <f t="shared" si="1"/>
        <v>0.006553079948</v>
      </c>
      <c r="D540" s="13">
        <f t="shared" si="2"/>
        <v>0.006553079948</v>
      </c>
      <c r="E540" s="11" t="s">
        <v>431</v>
      </c>
      <c r="F540" s="12">
        <v>17339.85</v>
      </c>
      <c r="G540" s="11">
        <v>0.013910694</v>
      </c>
      <c r="H540" s="13">
        <v>0.0139</v>
      </c>
      <c r="J540" s="15"/>
      <c r="K540" s="11"/>
      <c r="L540" s="11"/>
      <c r="M540" s="11"/>
      <c r="N540" s="11"/>
    </row>
    <row r="541" ht="15.75" customHeight="1">
      <c r="A541" s="11" t="s">
        <v>432</v>
      </c>
      <c r="B541" s="38">
        <v>114.45</v>
      </c>
      <c r="C541" s="11">
        <f t="shared" si="1"/>
        <v>0.006596306069</v>
      </c>
      <c r="D541" s="13">
        <f t="shared" si="2"/>
        <v>0.006596306069</v>
      </c>
      <c r="E541" s="11" t="s">
        <v>432</v>
      </c>
      <c r="F541" s="12">
        <v>17101.95</v>
      </c>
      <c r="G541" s="11">
        <v>-4.79248E-4</v>
      </c>
      <c r="H541" s="13">
        <v>-5.0E-4</v>
      </c>
      <c r="J541" s="15"/>
      <c r="K541" s="11"/>
      <c r="L541" s="11"/>
      <c r="M541" s="11"/>
      <c r="N541" s="11"/>
    </row>
    <row r="542" ht="15.75" customHeight="1">
      <c r="A542" s="11" t="s">
        <v>433</v>
      </c>
      <c r="B542" s="38">
        <v>113.7</v>
      </c>
      <c r="C542" s="11">
        <f t="shared" si="1"/>
        <v>-0.003068829461</v>
      </c>
      <c r="D542" s="13">
        <f t="shared" si="2"/>
        <v>-0.003068829461</v>
      </c>
      <c r="E542" s="11" t="s">
        <v>433</v>
      </c>
      <c r="F542" s="12">
        <v>17110.15</v>
      </c>
      <c r="G542" s="11">
        <v>-0.0097118</v>
      </c>
      <c r="H542" s="13">
        <v>-0.0097</v>
      </c>
      <c r="J542" s="15"/>
      <c r="K542" s="11"/>
      <c r="L542" s="11"/>
      <c r="M542" s="11"/>
      <c r="N542" s="11"/>
    </row>
    <row r="543" ht="15.75" customHeight="1">
      <c r="A543" s="11" t="s">
        <v>434</v>
      </c>
      <c r="B543" s="38">
        <v>114.05</v>
      </c>
      <c r="C543" s="11">
        <f t="shared" si="1"/>
        <v>0.005731922399</v>
      </c>
      <c r="D543" s="13">
        <f t="shared" si="2"/>
        <v>0.005731922399</v>
      </c>
      <c r="E543" s="11" t="s">
        <v>434</v>
      </c>
      <c r="F543" s="12">
        <v>17277.95</v>
      </c>
      <c r="G543" s="11">
        <v>0.007513514</v>
      </c>
      <c r="H543" s="13">
        <v>0.0075</v>
      </c>
      <c r="J543" s="15"/>
      <c r="K543" s="11"/>
      <c r="L543" s="11"/>
      <c r="M543" s="11"/>
      <c r="N543" s="11"/>
    </row>
    <row r="544" ht="15.75" customHeight="1">
      <c r="A544" s="11" t="s">
        <v>435</v>
      </c>
      <c r="B544" s="38">
        <v>113.4</v>
      </c>
      <c r="C544" s="11">
        <f t="shared" si="1"/>
        <v>-0.03694267516</v>
      </c>
      <c r="D544" s="13">
        <f t="shared" si="2"/>
        <v>-0.03694267516</v>
      </c>
      <c r="E544" s="11" t="s">
        <v>435</v>
      </c>
      <c r="F544" s="12">
        <v>17149.1</v>
      </c>
      <c r="G544" s="11">
        <v>-0.026567861</v>
      </c>
      <c r="H544" s="13">
        <v>-0.0266</v>
      </c>
      <c r="J544" s="15"/>
      <c r="K544" s="11"/>
      <c r="L544" s="11"/>
      <c r="M544" s="11"/>
      <c r="N544" s="11"/>
    </row>
    <row r="545" ht="15.75" customHeight="1">
      <c r="A545" s="11" t="s">
        <v>436</v>
      </c>
      <c r="B545" s="38">
        <v>117.75</v>
      </c>
      <c r="C545" s="11">
        <f t="shared" si="1"/>
        <v>-0.02079002079</v>
      </c>
      <c r="D545" s="13">
        <f t="shared" si="2"/>
        <v>-0.02079002079</v>
      </c>
      <c r="E545" s="11" t="s">
        <v>436</v>
      </c>
      <c r="F545" s="12">
        <v>17617.15</v>
      </c>
      <c r="G545" s="11">
        <v>-0.007875767</v>
      </c>
      <c r="H545" s="13">
        <v>-0.0079</v>
      </c>
      <c r="J545" s="15"/>
      <c r="K545" s="11"/>
      <c r="L545" s="11"/>
      <c r="M545" s="11"/>
      <c r="N545" s="11"/>
    </row>
    <row r="546" ht="15.75" customHeight="1">
      <c r="A546" s="11" t="s">
        <v>437</v>
      </c>
      <c r="B546" s="38">
        <v>120.25</v>
      </c>
      <c r="C546" s="11">
        <f t="shared" si="1"/>
        <v>0.01305812974</v>
      </c>
      <c r="D546" s="13">
        <f t="shared" si="2"/>
        <v>0.01305812974</v>
      </c>
      <c r="E546" s="11" t="s">
        <v>437</v>
      </c>
      <c r="F546" s="12">
        <v>17757.0</v>
      </c>
      <c r="G546" s="11">
        <v>-0.010112385</v>
      </c>
      <c r="H546" s="13">
        <v>-0.0101</v>
      </c>
      <c r="J546" s="15"/>
      <c r="K546" s="11"/>
      <c r="L546" s="11"/>
      <c r="M546" s="11"/>
      <c r="N546" s="11"/>
    </row>
    <row r="547" ht="15.75" customHeight="1">
      <c r="A547" s="11" t="s">
        <v>438</v>
      </c>
      <c r="B547" s="38">
        <v>118.7</v>
      </c>
      <c r="C547" s="11">
        <f t="shared" si="1"/>
        <v>-0.01042100875</v>
      </c>
      <c r="D547" s="13">
        <f t="shared" si="2"/>
        <v>-0.01042100875</v>
      </c>
      <c r="E547" s="11" t="s">
        <v>438</v>
      </c>
      <c r="F547" s="12">
        <v>17938.4</v>
      </c>
      <c r="G547" s="11">
        <v>-0.009642219</v>
      </c>
      <c r="H547" s="13">
        <v>-0.0096</v>
      </c>
      <c r="J547" s="15"/>
      <c r="K547" s="11"/>
      <c r="L547" s="11"/>
      <c r="M547" s="11"/>
      <c r="N547" s="11"/>
    </row>
    <row r="548" ht="15.75" customHeight="1">
      <c r="A548" s="11" t="s">
        <v>439</v>
      </c>
      <c r="B548" s="38">
        <v>119.95</v>
      </c>
      <c r="C548" s="11">
        <f t="shared" si="1"/>
        <v>-0.003737541528</v>
      </c>
      <c r="D548" s="13">
        <f t="shared" si="2"/>
        <v>-0.003737541528</v>
      </c>
      <c r="E548" s="11" t="s">
        <v>439</v>
      </c>
      <c r="F548" s="12">
        <v>18113.05</v>
      </c>
      <c r="G548" s="11">
        <v>-0.010653754</v>
      </c>
      <c r="H548" s="13">
        <v>-0.0107</v>
      </c>
      <c r="J548" s="15"/>
      <c r="K548" s="11"/>
      <c r="L548" s="11"/>
      <c r="M548" s="11"/>
      <c r="N548" s="11"/>
    </row>
    <row r="549" ht="15.75" customHeight="1">
      <c r="A549" s="11" t="s">
        <v>440</v>
      </c>
      <c r="B549" s="38">
        <v>120.4</v>
      </c>
      <c r="C549" s="11">
        <f t="shared" si="1"/>
        <v>0.005427974948</v>
      </c>
      <c r="D549" s="13">
        <f t="shared" si="2"/>
        <v>0.005427974948</v>
      </c>
      <c r="E549" s="11" t="s">
        <v>440</v>
      </c>
      <c r="F549" s="12">
        <v>18308.1</v>
      </c>
      <c r="G549" s="11">
        <v>0.00286759</v>
      </c>
      <c r="H549" s="13">
        <v>0.0029</v>
      </c>
      <c r="J549" s="15"/>
      <c r="K549" s="11"/>
      <c r="L549" s="11"/>
      <c r="M549" s="11"/>
      <c r="N549" s="11"/>
    </row>
    <row r="550" ht="15.75" customHeight="1">
      <c r="A550" s="11" t="s">
        <v>441</v>
      </c>
      <c r="B550" s="38">
        <v>119.75</v>
      </c>
      <c r="C550" s="11">
        <f t="shared" si="1"/>
        <v>0.005457598657</v>
      </c>
      <c r="D550" s="13">
        <f t="shared" si="2"/>
        <v>0.005457598657</v>
      </c>
      <c r="E550" s="11" t="s">
        <v>441</v>
      </c>
      <c r="F550" s="12">
        <v>18255.75</v>
      </c>
      <c r="G550" s="11">
        <v>-1.12281E-4</v>
      </c>
      <c r="H550" s="13">
        <v>-1.0E-4</v>
      </c>
      <c r="J550" s="15"/>
      <c r="K550" s="11"/>
      <c r="L550" s="11"/>
      <c r="M550" s="11"/>
      <c r="N550" s="11"/>
    </row>
    <row r="551" ht="15.75" customHeight="1">
      <c r="A551" s="11" t="s">
        <v>442</v>
      </c>
      <c r="B551" s="38">
        <v>119.1</v>
      </c>
      <c r="C551" s="11">
        <f t="shared" si="1"/>
        <v>-0.004596740493</v>
      </c>
      <c r="D551" s="13">
        <f t="shared" si="2"/>
        <v>-0.004596740493</v>
      </c>
      <c r="E551" s="11" t="s">
        <v>442</v>
      </c>
      <c r="F551" s="12">
        <v>18257.8</v>
      </c>
      <c r="G551" s="11">
        <v>0.002495559</v>
      </c>
      <c r="H551" s="13">
        <v>0.0025</v>
      </c>
      <c r="J551" s="15"/>
      <c r="K551" s="11"/>
      <c r="L551" s="11"/>
      <c r="M551" s="11"/>
      <c r="N551" s="11"/>
    </row>
    <row r="552" ht="15.75" customHeight="1">
      <c r="A552" s="35">
        <v>44896.0</v>
      </c>
      <c r="B552" s="38">
        <v>119.65</v>
      </c>
      <c r="C552" s="11">
        <f t="shared" si="1"/>
        <v>-0.000417710944</v>
      </c>
      <c r="D552" s="13">
        <f t="shared" si="2"/>
        <v>-0.000417710944</v>
      </c>
      <c r="E552" s="35">
        <v>44896.0</v>
      </c>
      <c r="F552" s="12">
        <v>18212.35</v>
      </c>
      <c r="G552" s="11">
        <v>0.008673137</v>
      </c>
      <c r="H552" s="13">
        <v>0.0087</v>
      </c>
      <c r="J552" s="15"/>
      <c r="K552" s="11"/>
      <c r="L552" s="11"/>
      <c r="M552" s="11"/>
      <c r="N552" s="11"/>
    </row>
    <row r="553" ht="15.75" customHeight="1">
      <c r="A553" s="35">
        <v>44866.0</v>
      </c>
      <c r="B553" s="38">
        <v>119.7</v>
      </c>
      <c r="C553" s="11">
        <f t="shared" si="1"/>
        <v>0.00630517024</v>
      </c>
      <c r="D553" s="13">
        <f t="shared" si="2"/>
        <v>0.00630517024</v>
      </c>
      <c r="E553" s="35">
        <v>44866.0</v>
      </c>
      <c r="F553" s="12">
        <v>18055.75</v>
      </c>
      <c r="G553" s="11">
        <v>0.002913355</v>
      </c>
      <c r="H553" s="13">
        <v>0.0029</v>
      </c>
      <c r="J553" s="15"/>
      <c r="K553" s="11"/>
      <c r="L553" s="11"/>
      <c r="M553" s="11"/>
      <c r="N553" s="11"/>
    </row>
    <row r="554" ht="15.75" customHeight="1">
      <c r="A554" s="35">
        <v>44835.0</v>
      </c>
      <c r="B554" s="38">
        <v>118.95</v>
      </c>
      <c r="C554" s="11">
        <f t="shared" si="1"/>
        <v>0.007623888183</v>
      </c>
      <c r="D554" s="13">
        <f t="shared" si="2"/>
        <v>0.007623888183</v>
      </c>
      <c r="E554" s="35">
        <v>44835.0</v>
      </c>
      <c r="F554" s="12">
        <v>18003.3</v>
      </c>
      <c r="G554" s="11">
        <v>0.010700231</v>
      </c>
      <c r="H554" s="13">
        <v>0.0107</v>
      </c>
      <c r="J554" s="15"/>
      <c r="K554" s="11"/>
      <c r="L554" s="11"/>
      <c r="M554" s="11"/>
      <c r="N554" s="11"/>
    </row>
    <row r="555" ht="15.75" customHeight="1">
      <c r="A555" s="35">
        <v>44743.0</v>
      </c>
      <c r="B555" s="38">
        <v>118.05</v>
      </c>
      <c r="C555" s="11">
        <f t="shared" si="1"/>
        <v>-0.001691331924</v>
      </c>
      <c r="D555" s="13">
        <f t="shared" si="2"/>
        <v>-0.001691331924</v>
      </c>
      <c r="E555" s="35">
        <v>44743.0</v>
      </c>
      <c r="F555" s="12">
        <v>17812.7</v>
      </c>
      <c r="G555" s="11">
        <v>0.00376425</v>
      </c>
      <c r="H555" s="13">
        <v>0.0038</v>
      </c>
      <c r="J555" s="15"/>
      <c r="K555" s="11"/>
      <c r="L555" s="11"/>
      <c r="M555" s="11"/>
      <c r="N555" s="11"/>
    </row>
    <row r="556" ht="15.75" customHeight="1">
      <c r="A556" s="35">
        <v>44713.0</v>
      </c>
      <c r="B556" s="38">
        <v>118.25</v>
      </c>
      <c r="C556" s="11">
        <f t="shared" si="1"/>
        <v>-0.00462962963</v>
      </c>
      <c r="D556" s="13">
        <f t="shared" si="2"/>
        <v>-0.00462962963</v>
      </c>
      <c r="E556" s="35">
        <v>44713.0</v>
      </c>
      <c r="F556" s="12">
        <v>17745.9</v>
      </c>
      <c r="G556" s="11">
        <v>-0.010005439</v>
      </c>
      <c r="H556" s="13">
        <v>-0.01</v>
      </c>
      <c r="J556" s="15"/>
      <c r="K556" s="11"/>
      <c r="L556" s="11"/>
      <c r="M556" s="11"/>
      <c r="N556" s="11"/>
    </row>
    <row r="557" ht="15.75" customHeight="1">
      <c r="A557" s="35">
        <v>44682.0</v>
      </c>
      <c r="B557" s="38">
        <v>118.8</v>
      </c>
      <c r="C557" s="11">
        <f t="shared" si="1"/>
        <v>0.005927180356</v>
      </c>
      <c r="D557" s="13">
        <f t="shared" si="2"/>
        <v>0.005927180356</v>
      </c>
      <c r="E557" s="35">
        <v>44682.0</v>
      </c>
      <c r="F557" s="12">
        <v>17925.25</v>
      </c>
      <c r="G557" s="11">
        <v>0.006739585</v>
      </c>
      <c r="H557" s="13">
        <v>0.0067</v>
      </c>
      <c r="J557" s="15"/>
      <c r="K557" s="11"/>
      <c r="L557" s="11"/>
      <c r="M557" s="11"/>
      <c r="N557" s="11"/>
    </row>
    <row r="558" ht="15.75" customHeight="1">
      <c r="A558" s="35">
        <v>44652.0</v>
      </c>
      <c r="B558" s="38">
        <v>118.1</v>
      </c>
      <c r="C558" s="11">
        <f t="shared" si="1"/>
        <v>-0.0004231908591</v>
      </c>
      <c r="D558" s="13">
        <f t="shared" si="2"/>
        <v>-0.0004231908591</v>
      </c>
      <c r="E558" s="35">
        <v>44652.0</v>
      </c>
      <c r="F558" s="12">
        <v>17805.25</v>
      </c>
      <c r="G558" s="11">
        <v>0.010186829</v>
      </c>
      <c r="H558" s="13">
        <v>0.0102</v>
      </c>
      <c r="J558" s="15"/>
      <c r="K558" s="11"/>
      <c r="L558" s="11"/>
      <c r="M558" s="11"/>
      <c r="N558" s="11"/>
    </row>
    <row r="559" ht="15.75" customHeight="1">
      <c r="A559" s="35">
        <v>44621.0</v>
      </c>
      <c r="B559" s="38">
        <v>118.15</v>
      </c>
      <c r="C559" s="11">
        <f t="shared" si="1"/>
        <v>0.003397027601</v>
      </c>
      <c r="D559" s="13">
        <f t="shared" si="2"/>
        <v>0.003397027601</v>
      </c>
      <c r="E559" s="35">
        <v>44621.0</v>
      </c>
      <c r="F559" s="12">
        <v>17625.7</v>
      </c>
      <c r="G559" s="11">
        <v>0.015653407</v>
      </c>
      <c r="H559" s="13">
        <v>0.0157</v>
      </c>
      <c r="J559" s="15"/>
      <c r="K559" s="11"/>
      <c r="L559" s="11"/>
      <c r="M559" s="11"/>
      <c r="N559" s="11"/>
    </row>
    <row r="560" ht="15.75" customHeight="1">
      <c r="A560" s="11" t="s">
        <v>443</v>
      </c>
      <c r="B560" s="38">
        <v>117.75</v>
      </c>
      <c r="C560" s="11">
        <f t="shared" si="1"/>
        <v>0.005121638924</v>
      </c>
      <c r="D560" s="13">
        <f t="shared" si="2"/>
        <v>0.005121638924</v>
      </c>
      <c r="E560" s="11" t="s">
        <v>443</v>
      </c>
      <c r="F560" s="12">
        <v>17354.05</v>
      </c>
      <c r="G560" s="11">
        <v>0.008724741</v>
      </c>
      <c r="H560" s="13">
        <v>0.0087</v>
      </c>
      <c r="J560" s="15"/>
      <c r="K560" s="11"/>
      <c r="L560" s="11"/>
      <c r="M560" s="11"/>
      <c r="N560" s="11"/>
    </row>
    <row r="561" ht="15.75" customHeight="1">
      <c r="A561" s="11" t="s">
        <v>444</v>
      </c>
      <c r="B561" s="38">
        <v>117.15</v>
      </c>
      <c r="C561" s="11">
        <f t="shared" si="1"/>
        <v>-0.02658911508</v>
      </c>
      <c r="D561" s="13">
        <f t="shared" si="2"/>
        <v>-0.02658911508</v>
      </c>
      <c r="E561" s="11" t="s">
        <v>444</v>
      </c>
      <c r="F561" s="12">
        <v>17203.95</v>
      </c>
      <c r="G561" s="11">
        <v>-5.60603E-4</v>
      </c>
      <c r="H561" s="13">
        <v>-6.0E-4</v>
      </c>
      <c r="J561" s="15"/>
      <c r="K561" s="11"/>
      <c r="L561" s="11"/>
      <c r="M561" s="11"/>
      <c r="N561" s="11"/>
    </row>
    <row r="562" ht="15.75" customHeight="1">
      <c r="A562" s="11" t="s">
        <v>445</v>
      </c>
      <c r="B562" s="38">
        <v>120.35</v>
      </c>
      <c r="C562" s="11">
        <f t="shared" si="1"/>
        <v>-0.02035002035</v>
      </c>
      <c r="D562" s="13">
        <f t="shared" si="2"/>
        <v>-0.02035002035</v>
      </c>
      <c r="E562" s="11" t="s">
        <v>445</v>
      </c>
      <c r="F562" s="12">
        <v>17213.6</v>
      </c>
      <c r="G562" s="11">
        <v>-0.001140238</v>
      </c>
      <c r="H562" s="13">
        <v>-0.0011</v>
      </c>
      <c r="J562" s="15"/>
      <c r="K562" s="11"/>
      <c r="L562" s="11"/>
      <c r="M562" s="11"/>
      <c r="N562" s="11"/>
    </row>
    <row r="563" ht="15.75" customHeight="1">
      <c r="A563" s="11" t="s">
        <v>446</v>
      </c>
      <c r="B563" s="38">
        <v>122.85</v>
      </c>
      <c r="C563" s="11">
        <f t="shared" si="1"/>
        <v>0.04198473282</v>
      </c>
      <c r="D563" s="13">
        <f t="shared" si="2"/>
        <v>0.04198473282</v>
      </c>
      <c r="E563" s="11" t="s">
        <v>446</v>
      </c>
      <c r="F563" s="12">
        <v>17233.25</v>
      </c>
      <c r="G563" s="11">
        <v>0.008603409</v>
      </c>
      <c r="H563" s="13">
        <v>0.0086</v>
      </c>
      <c r="J563" s="15"/>
      <c r="K563" s="11"/>
      <c r="L563" s="11"/>
      <c r="M563" s="11"/>
      <c r="N563" s="11"/>
    </row>
    <row r="564" ht="15.75" customHeight="1">
      <c r="A564" s="11" t="s">
        <v>447</v>
      </c>
      <c r="B564" s="38">
        <v>117.9</v>
      </c>
      <c r="C564" s="11">
        <f t="shared" si="1"/>
        <v>0.01550387597</v>
      </c>
      <c r="D564" s="13">
        <f t="shared" si="2"/>
        <v>0.01550387597</v>
      </c>
      <c r="E564" s="11" t="s">
        <v>447</v>
      </c>
      <c r="F564" s="12">
        <v>17086.25</v>
      </c>
      <c r="G564" s="11">
        <v>0.004851871</v>
      </c>
      <c r="H564" s="13">
        <v>0.0049</v>
      </c>
      <c r="J564" s="15"/>
      <c r="K564" s="11"/>
      <c r="L564" s="11"/>
      <c r="M564" s="11"/>
      <c r="N564" s="11"/>
    </row>
    <row r="565" ht="15.75" customHeight="1">
      <c r="A565" s="11" t="s">
        <v>448</v>
      </c>
      <c r="B565" s="38">
        <v>116.1</v>
      </c>
      <c r="C565" s="11">
        <f t="shared" si="1"/>
        <v>0.009565217391</v>
      </c>
      <c r="D565" s="13">
        <f t="shared" si="2"/>
        <v>0.009565217391</v>
      </c>
      <c r="E565" s="11" t="s">
        <v>448</v>
      </c>
      <c r="F565" s="12">
        <v>17003.75</v>
      </c>
      <c r="G565" s="11">
        <v>-0.004032778</v>
      </c>
      <c r="H565" s="13">
        <v>-0.004</v>
      </c>
      <c r="J565" s="15"/>
      <c r="K565" s="11"/>
      <c r="L565" s="11"/>
      <c r="M565" s="11"/>
      <c r="N565" s="11"/>
    </row>
    <row r="566" ht="15.75" customHeight="1">
      <c r="A566" s="11" t="s">
        <v>449</v>
      </c>
      <c r="B566" s="38">
        <v>115.0</v>
      </c>
      <c r="C566" s="11">
        <f t="shared" si="1"/>
        <v>0.01769911504</v>
      </c>
      <c r="D566" s="13">
        <f t="shared" si="2"/>
        <v>0.01769911504</v>
      </c>
      <c r="E566" s="11" t="s">
        <v>449</v>
      </c>
      <c r="F566" s="12">
        <v>17072.6</v>
      </c>
      <c r="G566" s="11">
        <v>0.006909283</v>
      </c>
      <c r="H566" s="13">
        <v>0.0069</v>
      </c>
      <c r="J566" s="15"/>
      <c r="K566" s="11"/>
      <c r="L566" s="11"/>
      <c r="M566" s="11"/>
      <c r="N566" s="11"/>
    </row>
    <row r="567" ht="15.75" customHeight="1">
      <c r="A567" s="11" t="s">
        <v>450</v>
      </c>
      <c r="B567" s="38">
        <v>113.0</v>
      </c>
      <c r="C567" s="11">
        <f t="shared" si="1"/>
        <v>0.008478357876</v>
      </c>
      <c r="D567" s="13">
        <f t="shared" si="2"/>
        <v>0.008478357876</v>
      </c>
      <c r="E567" s="11" t="s">
        <v>450</v>
      </c>
      <c r="F567" s="12">
        <v>16955.45</v>
      </c>
      <c r="G567" s="11">
        <v>0.011007194</v>
      </c>
      <c r="H567" s="13">
        <v>0.011</v>
      </c>
      <c r="J567" s="15"/>
      <c r="K567" s="11"/>
      <c r="L567" s="11"/>
      <c r="M567" s="11"/>
      <c r="N567" s="11"/>
    </row>
    <row r="568" ht="15.75" customHeight="1">
      <c r="A568" s="11" t="s">
        <v>451</v>
      </c>
      <c r="B568" s="38">
        <v>112.05</v>
      </c>
      <c r="C568" s="11">
        <f t="shared" si="1"/>
        <v>0.01311030741</v>
      </c>
      <c r="D568" s="13">
        <f t="shared" si="2"/>
        <v>0.01311030741</v>
      </c>
      <c r="E568" s="11" t="s">
        <v>451</v>
      </c>
      <c r="F568" s="12">
        <v>16770.85</v>
      </c>
      <c r="G568" s="11">
        <v>0.009428681</v>
      </c>
      <c r="H568" s="13">
        <v>0.0094</v>
      </c>
      <c r="J568" s="15"/>
      <c r="K568" s="11"/>
      <c r="L568" s="11"/>
      <c r="M568" s="11"/>
      <c r="N568" s="11"/>
    </row>
    <row r="569" ht="15.75" customHeight="1">
      <c r="A569" s="11" t="s">
        <v>452</v>
      </c>
      <c r="B569" s="38">
        <v>110.6</v>
      </c>
      <c r="C569" s="11">
        <f t="shared" si="1"/>
        <v>-0.02253645603</v>
      </c>
      <c r="D569" s="13">
        <f t="shared" si="2"/>
        <v>-0.02253645603</v>
      </c>
      <c r="E569" s="11" t="s">
        <v>452</v>
      </c>
      <c r="F569" s="12">
        <v>16614.2</v>
      </c>
      <c r="G569" s="11">
        <v>-0.021842545</v>
      </c>
      <c r="H569" s="13">
        <v>-0.0218</v>
      </c>
      <c r="J569" s="15"/>
      <c r="K569" s="11"/>
      <c r="L569" s="11"/>
      <c r="M569" s="11"/>
      <c r="N569" s="11"/>
    </row>
    <row r="570" ht="15.75" customHeight="1">
      <c r="A570" s="11" t="s">
        <v>453</v>
      </c>
      <c r="B570" s="38">
        <v>113.15</v>
      </c>
      <c r="C570" s="11">
        <f t="shared" si="1"/>
        <v>-0.02917202917</v>
      </c>
      <c r="D570" s="13">
        <f t="shared" si="2"/>
        <v>-0.02917202917</v>
      </c>
      <c r="E570" s="11" t="s">
        <v>453</v>
      </c>
      <c r="F570" s="12">
        <v>16985.2</v>
      </c>
      <c r="G570" s="11">
        <v>-0.015259386</v>
      </c>
      <c r="H570" s="13">
        <v>-0.0153</v>
      </c>
      <c r="J570" s="15"/>
      <c r="K570" s="11"/>
      <c r="L570" s="11"/>
      <c r="M570" s="11"/>
      <c r="N570" s="11"/>
    </row>
    <row r="571" ht="15.75" customHeight="1">
      <c r="A571" s="11" t="s">
        <v>454</v>
      </c>
      <c r="B571" s="38">
        <v>116.55</v>
      </c>
      <c r="C571" s="11">
        <f t="shared" si="1"/>
        <v>-0.02386934673</v>
      </c>
      <c r="D571" s="13">
        <f t="shared" si="2"/>
        <v>-0.02386934673</v>
      </c>
      <c r="E571" s="11" t="s">
        <v>454</v>
      </c>
      <c r="F571" s="12">
        <v>17248.4</v>
      </c>
      <c r="G571" s="11">
        <v>0.001567817</v>
      </c>
      <c r="H571" s="13">
        <v>0.0016</v>
      </c>
      <c r="J571" s="15"/>
      <c r="K571" s="11"/>
      <c r="L571" s="11"/>
      <c r="M571" s="11"/>
      <c r="N571" s="11"/>
    </row>
    <row r="572" ht="15.75" customHeight="1">
      <c r="A572" s="11" t="s">
        <v>455</v>
      </c>
      <c r="B572" s="38">
        <v>119.4</v>
      </c>
      <c r="C572" s="11">
        <f t="shared" si="1"/>
        <v>0.01358234295</v>
      </c>
      <c r="D572" s="13">
        <f t="shared" si="2"/>
        <v>0.01358234295</v>
      </c>
      <c r="E572" s="11" t="s">
        <v>455</v>
      </c>
      <c r="F572" s="12">
        <v>17221.4</v>
      </c>
      <c r="G572" s="11">
        <v>-0.00597406</v>
      </c>
      <c r="H572" s="13">
        <v>-0.006</v>
      </c>
      <c r="J572" s="15"/>
      <c r="K572" s="11"/>
      <c r="L572" s="11"/>
      <c r="M572" s="11"/>
      <c r="N572" s="11"/>
    </row>
    <row r="573" ht="15.75" customHeight="1">
      <c r="A573" s="11" t="s">
        <v>456</v>
      </c>
      <c r="B573" s="38">
        <v>117.8</v>
      </c>
      <c r="C573" s="11">
        <f t="shared" si="1"/>
        <v>-0.01257334451</v>
      </c>
      <c r="D573" s="13">
        <f t="shared" si="2"/>
        <v>-0.01257334451</v>
      </c>
      <c r="E573" s="11" t="s">
        <v>456</v>
      </c>
      <c r="F573" s="12">
        <v>17324.9</v>
      </c>
      <c r="G573" s="11">
        <v>-0.002495934</v>
      </c>
      <c r="H573" s="13">
        <v>-0.0025</v>
      </c>
      <c r="J573" s="15"/>
      <c r="K573" s="11"/>
      <c r="L573" s="11"/>
      <c r="M573" s="11"/>
      <c r="N573" s="11"/>
    </row>
    <row r="574" ht="15.75" customHeight="1">
      <c r="A574" s="11" t="s">
        <v>457</v>
      </c>
      <c r="B574" s="38">
        <v>119.3</v>
      </c>
      <c r="C574" s="11">
        <f t="shared" si="1"/>
        <v>0.02271753108</v>
      </c>
      <c r="D574" s="13">
        <f t="shared" si="2"/>
        <v>0.02271753108</v>
      </c>
      <c r="E574" s="11" t="s">
        <v>457</v>
      </c>
      <c r="F574" s="12">
        <v>17368.25</v>
      </c>
      <c r="G574" s="11">
        <v>-0.008169011</v>
      </c>
      <c r="H574" s="13">
        <v>-0.0082</v>
      </c>
      <c r="J574" s="15"/>
      <c r="K574" s="11"/>
      <c r="L574" s="11"/>
      <c r="M574" s="11"/>
      <c r="N574" s="11"/>
    </row>
    <row r="575" ht="15.75" customHeight="1">
      <c r="A575" s="55">
        <v>44481.0</v>
      </c>
      <c r="B575" s="38">
        <v>116.65</v>
      </c>
      <c r="C575" s="11">
        <f t="shared" si="1"/>
        <v>-0.01685630004</v>
      </c>
      <c r="D575" s="13">
        <f t="shared" si="2"/>
        <v>-0.01685630004</v>
      </c>
      <c r="E575" s="55">
        <v>44481.0</v>
      </c>
      <c r="F575" s="12">
        <v>17511.3</v>
      </c>
      <c r="G575" s="11">
        <v>-3.16838E-4</v>
      </c>
      <c r="H575" s="13">
        <v>-3.0E-4</v>
      </c>
      <c r="J575" s="15"/>
      <c r="K575" s="11"/>
      <c r="L575" s="11"/>
      <c r="M575" s="11"/>
      <c r="N575" s="11"/>
    </row>
    <row r="576" ht="15.75" customHeight="1">
      <c r="A576" s="35">
        <v>44451.0</v>
      </c>
      <c r="B576" s="38">
        <v>118.65</v>
      </c>
      <c r="C576" s="11">
        <f t="shared" si="1"/>
        <v>0.05560498221</v>
      </c>
      <c r="D576" s="13">
        <f t="shared" si="2"/>
        <v>0.05560498221</v>
      </c>
      <c r="E576" s="35">
        <v>44451.0</v>
      </c>
      <c r="F576" s="12">
        <v>17516.85</v>
      </c>
      <c r="G576" s="11">
        <v>0.002696089</v>
      </c>
      <c r="H576" s="13">
        <v>0.0027</v>
      </c>
      <c r="J576" s="15"/>
      <c r="K576" s="11"/>
      <c r="L576" s="11"/>
      <c r="M576" s="11"/>
      <c r="N576" s="11"/>
    </row>
    <row r="577" ht="15.75" customHeight="1">
      <c r="A577" s="35">
        <v>44420.0</v>
      </c>
      <c r="B577" s="38">
        <v>112.4</v>
      </c>
      <c r="C577" s="11">
        <f t="shared" si="1"/>
        <v>0.004468275246</v>
      </c>
      <c r="D577" s="13">
        <f t="shared" si="2"/>
        <v>0.004468275246</v>
      </c>
      <c r="E577" s="35">
        <v>44420.0</v>
      </c>
      <c r="F577" s="12">
        <v>17469.75</v>
      </c>
      <c r="G577" s="11">
        <v>0.017060902</v>
      </c>
      <c r="H577" s="13">
        <v>0.0171</v>
      </c>
      <c r="J577" s="15"/>
      <c r="K577" s="11"/>
      <c r="L577" s="11"/>
      <c r="M577" s="11"/>
      <c r="N577" s="11"/>
    </row>
    <row r="578" ht="15.75" customHeight="1">
      <c r="A578" s="35">
        <v>44389.0</v>
      </c>
      <c r="B578" s="38">
        <v>111.9</v>
      </c>
      <c r="C578" s="11">
        <f t="shared" si="1"/>
        <v>0.008108108108</v>
      </c>
      <c r="D578" s="13">
        <f t="shared" si="2"/>
        <v>0.008108108108</v>
      </c>
      <c r="E578" s="35">
        <v>44389.0</v>
      </c>
      <c r="F578" s="12">
        <v>17176.7</v>
      </c>
      <c r="G578" s="11">
        <v>0.015636595</v>
      </c>
      <c r="H578" s="13">
        <v>0.0156</v>
      </c>
      <c r="J578" s="15"/>
      <c r="K578" s="11"/>
      <c r="L578" s="11"/>
      <c r="M578" s="11"/>
      <c r="N578" s="11"/>
    </row>
    <row r="579" ht="15.75" customHeight="1">
      <c r="A579" s="35">
        <v>44359.0</v>
      </c>
      <c r="B579" s="38">
        <v>111.0</v>
      </c>
      <c r="C579" s="11">
        <f t="shared" si="1"/>
        <v>0.00589034889</v>
      </c>
      <c r="D579" s="13">
        <f t="shared" si="2"/>
        <v>0.00589034889</v>
      </c>
      <c r="E579" s="35">
        <v>44359.0</v>
      </c>
      <c r="F579" s="12">
        <v>16912.25</v>
      </c>
      <c r="G579" s="11">
        <v>-0.016540964</v>
      </c>
      <c r="H579" s="13">
        <v>-0.0165</v>
      </c>
      <c r="J579" s="15"/>
      <c r="K579" s="11"/>
      <c r="L579" s="11"/>
      <c r="M579" s="11"/>
      <c r="N579" s="11"/>
    </row>
    <row r="580" ht="15.75" customHeight="1">
      <c r="A580" s="35">
        <v>44267.0</v>
      </c>
      <c r="B580" s="38">
        <v>110.35</v>
      </c>
      <c r="C580" s="11">
        <f t="shared" si="1"/>
        <v>0.005009107468</v>
      </c>
      <c r="D580" s="13">
        <f t="shared" si="2"/>
        <v>0.005009107468</v>
      </c>
      <c r="E580" s="35">
        <v>44267.0</v>
      </c>
      <c r="F580" s="12">
        <v>17196.7</v>
      </c>
      <c r="G580" s="11">
        <v>-0.011777619</v>
      </c>
      <c r="H580" s="13">
        <v>-0.0118</v>
      </c>
      <c r="J580" s="15"/>
      <c r="K580" s="11"/>
      <c r="L580" s="11"/>
      <c r="M580" s="11"/>
      <c r="N580" s="11"/>
    </row>
    <row r="581" ht="15.75" customHeight="1">
      <c r="A581" s="35">
        <v>44239.0</v>
      </c>
      <c r="B581" s="38">
        <v>109.8</v>
      </c>
      <c r="C581" s="11">
        <f t="shared" si="1"/>
        <v>-0.006784260516</v>
      </c>
      <c r="D581" s="13">
        <f t="shared" si="2"/>
        <v>-0.006784260516</v>
      </c>
      <c r="E581" s="35">
        <v>44239.0</v>
      </c>
      <c r="F581" s="12">
        <v>17401.65</v>
      </c>
      <c r="G581" s="11">
        <v>0.013674571</v>
      </c>
      <c r="H581" s="13">
        <v>0.0137</v>
      </c>
      <c r="J581" s="15"/>
      <c r="K581" s="11"/>
      <c r="L581" s="11"/>
      <c r="M581" s="11"/>
      <c r="N581" s="11"/>
    </row>
    <row r="582" ht="15.75" customHeight="1">
      <c r="A582" s="35">
        <v>44208.0</v>
      </c>
      <c r="B582" s="38">
        <v>110.55</v>
      </c>
      <c r="C582" s="11">
        <f t="shared" si="1"/>
        <v>0.004543389368</v>
      </c>
      <c r="D582" s="13">
        <f t="shared" si="2"/>
        <v>0.004543389368</v>
      </c>
      <c r="E582" s="35">
        <v>44208.0</v>
      </c>
      <c r="F582" s="12">
        <v>17166.9</v>
      </c>
      <c r="G582" s="11">
        <v>0.010816572</v>
      </c>
      <c r="H582" s="13">
        <v>0.0108</v>
      </c>
      <c r="J582" s="15"/>
      <c r="K582" s="11"/>
      <c r="L582" s="11"/>
      <c r="M582" s="11"/>
      <c r="N582" s="11"/>
    </row>
    <row r="583" ht="15.75" customHeight="1">
      <c r="A583" s="11" t="s">
        <v>458</v>
      </c>
      <c r="B583" s="38">
        <v>110.05</v>
      </c>
      <c r="C583" s="11">
        <f t="shared" si="1"/>
        <v>0.01288541187</v>
      </c>
      <c r="D583" s="13">
        <f t="shared" si="2"/>
        <v>0.01288541187</v>
      </c>
      <c r="E583" s="11" t="s">
        <v>458</v>
      </c>
      <c r="F583" s="12">
        <v>16983.2</v>
      </c>
      <c r="G583" s="11">
        <v>-0.004148599</v>
      </c>
      <c r="H583" s="13">
        <v>-0.0041</v>
      </c>
      <c r="J583" s="15"/>
      <c r="K583" s="11"/>
      <c r="L583" s="11"/>
      <c r="M583" s="11"/>
      <c r="N583" s="11"/>
    </row>
    <row r="584" ht="15.75" customHeight="1">
      <c r="A584" s="11" t="s">
        <v>459</v>
      </c>
      <c r="B584" s="38">
        <v>108.65</v>
      </c>
      <c r="C584" s="11">
        <f t="shared" si="1"/>
        <v>-0.02991071429</v>
      </c>
      <c r="D584" s="13">
        <f t="shared" si="2"/>
        <v>-0.02991071429</v>
      </c>
      <c r="E584" s="11" t="s">
        <v>459</v>
      </c>
      <c r="F584" s="12">
        <v>17053.95</v>
      </c>
      <c r="G584" s="11">
        <v>0.001615134</v>
      </c>
      <c r="H584" s="13">
        <v>0.0016</v>
      </c>
      <c r="J584" s="15"/>
      <c r="K584" s="11"/>
      <c r="L584" s="11"/>
      <c r="M584" s="11"/>
      <c r="N584" s="11"/>
    </row>
    <row r="585" ht="15.75" customHeight="1">
      <c r="A585" s="11" t="s">
        <v>460</v>
      </c>
      <c r="B585" s="38">
        <v>112.0</v>
      </c>
      <c r="C585" s="11">
        <f t="shared" si="1"/>
        <v>-0.02904204595</v>
      </c>
      <c r="D585" s="13">
        <f t="shared" si="2"/>
        <v>-0.02904204595</v>
      </c>
      <c r="E585" s="11" t="s">
        <v>460</v>
      </c>
      <c r="F585" s="12">
        <v>17026.45</v>
      </c>
      <c r="G585" s="11">
        <v>-0.02907121</v>
      </c>
      <c r="H585" s="13">
        <v>-0.0291</v>
      </c>
      <c r="J585" s="15"/>
      <c r="K585" s="11"/>
      <c r="L585" s="11"/>
      <c r="M585" s="11"/>
      <c r="N585" s="11"/>
    </row>
    <row r="586" ht="15.75" customHeight="1">
      <c r="A586" s="11" t="s">
        <v>461</v>
      </c>
      <c r="B586" s="38">
        <v>115.35</v>
      </c>
      <c r="C586" s="11">
        <f t="shared" si="1"/>
        <v>-0.002162629758</v>
      </c>
      <c r="D586" s="13">
        <f t="shared" si="2"/>
        <v>-0.002162629758</v>
      </c>
      <c r="E586" s="11" t="s">
        <v>461</v>
      </c>
      <c r="F586" s="12">
        <v>17536.25</v>
      </c>
      <c r="G586" s="11">
        <v>0.006959498</v>
      </c>
      <c r="H586" s="13">
        <v>0.007</v>
      </c>
      <c r="J586" s="15"/>
      <c r="K586" s="11"/>
      <c r="L586" s="11"/>
      <c r="M586" s="11"/>
      <c r="N586" s="11"/>
    </row>
    <row r="587" ht="15.75" customHeight="1">
      <c r="A587" s="11" t="s">
        <v>462</v>
      </c>
      <c r="B587" s="38">
        <v>115.6</v>
      </c>
      <c r="C587" s="11">
        <f t="shared" si="1"/>
        <v>0.003472222222</v>
      </c>
      <c r="D587" s="13">
        <f t="shared" si="2"/>
        <v>0.003472222222</v>
      </c>
      <c r="E587" s="11" t="s">
        <v>462</v>
      </c>
      <c r="F587" s="12">
        <v>17415.05</v>
      </c>
      <c r="G587" s="11">
        <v>-0.005044749</v>
      </c>
      <c r="H587" s="13">
        <v>-0.005</v>
      </c>
      <c r="J587" s="15"/>
      <c r="K587" s="11"/>
      <c r="L587" s="11"/>
      <c r="M587" s="11"/>
      <c r="N587" s="11"/>
    </row>
    <row r="588" ht="15.75" customHeight="1">
      <c r="A588" s="11" t="s">
        <v>463</v>
      </c>
      <c r="B588" s="38">
        <v>115.2</v>
      </c>
      <c r="C588" s="11">
        <f t="shared" si="1"/>
        <v>0.0100832968</v>
      </c>
      <c r="D588" s="13">
        <f t="shared" si="2"/>
        <v>0.0100832968</v>
      </c>
      <c r="E588" s="11" t="s">
        <v>463</v>
      </c>
      <c r="F588" s="12">
        <v>17503.35</v>
      </c>
      <c r="G588" s="11">
        <v>0.004983765</v>
      </c>
      <c r="H588" s="13">
        <v>0.005</v>
      </c>
      <c r="J588" s="15"/>
      <c r="K588" s="11"/>
      <c r="L588" s="11"/>
      <c r="M588" s="11"/>
      <c r="N588" s="11"/>
    </row>
    <row r="589" ht="15.75" customHeight="1">
      <c r="A589" s="11" t="s">
        <v>464</v>
      </c>
      <c r="B589" s="38">
        <v>114.05</v>
      </c>
      <c r="C589" s="11">
        <f t="shared" si="1"/>
        <v>-0.03429297206</v>
      </c>
      <c r="D589" s="13">
        <f t="shared" si="2"/>
        <v>-0.03429297206</v>
      </c>
      <c r="E589" s="11" t="s">
        <v>464</v>
      </c>
      <c r="F589" s="12">
        <v>17416.55</v>
      </c>
      <c r="G589" s="11">
        <v>-0.019603373</v>
      </c>
      <c r="H589" s="13">
        <v>-0.0196</v>
      </c>
      <c r="J589" s="15"/>
      <c r="K589" s="11"/>
      <c r="L589" s="11"/>
      <c r="M589" s="11"/>
      <c r="N589" s="11"/>
    </row>
    <row r="590" ht="15.75" customHeight="1">
      <c r="A590" s="11" t="s">
        <v>465</v>
      </c>
      <c r="B590" s="38">
        <v>118.1</v>
      </c>
      <c r="C590" s="11">
        <f t="shared" si="1"/>
        <v>-0.02678203543</v>
      </c>
      <c r="D590" s="13">
        <f t="shared" si="2"/>
        <v>-0.02678203543</v>
      </c>
      <c r="E590" s="11" t="s">
        <v>465</v>
      </c>
      <c r="F590" s="12">
        <v>17764.8</v>
      </c>
      <c r="G590" s="11">
        <v>-0.007478218</v>
      </c>
      <c r="H590" s="13">
        <v>-0.0075</v>
      </c>
      <c r="J590" s="15"/>
      <c r="K590" s="11"/>
      <c r="L590" s="11"/>
      <c r="M590" s="11"/>
      <c r="N590" s="11"/>
    </row>
    <row r="591" ht="15.75" customHeight="1">
      <c r="A591" s="11" t="s">
        <v>466</v>
      </c>
      <c r="B591" s="38">
        <v>121.35</v>
      </c>
      <c r="C591" s="11">
        <f t="shared" si="1"/>
        <v>0.03940042827</v>
      </c>
      <c r="D591" s="13">
        <f t="shared" si="2"/>
        <v>0.03940042827</v>
      </c>
      <c r="E591" s="11" t="s">
        <v>466</v>
      </c>
      <c r="F591" s="12">
        <v>17898.65</v>
      </c>
      <c r="G591" s="11">
        <v>-0.005586359</v>
      </c>
      <c r="H591" s="13">
        <v>-0.0056</v>
      </c>
      <c r="J591" s="15"/>
      <c r="K591" s="11"/>
      <c r="L591" s="11"/>
      <c r="M591" s="11"/>
      <c r="N591" s="11"/>
    </row>
    <row r="592" ht="15.75" customHeight="1">
      <c r="A592" s="11" t="s">
        <v>467</v>
      </c>
      <c r="B592" s="38">
        <v>116.75</v>
      </c>
      <c r="C592" s="11">
        <f t="shared" si="1"/>
        <v>-0.002563007262</v>
      </c>
      <c r="D592" s="13">
        <f t="shared" si="2"/>
        <v>-0.002563007262</v>
      </c>
      <c r="E592" s="11" t="s">
        <v>467</v>
      </c>
      <c r="F592" s="12">
        <v>17999.2</v>
      </c>
      <c r="G592" s="11">
        <v>-0.006087982</v>
      </c>
      <c r="H592" s="13">
        <v>-0.0061</v>
      </c>
      <c r="J592" s="15"/>
      <c r="K592" s="11"/>
      <c r="L592" s="11"/>
      <c r="M592" s="11"/>
      <c r="N592" s="11"/>
    </row>
    <row r="593" ht="15.75" customHeight="1">
      <c r="A593" s="11" t="s">
        <v>468</v>
      </c>
      <c r="B593" s="38">
        <v>117.05</v>
      </c>
      <c r="C593" s="11">
        <f t="shared" si="1"/>
        <v>-0.007630351844</v>
      </c>
      <c r="D593" s="13">
        <f t="shared" si="2"/>
        <v>-0.007630351844</v>
      </c>
      <c r="E593" s="11" t="s">
        <v>468</v>
      </c>
      <c r="F593" s="12">
        <v>18109.45</v>
      </c>
      <c r="G593" s="11">
        <v>3.7011E-4</v>
      </c>
      <c r="H593" s="13">
        <v>4.0E-4</v>
      </c>
      <c r="J593" s="15"/>
      <c r="K593" s="11"/>
      <c r="L593" s="11"/>
      <c r="M593" s="11"/>
      <c r="N593" s="11"/>
    </row>
    <row r="594" ht="15.75" customHeight="1">
      <c r="A594" s="55">
        <v>44541.0</v>
      </c>
      <c r="B594" s="38">
        <v>117.95</v>
      </c>
      <c r="C594" s="11">
        <f t="shared" si="1"/>
        <v>-0.01420810698</v>
      </c>
      <c r="D594" s="13">
        <f t="shared" si="2"/>
        <v>-0.01420810698</v>
      </c>
      <c r="E594" s="55">
        <v>44541.0</v>
      </c>
      <c r="F594" s="12">
        <v>18102.75</v>
      </c>
      <c r="G594" s="11">
        <v>0.012820585</v>
      </c>
      <c r="H594" s="13">
        <v>0.0128</v>
      </c>
      <c r="J594" s="15"/>
      <c r="K594" s="11"/>
      <c r="L594" s="11"/>
      <c r="M594" s="11"/>
      <c r="N594" s="11"/>
    </row>
    <row r="595" ht="15.75" customHeight="1">
      <c r="A595" s="55">
        <v>44511.0</v>
      </c>
      <c r="B595" s="38">
        <v>119.65</v>
      </c>
      <c r="C595" s="11">
        <f t="shared" si="1"/>
        <v>-0.006641760066</v>
      </c>
      <c r="D595" s="13">
        <f t="shared" si="2"/>
        <v>-0.006641760066</v>
      </c>
      <c r="E595" s="55">
        <v>44511.0</v>
      </c>
      <c r="F595" s="12">
        <v>17873.6</v>
      </c>
      <c r="G595" s="11">
        <v>-0.007970162</v>
      </c>
      <c r="H595" s="13">
        <v>-0.008</v>
      </c>
      <c r="J595" s="15"/>
      <c r="K595" s="11"/>
      <c r="L595" s="11"/>
      <c r="M595" s="11"/>
      <c r="N595" s="11"/>
    </row>
    <row r="596" ht="15.75" customHeight="1">
      <c r="A596" s="55">
        <v>44480.0</v>
      </c>
      <c r="B596" s="38">
        <v>120.45</v>
      </c>
      <c r="C596" s="11">
        <f t="shared" si="1"/>
        <v>-0.01148953632</v>
      </c>
      <c r="D596" s="13">
        <f t="shared" si="2"/>
        <v>-0.01148953632</v>
      </c>
      <c r="E596" s="55">
        <v>44480.0</v>
      </c>
      <c r="F596" s="12">
        <v>18017.2</v>
      </c>
      <c r="G596" s="11">
        <v>-0.001499093</v>
      </c>
      <c r="H596" s="13">
        <v>-0.0015</v>
      </c>
      <c r="J596" s="15"/>
      <c r="K596" s="11"/>
      <c r="L596" s="11"/>
      <c r="M596" s="11"/>
      <c r="N596" s="11"/>
    </row>
    <row r="597" ht="15.75" customHeight="1">
      <c r="A597" s="35">
        <v>44450.0</v>
      </c>
      <c r="B597" s="38">
        <v>121.85</v>
      </c>
      <c r="C597" s="11">
        <f t="shared" si="1"/>
        <v>-0.0004101722724</v>
      </c>
      <c r="D597" s="13">
        <f t="shared" si="2"/>
        <v>-0.0004101722724</v>
      </c>
      <c r="E597" s="35">
        <v>44450.0</v>
      </c>
      <c r="F597" s="12">
        <v>18044.25</v>
      </c>
      <c r="G597" s="11">
        <v>-0.001344878</v>
      </c>
      <c r="H597" s="13">
        <v>-0.0013</v>
      </c>
      <c r="J597" s="15"/>
      <c r="K597" s="11"/>
      <c r="L597" s="11"/>
      <c r="M597" s="11"/>
      <c r="N597" s="11"/>
    </row>
    <row r="598" ht="15.75" customHeight="1">
      <c r="A598" s="35">
        <v>44419.0</v>
      </c>
      <c r="B598" s="38">
        <v>121.9</v>
      </c>
      <c r="C598" s="11">
        <f t="shared" si="1"/>
        <v>0.01668056714</v>
      </c>
      <c r="D598" s="13">
        <f t="shared" si="2"/>
        <v>0.01668056714</v>
      </c>
      <c r="E598" s="35">
        <v>44419.0</v>
      </c>
      <c r="F598" s="12">
        <v>18068.55</v>
      </c>
      <c r="G598" s="11">
        <v>0.008469704</v>
      </c>
      <c r="H598" s="13">
        <v>0.0085</v>
      </c>
      <c r="J598" s="15"/>
      <c r="K598" s="11"/>
      <c r="L598" s="11"/>
      <c r="M598" s="11"/>
      <c r="N598" s="11"/>
    </row>
    <row r="599" ht="15.75" customHeight="1">
      <c r="A599" s="35">
        <v>44297.0</v>
      </c>
      <c r="B599" s="38">
        <v>119.9</v>
      </c>
      <c r="C599" s="11">
        <f t="shared" si="1"/>
        <v>0.008834665545</v>
      </c>
      <c r="D599" s="13">
        <f t="shared" si="2"/>
        <v>0.008834665545</v>
      </c>
      <c r="E599" s="35">
        <v>44297.0</v>
      </c>
      <c r="F599" s="12">
        <v>17916.8</v>
      </c>
      <c r="G599" s="11">
        <v>0.004913288</v>
      </c>
      <c r="H599" s="13">
        <v>0.0049</v>
      </c>
      <c r="J599" s="15"/>
      <c r="K599" s="11"/>
      <c r="L599" s="11"/>
      <c r="M599" s="11"/>
      <c r="N599" s="11"/>
    </row>
    <row r="600" ht="15.75" customHeight="1">
      <c r="A600" s="35">
        <v>44266.0</v>
      </c>
      <c r="B600" s="38">
        <v>118.85</v>
      </c>
      <c r="C600" s="11">
        <f t="shared" si="1"/>
        <v>-0.01287375415</v>
      </c>
      <c r="D600" s="13">
        <f t="shared" si="2"/>
        <v>-0.01287375415</v>
      </c>
      <c r="E600" s="35">
        <v>44266.0</v>
      </c>
      <c r="F600" s="12">
        <v>17829.2</v>
      </c>
      <c r="G600" s="11">
        <v>-0.003340051</v>
      </c>
      <c r="H600" s="13">
        <v>-0.0033</v>
      </c>
      <c r="J600" s="15"/>
      <c r="K600" s="11"/>
      <c r="L600" s="11"/>
      <c r="M600" s="11"/>
      <c r="N600" s="11"/>
    </row>
    <row r="601" ht="15.75" customHeight="1">
      <c r="A601" s="35">
        <v>44238.0</v>
      </c>
      <c r="B601" s="38">
        <v>120.4</v>
      </c>
      <c r="C601" s="11">
        <f t="shared" si="1"/>
        <v>0.0126156434</v>
      </c>
      <c r="D601" s="13">
        <f t="shared" si="2"/>
        <v>0.0126156434</v>
      </c>
      <c r="E601" s="35">
        <v>44238.0</v>
      </c>
      <c r="F601" s="12">
        <v>17888.95</v>
      </c>
      <c r="G601" s="11">
        <v>-0.002269983</v>
      </c>
      <c r="H601" s="13">
        <v>-0.0023</v>
      </c>
      <c r="J601" s="15"/>
      <c r="K601" s="11"/>
      <c r="L601" s="11"/>
      <c r="M601" s="11"/>
      <c r="N601" s="11"/>
    </row>
    <row r="602" ht="15.75" customHeight="1">
      <c r="A602" s="35">
        <v>44207.0</v>
      </c>
      <c r="B602" s="38">
        <v>118.9</v>
      </c>
      <c r="C602" s="11">
        <f t="shared" si="1"/>
        <v>0.01191489362</v>
      </c>
      <c r="D602" s="13">
        <f t="shared" si="2"/>
        <v>0.01191489362</v>
      </c>
      <c r="E602" s="35">
        <v>44207.0</v>
      </c>
      <c r="F602" s="12">
        <v>17929.65</v>
      </c>
      <c r="G602" s="11">
        <v>0.014599655</v>
      </c>
      <c r="H602" s="13">
        <v>0.0146</v>
      </c>
      <c r="J602" s="15"/>
      <c r="K602" s="11"/>
      <c r="L602" s="11"/>
      <c r="M602" s="11"/>
      <c r="N602" s="11"/>
    </row>
    <row r="603" ht="15.75" customHeight="1">
      <c r="A603" s="11" t="s">
        <v>469</v>
      </c>
      <c r="B603" s="38">
        <v>117.5</v>
      </c>
      <c r="C603" s="11">
        <f t="shared" si="1"/>
        <v>-0.0121899958</v>
      </c>
      <c r="D603" s="13">
        <f t="shared" si="2"/>
        <v>-0.0121899958</v>
      </c>
      <c r="E603" s="11" t="s">
        <v>469</v>
      </c>
      <c r="F603" s="12">
        <v>17671.65</v>
      </c>
      <c r="G603" s="11">
        <v>-0.010393538</v>
      </c>
      <c r="H603" s="13">
        <v>-0.0104</v>
      </c>
      <c r="J603" s="15"/>
      <c r="K603" s="11"/>
      <c r="L603" s="11"/>
      <c r="M603" s="11"/>
      <c r="N603" s="11"/>
    </row>
    <row r="604" ht="15.75" customHeight="1">
      <c r="A604" s="11" t="s">
        <v>470</v>
      </c>
      <c r="B604" s="38">
        <v>118.95</v>
      </c>
      <c r="C604" s="11">
        <f t="shared" si="1"/>
        <v>-0.02897959184</v>
      </c>
      <c r="D604" s="13">
        <f t="shared" si="2"/>
        <v>-0.02897959184</v>
      </c>
      <c r="E604" s="11" t="s">
        <v>470</v>
      </c>
      <c r="F604" s="12">
        <v>17857.25</v>
      </c>
      <c r="G604" s="11">
        <v>-0.01942238</v>
      </c>
      <c r="H604" s="13">
        <v>-0.0194</v>
      </c>
      <c r="J604" s="15"/>
      <c r="K604" s="11"/>
      <c r="L604" s="11"/>
      <c r="M604" s="11"/>
      <c r="N604" s="11"/>
    </row>
    <row r="605" ht="15.75" customHeight="1">
      <c r="A605" s="11" t="s">
        <v>471</v>
      </c>
      <c r="B605" s="38">
        <v>122.5</v>
      </c>
      <c r="C605" s="11">
        <f t="shared" si="1"/>
        <v>0.02682313495</v>
      </c>
      <c r="D605" s="13">
        <f t="shared" si="2"/>
        <v>0.02682313495</v>
      </c>
      <c r="E605" s="11" t="s">
        <v>471</v>
      </c>
      <c r="F605" s="12">
        <v>18210.95</v>
      </c>
      <c r="G605" s="11">
        <v>-0.003144775</v>
      </c>
      <c r="H605" s="13">
        <v>-0.0031</v>
      </c>
      <c r="J605" s="15"/>
      <c r="K605" s="11"/>
      <c r="L605" s="11"/>
      <c r="M605" s="11"/>
      <c r="N605" s="11"/>
    </row>
    <row r="606" ht="15.75" customHeight="1">
      <c r="A606" s="11" t="s">
        <v>472</v>
      </c>
      <c r="B606" s="38">
        <v>119.3</v>
      </c>
      <c r="C606" s="11">
        <f t="shared" si="1"/>
        <v>0.001258917331</v>
      </c>
      <c r="D606" s="13">
        <f t="shared" si="2"/>
        <v>0.001258917331</v>
      </c>
      <c r="E606" s="11" t="s">
        <v>472</v>
      </c>
      <c r="F606" s="12">
        <v>18268.4</v>
      </c>
      <c r="G606" s="11">
        <v>0.007889481</v>
      </c>
      <c r="H606" s="13">
        <v>0.0079</v>
      </c>
      <c r="J606" s="15"/>
      <c r="K606" s="11"/>
      <c r="L606" s="11"/>
      <c r="M606" s="11"/>
      <c r="N606" s="11"/>
    </row>
    <row r="607" ht="15.75" customHeight="1">
      <c r="A607" s="11" t="s">
        <v>473</v>
      </c>
      <c r="B607" s="38">
        <v>119.15</v>
      </c>
      <c r="C607" s="11">
        <f t="shared" si="1"/>
        <v>-0.01853377265</v>
      </c>
      <c r="D607" s="13">
        <f t="shared" si="2"/>
        <v>-0.01853377265</v>
      </c>
      <c r="E607" s="11" t="s">
        <v>473</v>
      </c>
      <c r="F607" s="12">
        <v>18125.4</v>
      </c>
      <c r="G607" s="11">
        <v>5.79633E-4</v>
      </c>
      <c r="H607" s="13">
        <v>6.0E-4</v>
      </c>
      <c r="J607" s="15"/>
      <c r="K607" s="11"/>
      <c r="L607" s="11"/>
      <c r="M607" s="11"/>
      <c r="N607" s="11"/>
    </row>
    <row r="608" ht="15.75" customHeight="1">
      <c r="A608" s="11" t="s">
        <v>474</v>
      </c>
      <c r="B608" s="38">
        <v>121.4</v>
      </c>
      <c r="C608" s="11">
        <f t="shared" si="1"/>
        <v>-0.01059494703</v>
      </c>
      <c r="D608" s="13">
        <f t="shared" si="2"/>
        <v>-0.01059494703</v>
      </c>
      <c r="E608" s="11" t="s">
        <v>474</v>
      </c>
      <c r="F608" s="12">
        <v>18114.9</v>
      </c>
      <c r="G608" s="11">
        <v>-0.003476711</v>
      </c>
      <c r="H608" s="13">
        <v>-0.0035</v>
      </c>
      <c r="J608" s="15"/>
      <c r="K608" s="11"/>
      <c r="L608" s="11"/>
      <c r="M608" s="11"/>
      <c r="N608" s="11"/>
    </row>
    <row r="609" ht="15.75" customHeight="1">
      <c r="A609" s="11" t="s">
        <v>475</v>
      </c>
      <c r="B609" s="38">
        <v>122.7</v>
      </c>
      <c r="C609" s="11">
        <f t="shared" si="1"/>
        <v>-0.01761409127</v>
      </c>
      <c r="D609" s="13">
        <f t="shared" si="2"/>
        <v>-0.01761409127</v>
      </c>
      <c r="E609" s="11" t="s">
        <v>475</v>
      </c>
      <c r="F609" s="12">
        <v>18178.1</v>
      </c>
      <c r="G609" s="11">
        <v>-0.004844908</v>
      </c>
      <c r="H609" s="13">
        <v>-0.0048</v>
      </c>
      <c r="J609" s="15"/>
      <c r="K609" s="11"/>
      <c r="L609" s="11"/>
      <c r="M609" s="11"/>
      <c r="N609" s="11"/>
    </row>
    <row r="610" ht="15.75" customHeight="1">
      <c r="A610" s="11" t="s">
        <v>476</v>
      </c>
      <c r="B610" s="38">
        <v>124.9</v>
      </c>
      <c r="C610" s="11">
        <f t="shared" si="1"/>
        <v>0.01959183673</v>
      </c>
      <c r="D610" s="13">
        <f t="shared" si="2"/>
        <v>0.01959183673</v>
      </c>
      <c r="E610" s="11" t="s">
        <v>476</v>
      </c>
      <c r="F610" s="12">
        <v>18266.6</v>
      </c>
      <c r="G610" s="11">
        <v>-0.008260604</v>
      </c>
      <c r="H610" s="13">
        <v>-0.0083</v>
      </c>
      <c r="J610" s="15"/>
      <c r="K610" s="11"/>
      <c r="L610" s="11"/>
      <c r="M610" s="11"/>
      <c r="N610" s="11"/>
    </row>
    <row r="611" ht="15.75" customHeight="1">
      <c r="A611" s="11" t="s">
        <v>477</v>
      </c>
      <c r="B611" s="38">
        <v>122.5</v>
      </c>
      <c r="C611" s="11">
        <f t="shared" si="1"/>
        <v>-0.02584493042</v>
      </c>
      <c r="D611" s="13">
        <f t="shared" si="2"/>
        <v>-0.02584493042</v>
      </c>
      <c r="E611" s="11" t="s">
        <v>477</v>
      </c>
      <c r="F611" s="12">
        <v>18418.75</v>
      </c>
      <c r="G611" s="11">
        <v>-0.003155266</v>
      </c>
      <c r="H611" s="13">
        <v>-0.0032</v>
      </c>
      <c r="J611" s="15"/>
      <c r="K611" s="11"/>
      <c r="L611" s="11"/>
      <c r="M611" s="11"/>
      <c r="N611" s="11"/>
    </row>
    <row r="612" ht="15.75" customHeight="1">
      <c r="A612" s="11" t="s">
        <v>478</v>
      </c>
      <c r="B612" s="38">
        <v>125.75</v>
      </c>
      <c r="C612" s="11">
        <f t="shared" si="1"/>
        <v>-0.017578125</v>
      </c>
      <c r="D612" s="13">
        <f t="shared" si="2"/>
        <v>-0.017578125</v>
      </c>
      <c r="E612" s="11" t="s">
        <v>478</v>
      </c>
      <c r="F612" s="12">
        <v>18477.05</v>
      </c>
      <c r="G612" s="11">
        <v>0.007552396</v>
      </c>
      <c r="H612" s="13">
        <v>0.0076</v>
      </c>
      <c r="J612" s="15"/>
      <c r="K612" s="11"/>
      <c r="L612" s="11"/>
      <c r="M612" s="11"/>
      <c r="N612" s="11"/>
    </row>
    <row r="613" ht="15.75" customHeight="1">
      <c r="A613" s="11" t="s">
        <v>479</v>
      </c>
      <c r="B613" s="38">
        <v>128.0</v>
      </c>
      <c r="C613" s="11">
        <f t="shared" si="1"/>
        <v>0.0281124498</v>
      </c>
      <c r="D613" s="13">
        <f t="shared" si="2"/>
        <v>0.0281124498</v>
      </c>
      <c r="E613" s="11" t="s">
        <v>479</v>
      </c>
      <c r="F613" s="12">
        <v>18338.55</v>
      </c>
      <c r="G613" s="11">
        <v>0.009734745</v>
      </c>
      <c r="H613" s="13">
        <v>0.0097</v>
      </c>
      <c r="J613" s="15"/>
      <c r="K613" s="11"/>
      <c r="L613" s="11"/>
      <c r="M613" s="11"/>
      <c r="N613" s="11"/>
    </row>
    <row r="614" ht="15.75" customHeight="1">
      <c r="A614" s="11" t="s">
        <v>480</v>
      </c>
      <c r="B614" s="38">
        <v>124.5</v>
      </c>
      <c r="C614" s="11">
        <f t="shared" si="1"/>
        <v>0.02850061958</v>
      </c>
      <c r="D614" s="13">
        <f t="shared" si="2"/>
        <v>0.02850061958</v>
      </c>
      <c r="E614" s="11" t="s">
        <v>480</v>
      </c>
      <c r="F614" s="12">
        <v>18161.75</v>
      </c>
      <c r="G614" s="11">
        <v>0.009437554</v>
      </c>
      <c r="H614" s="13">
        <v>0.0094</v>
      </c>
      <c r="J614" s="15"/>
      <c r="K614" s="11"/>
      <c r="L614" s="11"/>
      <c r="M614" s="11"/>
      <c r="N614" s="11"/>
    </row>
    <row r="615" ht="15.75" customHeight="1">
      <c r="A615" s="55">
        <v>44540.0</v>
      </c>
      <c r="B615" s="38">
        <v>121.05</v>
      </c>
      <c r="C615" s="11">
        <f t="shared" si="1"/>
        <v>-0.001649484536</v>
      </c>
      <c r="D615" s="13">
        <f t="shared" si="2"/>
        <v>-0.001649484536</v>
      </c>
      <c r="E615" s="55">
        <v>44540.0</v>
      </c>
      <c r="F615" s="12">
        <v>17991.95</v>
      </c>
      <c r="G615" s="11">
        <v>0.002563252</v>
      </c>
      <c r="H615" s="13">
        <v>0.0026</v>
      </c>
      <c r="J615" s="15"/>
      <c r="K615" s="11"/>
      <c r="L615" s="11"/>
      <c r="M615" s="11"/>
      <c r="N615" s="11"/>
    </row>
    <row r="616" ht="15.75" customHeight="1">
      <c r="A616" s="55">
        <v>44510.0</v>
      </c>
      <c r="B616" s="38">
        <v>121.25</v>
      </c>
      <c r="C616" s="11">
        <f t="shared" si="1"/>
        <v>-0.002057613169</v>
      </c>
      <c r="D616" s="13">
        <f t="shared" si="2"/>
        <v>-0.002057613169</v>
      </c>
      <c r="E616" s="55">
        <v>44510.0</v>
      </c>
      <c r="F616" s="12">
        <v>17945.95</v>
      </c>
      <c r="G616" s="11">
        <v>0.002835956</v>
      </c>
      <c r="H616" s="13">
        <v>0.0028</v>
      </c>
      <c r="J616" s="15"/>
      <c r="K616" s="11"/>
      <c r="L616" s="11"/>
      <c r="M616" s="11"/>
      <c r="N616" s="11"/>
    </row>
    <row r="617" ht="15.75" customHeight="1">
      <c r="A617" s="35">
        <v>44418.0</v>
      </c>
      <c r="B617" s="38">
        <v>121.5</v>
      </c>
      <c r="C617" s="11">
        <f t="shared" si="1"/>
        <v>-0.002872384079</v>
      </c>
      <c r="D617" s="13">
        <f t="shared" si="2"/>
        <v>-0.002872384079</v>
      </c>
      <c r="E617" s="35">
        <v>44418.0</v>
      </c>
      <c r="F617" s="12">
        <v>17895.2</v>
      </c>
      <c r="G617" s="11">
        <v>0.005893645</v>
      </c>
      <c r="H617" s="13">
        <v>0.0059</v>
      </c>
      <c r="J617" s="15"/>
      <c r="K617" s="11"/>
      <c r="L617" s="11"/>
      <c r="M617" s="11"/>
      <c r="N617" s="11"/>
    </row>
    <row r="618" ht="15.75" customHeight="1">
      <c r="A618" s="35">
        <v>44387.0</v>
      </c>
      <c r="B618" s="38">
        <v>121.85</v>
      </c>
      <c r="C618" s="11">
        <f t="shared" si="1"/>
        <v>0.006193228737</v>
      </c>
      <c r="D618" s="13">
        <f t="shared" si="2"/>
        <v>0.006193228737</v>
      </c>
      <c r="E618" s="35">
        <v>44387.0</v>
      </c>
      <c r="F618" s="12">
        <v>17790.35</v>
      </c>
      <c r="G618" s="11">
        <v>0.008180324</v>
      </c>
      <c r="H618" s="13">
        <v>0.0082</v>
      </c>
      <c r="J618" s="15"/>
      <c r="K618" s="11"/>
      <c r="L618" s="11"/>
      <c r="M618" s="11"/>
      <c r="N618" s="11"/>
    </row>
    <row r="619" ht="15.75" customHeight="1">
      <c r="A619" s="35">
        <v>44357.0</v>
      </c>
      <c r="B619" s="38">
        <v>121.1</v>
      </c>
      <c r="C619" s="11">
        <f t="shared" si="1"/>
        <v>-0.02220427937</v>
      </c>
      <c r="D619" s="13">
        <f t="shared" si="2"/>
        <v>-0.02220427937</v>
      </c>
      <c r="E619" s="35">
        <v>44357.0</v>
      </c>
      <c r="F619" s="12">
        <v>17646.0</v>
      </c>
      <c r="G619" s="11">
        <v>-0.009892101</v>
      </c>
      <c r="H619" s="13">
        <v>-0.0099</v>
      </c>
      <c r="J619" s="15"/>
      <c r="K619" s="11"/>
      <c r="L619" s="11"/>
      <c r="M619" s="11"/>
      <c r="N619" s="11"/>
    </row>
    <row r="620" ht="15.75" customHeight="1">
      <c r="A620" s="35">
        <v>44326.0</v>
      </c>
      <c r="B620" s="38">
        <v>123.85</v>
      </c>
      <c r="C620" s="11">
        <f t="shared" si="1"/>
        <v>-0.003620273532</v>
      </c>
      <c r="D620" s="13">
        <f t="shared" si="2"/>
        <v>-0.003620273532</v>
      </c>
      <c r="E620" s="35">
        <v>44326.0</v>
      </c>
      <c r="F620" s="12">
        <v>17822.3</v>
      </c>
      <c r="G620" s="11">
        <v>0.007407617</v>
      </c>
      <c r="H620" s="13">
        <v>0.0074</v>
      </c>
      <c r="J620" s="15"/>
      <c r="K620" s="11"/>
      <c r="L620" s="11"/>
      <c r="M620" s="11"/>
      <c r="N620" s="11"/>
    </row>
    <row r="621" ht="15.75" customHeight="1">
      <c r="A621" s="35">
        <v>44296.0</v>
      </c>
      <c r="B621" s="38">
        <v>124.3</v>
      </c>
      <c r="C621" s="11">
        <f t="shared" si="1"/>
        <v>-0.0008038585209</v>
      </c>
      <c r="D621" s="13">
        <f t="shared" si="2"/>
        <v>-0.0008038585209</v>
      </c>
      <c r="E621" s="35">
        <v>44296.0</v>
      </c>
      <c r="F621" s="12">
        <v>17691.25</v>
      </c>
      <c r="G621" s="11">
        <v>0.009080513</v>
      </c>
      <c r="H621" s="13">
        <v>0.0091</v>
      </c>
      <c r="J621" s="15"/>
      <c r="K621" s="11"/>
      <c r="L621" s="11"/>
      <c r="M621" s="11"/>
      <c r="N621" s="11"/>
    </row>
    <row r="622" ht="15.75" customHeight="1">
      <c r="A622" s="35">
        <v>44206.0</v>
      </c>
      <c r="B622" s="38">
        <v>124.4</v>
      </c>
      <c r="C622" s="11">
        <f t="shared" si="1"/>
        <v>-0.0008032128514</v>
      </c>
      <c r="D622" s="13">
        <f t="shared" si="2"/>
        <v>-0.0008032128514</v>
      </c>
      <c r="E622" s="35">
        <v>44206.0</v>
      </c>
      <c r="F622" s="12">
        <v>17532.05</v>
      </c>
      <c r="G622" s="11">
        <v>-0.004887006</v>
      </c>
      <c r="H622" s="13">
        <v>-0.0049</v>
      </c>
      <c r="J622" s="15"/>
      <c r="K622" s="11"/>
      <c r="L622" s="11"/>
      <c r="M622" s="11"/>
      <c r="N622" s="11"/>
    </row>
    <row r="623" ht="15.75" customHeight="1">
      <c r="A623" s="11" t="s">
        <v>481</v>
      </c>
      <c r="B623" s="38">
        <v>124.5</v>
      </c>
      <c r="C623" s="11">
        <f t="shared" si="1"/>
        <v>0.05329949239</v>
      </c>
      <c r="D623" s="13">
        <f t="shared" si="2"/>
        <v>0.05329949239</v>
      </c>
      <c r="E623" s="11" t="s">
        <v>481</v>
      </c>
      <c r="F623" s="12">
        <v>17618.15</v>
      </c>
      <c r="G623" s="11">
        <v>-0.005259354</v>
      </c>
      <c r="H623" s="13">
        <v>-0.0053</v>
      </c>
      <c r="J623" s="15"/>
      <c r="K623" s="11"/>
      <c r="L623" s="11"/>
      <c r="M623" s="11"/>
      <c r="N623" s="11"/>
    </row>
    <row r="624" ht="15.75" customHeight="1">
      <c r="A624" s="11" t="s">
        <v>482</v>
      </c>
      <c r="B624" s="38">
        <v>118.2</v>
      </c>
      <c r="C624" s="11">
        <f t="shared" si="1"/>
        <v>-0.000422832981</v>
      </c>
      <c r="D624" s="13">
        <f t="shared" si="2"/>
        <v>-0.000422832981</v>
      </c>
      <c r="E624" s="11" t="s">
        <v>482</v>
      </c>
      <c r="F624" s="12">
        <v>17711.3</v>
      </c>
      <c r="G624" s="11">
        <v>-0.002101574</v>
      </c>
      <c r="H624" s="13">
        <v>-0.0021</v>
      </c>
      <c r="J624" s="15"/>
      <c r="K624" s="11"/>
      <c r="L624" s="11"/>
      <c r="M624" s="11"/>
      <c r="N624" s="11"/>
    </row>
    <row r="625" ht="15.75" customHeight="1">
      <c r="A625" s="11" t="s">
        <v>483</v>
      </c>
      <c r="B625" s="38">
        <v>118.25</v>
      </c>
      <c r="C625" s="11">
        <f t="shared" si="1"/>
        <v>-0.005048380311</v>
      </c>
      <c r="D625" s="13">
        <f t="shared" si="2"/>
        <v>-0.005048380311</v>
      </c>
      <c r="E625" s="11" t="s">
        <v>483</v>
      </c>
      <c r="F625" s="12">
        <v>17748.6</v>
      </c>
      <c r="G625" s="11">
        <v>-0.005964682</v>
      </c>
      <c r="H625" s="13">
        <v>-0.006</v>
      </c>
      <c r="J625" s="15"/>
      <c r="K625" s="11"/>
      <c r="L625" s="11"/>
      <c r="M625" s="11"/>
      <c r="N625" s="11"/>
    </row>
    <row r="626" ht="15.75" customHeight="1">
      <c r="A626" s="11" t="s">
        <v>484</v>
      </c>
      <c r="B626" s="38">
        <v>118.85</v>
      </c>
      <c r="C626" s="11">
        <f t="shared" si="1"/>
        <v>0.007203389831</v>
      </c>
      <c r="D626" s="13">
        <f t="shared" si="2"/>
        <v>0.007203389831</v>
      </c>
      <c r="E626" s="11" t="s">
        <v>484</v>
      </c>
      <c r="F626" s="12">
        <v>17855.1</v>
      </c>
      <c r="G626" s="11">
        <v>1.06423E-4</v>
      </c>
      <c r="H626" s="13">
        <v>1.0E-4</v>
      </c>
      <c r="J626" s="15"/>
      <c r="K626" s="11"/>
      <c r="L626" s="11"/>
      <c r="M626" s="11"/>
      <c r="N626" s="11"/>
    </row>
    <row r="627" ht="15.75" customHeight="1">
      <c r="A627" s="11" t="s">
        <v>485</v>
      </c>
      <c r="B627" s="38">
        <v>118.0</v>
      </c>
      <c r="C627" s="11">
        <f t="shared" si="1"/>
        <v>-0.003378378378</v>
      </c>
      <c r="D627" s="13">
        <f t="shared" si="2"/>
        <v>-0.003378378378</v>
      </c>
      <c r="E627" s="11" t="s">
        <v>485</v>
      </c>
      <c r="F627" s="12">
        <v>17853.2</v>
      </c>
      <c r="G627" s="11">
        <v>0.00169725</v>
      </c>
      <c r="H627" s="13">
        <v>0.0017</v>
      </c>
      <c r="J627" s="15"/>
      <c r="K627" s="11"/>
      <c r="L627" s="11"/>
      <c r="M627" s="11"/>
      <c r="N627" s="11"/>
    </row>
    <row r="628" ht="15.75" customHeight="1">
      <c r="A628" s="11" t="s">
        <v>486</v>
      </c>
      <c r="B628" s="38">
        <v>118.4</v>
      </c>
      <c r="C628" s="11">
        <f t="shared" si="1"/>
        <v>0.0004224757076</v>
      </c>
      <c r="D628" s="13">
        <f t="shared" si="2"/>
        <v>0.0004224757076</v>
      </c>
      <c r="E628" s="11" t="s">
        <v>486</v>
      </c>
      <c r="F628" s="12">
        <v>17822.95</v>
      </c>
      <c r="G628" s="11">
        <v>0.015746596</v>
      </c>
      <c r="H628" s="13">
        <v>0.0157</v>
      </c>
      <c r="J628" s="15"/>
      <c r="K628" s="11"/>
      <c r="L628" s="11"/>
      <c r="M628" s="11"/>
      <c r="N628" s="11"/>
    </row>
    <row r="629" ht="15.75" customHeight="1">
      <c r="A629" s="11" t="s">
        <v>487</v>
      </c>
      <c r="B629" s="38">
        <v>118.35</v>
      </c>
      <c r="C629" s="11">
        <f t="shared" si="1"/>
        <v>0.001692763436</v>
      </c>
      <c r="D629" s="13">
        <f t="shared" si="2"/>
        <v>0.001692763436</v>
      </c>
      <c r="E629" s="11" t="s">
        <v>487</v>
      </c>
      <c r="F629" s="12">
        <v>17546.65</v>
      </c>
      <c r="G629" s="11">
        <v>-8.74046E-4</v>
      </c>
      <c r="H629" s="13">
        <v>-9.0E-4</v>
      </c>
      <c r="J629" s="15"/>
      <c r="K629" s="11"/>
      <c r="L629" s="11"/>
      <c r="M629" s="11"/>
      <c r="N629" s="11"/>
    </row>
    <row r="630" ht="15.75" customHeight="1">
      <c r="A630" s="11" t="s">
        <v>488</v>
      </c>
      <c r="B630" s="38">
        <v>118.15</v>
      </c>
      <c r="C630" s="11">
        <f t="shared" si="1"/>
        <v>0.005531914894</v>
      </c>
      <c r="D630" s="13">
        <f t="shared" si="2"/>
        <v>0.005531914894</v>
      </c>
      <c r="E630" s="11" t="s">
        <v>488</v>
      </c>
      <c r="F630" s="12">
        <v>17562.0</v>
      </c>
      <c r="G630" s="11">
        <v>0.009490197</v>
      </c>
      <c r="H630" s="13">
        <v>0.0095</v>
      </c>
      <c r="J630" s="15"/>
      <c r="K630" s="11"/>
      <c r="L630" s="11"/>
      <c r="M630" s="11"/>
      <c r="N630" s="11"/>
    </row>
    <row r="631" ht="15.75" customHeight="1">
      <c r="A631" s="11" t="s">
        <v>489</v>
      </c>
      <c r="B631" s="38">
        <v>117.5</v>
      </c>
      <c r="C631" s="11">
        <f t="shared" si="1"/>
        <v>-0.009274873524</v>
      </c>
      <c r="D631" s="13">
        <f t="shared" si="2"/>
        <v>-0.009274873524</v>
      </c>
      <c r="E631" s="11" t="s">
        <v>489</v>
      </c>
      <c r="F631" s="12">
        <v>17396.9</v>
      </c>
      <c r="G631" s="11">
        <v>-0.010705055</v>
      </c>
      <c r="H631" s="13">
        <v>-0.0107</v>
      </c>
      <c r="J631" s="15"/>
      <c r="K631" s="11"/>
      <c r="L631" s="11"/>
      <c r="M631" s="11"/>
      <c r="N631" s="11"/>
    </row>
    <row r="632" ht="15.75" customHeight="1">
      <c r="A632" s="11" t="s">
        <v>490</v>
      </c>
      <c r="B632" s="38">
        <v>118.6</v>
      </c>
      <c r="C632" s="11">
        <f t="shared" si="1"/>
        <v>-0.02266172229</v>
      </c>
      <c r="D632" s="13">
        <f t="shared" si="2"/>
        <v>-0.02266172229</v>
      </c>
      <c r="E632" s="11" t="s">
        <v>490</v>
      </c>
      <c r="F632" s="12">
        <v>17585.15</v>
      </c>
      <c r="G632" s="11">
        <v>-0.00251567</v>
      </c>
      <c r="H632" s="13">
        <v>-0.0025</v>
      </c>
      <c r="J632" s="15"/>
      <c r="K632" s="11"/>
      <c r="L632" s="11"/>
      <c r="M632" s="11"/>
      <c r="N632" s="11"/>
    </row>
    <row r="633" ht="15.75" customHeight="1">
      <c r="A633" s="11" t="s">
        <v>491</v>
      </c>
      <c r="B633" s="38">
        <v>121.35</v>
      </c>
      <c r="C633" s="11">
        <f t="shared" si="1"/>
        <v>-0.009791921665</v>
      </c>
      <c r="D633" s="13">
        <f t="shared" si="2"/>
        <v>-0.009791921665</v>
      </c>
      <c r="E633" s="11" t="s">
        <v>491</v>
      </c>
      <c r="F633" s="12">
        <v>17629.5</v>
      </c>
      <c r="G633" s="11">
        <v>0.00628159</v>
      </c>
      <c r="H633" s="13">
        <v>0.0063</v>
      </c>
      <c r="J633" s="15"/>
      <c r="K633" s="11"/>
      <c r="L633" s="11"/>
      <c r="M633" s="11"/>
      <c r="N633" s="11"/>
    </row>
    <row r="634" ht="15.75" customHeight="1">
      <c r="A634" s="11" t="s">
        <v>492</v>
      </c>
      <c r="B634" s="38">
        <v>122.55</v>
      </c>
      <c r="C634" s="11">
        <f t="shared" si="1"/>
        <v>0.01912681913</v>
      </c>
      <c r="D634" s="13">
        <f t="shared" si="2"/>
        <v>0.01912681913</v>
      </c>
      <c r="E634" s="11" t="s">
        <v>492</v>
      </c>
      <c r="F634" s="12">
        <v>17519.45</v>
      </c>
      <c r="G634" s="11">
        <v>0.00802359</v>
      </c>
      <c r="H634" s="13">
        <v>0.008</v>
      </c>
      <c r="J634" s="15"/>
      <c r="K634" s="11"/>
      <c r="L634" s="11"/>
      <c r="M634" s="11"/>
      <c r="N634" s="11"/>
    </row>
    <row r="635" ht="15.75" customHeight="1">
      <c r="A635" s="11" t="s">
        <v>493</v>
      </c>
      <c r="B635" s="38">
        <v>120.25</v>
      </c>
      <c r="C635" s="11">
        <f t="shared" si="1"/>
        <v>-0.006198347107</v>
      </c>
      <c r="D635" s="13">
        <f t="shared" si="2"/>
        <v>-0.006198347107</v>
      </c>
      <c r="E635" s="11" t="s">
        <v>493</v>
      </c>
      <c r="F635" s="12">
        <v>17380.0</v>
      </c>
      <c r="G635" s="11">
        <v>0.001423196</v>
      </c>
      <c r="H635" s="13">
        <v>0.0014</v>
      </c>
      <c r="J635" s="15"/>
      <c r="K635" s="11"/>
      <c r="L635" s="11"/>
      <c r="M635" s="11"/>
      <c r="N635" s="11"/>
    </row>
    <row r="636" ht="15.75" customHeight="1">
      <c r="A636" s="11" t="s">
        <v>494</v>
      </c>
      <c r="B636" s="38">
        <v>121.0</v>
      </c>
      <c r="C636" s="11">
        <f t="shared" si="1"/>
        <v>0.02152807092</v>
      </c>
      <c r="D636" s="13">
        <f t="shared" si="2"/>
        <v>0.02152807092</v>
      </c>
      <c r="E636" s="11" t="s">
        <v>494</v>
      </c>
      <c r="F636" s="12">
        <v>17355.3</v>
      </c>
      <c r="G636" s="11">
        <v>-8.03143E-4</v>
      </c>
      <c r="H636" s="13">
        <v>-8.0E-4</v>
      </c>
      <c r="J636" s="15"/>
      <c r="K636" s="11"/>
      <c r="L636" s="11"/>
      <c r="M636" s="11"/>
      <c r="N636" s="11"/>
    </row>
    <row r="637" ht="15.75" customHeight="1">
      <c r="A637" s="35">
        <v>44448.0</v>
      </c>
      <c r="B637" s="38">
        <v>118.45</v>
      </c>
      <c r="C637" s="11">
        <f t="shared" si="1"/>
        <v>-0.004203446826</v>
      </c>
      <c r="D637" s="13">
        <f t="shared" si="2"/>
        <v>-0.004203446826</v>
      </c>
      <c r="E637" s="35">
        <v>44448.0</v>
      </c>
      <c r="F637" s="12">
        <v>17369.25</v>
      </c>
      <c r="G637" s="11">
        <v>9.07598E-4</v>
      </c>
      <c r="H637" s="13">
        <v>9.0E-4</v>
      </c>
      <c r="J637" s="15"/>
      <c r="K637" s="11"/>
      <c r="L637" s="11"/>
      <c r="M637" s="11"/>
      <c r="N637" s="11"/>
    </row>
    <row r="638" ht="15.75" customHeight="1">
      <c r="A638" s="35">
        <v>44417.0</v>
      </c>
      <c r="B638" s="38">
        <v>118.95</v>
      </c>
      <c r="C638" s="11">
        <f t="shared" si="1"/>
        <v>0.01928020566</v>
      </c>
      <c r="D638" s="13">
        <f t="shared" si="2"/>
        <v>0.01928020566</v>
      </c>
      <c r="E638" s="35">
        <v>44417.0</v>
      </c>
      <c r="F638" s="12">
        <v>17353.5</v>
      </c>
      <c r="G638" s="11">
        <v>-4.95332E-4</v>
      </c>
      <c r="H638" s="13">
        <v>-5.0E-4</v>
      </c>
      <c r="J638" s="15"/>
      <c r="K638" s="11"/>
      <c r="L638" s="11"/>
      <c r="M638" s="11"/>
      <c r="N638" s="11"/>
    </row>
    <row r="639" ht="15.75" customHeight="1">
      <c r="A639" s="35">
        <v>44386.0</v>
      </c>
      <c r="B639" s="38">
        <v>116.7</v>
      </c>
      <c r="C639" s="11">
        <f t="shared" si="1"/>
        <v>-0.004690831557</v>
      </c>
      <c r="D639" s="13">
        <f t="shared" si="2"/>
        <v>-0.004690831557</v>
      </c>
      <c r="E639" s="35">
        <v>44386.0</v>
      </c>
      <c r="F639" s="12">
        <v>17362.1</v>
      </c>
      <c r="G639" s="11">
        <v>-9.03452E-4</v>
      </c>
      <c r="H639" s="13">
        <v>-9.0E-4</v>
      </c>
      <c r="J639" s="15"/>
      <c r="K639" s="11"/>
      <c r="L639" s="11"/>
      <c r="M639" s="11"/>
      <c r="N639" s="11"/>
    </row>
    <row r="640" ht="15.75" customHeight="1">
      <c r="A640" s="35">
        <v>44356.0</v>
      </c>
      <c r="B640" s="38">
        <v>117.25</v>
      </c>
      <c r="C640" s="11">
        <f t="shared" si="1"/>
        <v>0.00471293916</v>
      </c>
      <c r="D640" s="13">
        <f t="shared" si="2"/>
        <v>0.00471293916</v>
      </c>
      <c r="E640" s="35">
        <v>44356.0</v>
      </c>
      <c r="F640" s="12">
        <v>17377.8</v>
      </c>
      <c r="G640" s="11">
        <v>0.00312868</v>
      </c>
      <c r="H640" s="13">
        <v>0.0031</v>
      </c>
      <c r="J640" s="15"/>
      <c r="K640" s="11"/>
      <c r="L640" s="11"/>
      <c r="M640" s="11"/>
      <c r="N640" s="11"/>
    </row>
    <row r="641" ht="15.75" customHeight="1">
      <c r="A641" s="35">
        <v>44264.0</v>
      </c>
      <c r="B641" s="38">
        <v>116.7</v>
      </c>
      <c r="C641" s="11">
        <f t="shared" si="1"/>
        <v>-0.005538985939</v>
      </c>
      <c r="D641" s="13">
        <f t="shared" si="2"/>
        <v>-0.005538985939</v>
      </c>
      <c r="E641" s="35">
        <v>44264.0</v>
      </c>
      <c r="F641" s="12">
        <v>17323.6</v>
      </c>
      <c r="G641" s="11">
        <v>0.005190276</v>
      </c>
      <c r="H641" s="13">
        <v>0.0052</v>
      </c>
      <c r="J641" s="15"/>
      <c r="K641" s="11"/>
      <c r="L641" s="11"/>
      <c r="M641" s="11"/>
      <c r="N641" s="11"/>
    </row>
    <row r="642" ht="15.75" customHeight="1">
      <c r="A642" s="35">
        <v>44236.0</v>
      </c>
      <c r="B642" s="38">
        <v>117.35</v>
      </c>
      <c r="C642" s="11">
        <f t="shared" si="1"/>
        <v>0.0253385758</v>
      </c>
      <c r="D642" s="13">
        <f t="shared" si="2"/>
        <v>0.0253385758</v>
      </c>
      <c r="E642" s="35">
        <v>44236.0</v>
      </c>
      <c r="F642" s="12">
        <v>17234.15</v>
      </c>
      <c r="G642" s="11">
        <v>0.009246761</v>
      </c>
      <c r="H642" s="13">
        <v>0.0092</v>
      </c>
      <c r="J642" s="15"/>
      <c r="K642" s="11"/>
      <c r="L642" s="11"/>
      <c r="M642" s="11"/>
      <c r="N642" s="11"/>
    </row>
    <row r="643" ht="15.75" customHeight="1">
      <c r="A643" s="35">
        <v>44205.0</v>
      </c>
      <c r="B643" s="38">
        <v>114.45</v>
      </c>
      <c r="C643" s="11">
        <f t="shared" si="1"/>
        <v>-0.002614379085</v>
      </c>
      <c r="D643" s="13">
        <f t="shared" si="2"/>
        <v>-0.002614379085</v>
      </c>
      <c r="E643" s="35">
        <v>44205.0</v>
      </c>
      <c r="F643" s="12">
        <v>17076.25</v>
      </c>
      <c r="G643" s="11">
        <v>-0.00326578</v>
      </c>
      <c r="H643" s="13">
        <v>-0.0033</v>
      </c>
      <c r="J643" s="15"/>
      <c r="K643" s="11"/>
      <c r="L643" s="11"/>
      <c r="M643" s="11"/>
      <c r="N643" s="11"/>
    </row>
    <row r="644" ht="15.75" customHeight="1">
      <c r="A644" s="11" t="s">
        <v>495</v>
      </c>
      <c r="B644" s="38">
        <v>114.75</v>
      </c>
      <c r="C644" s="11">
        <f t="shared" si="1"/>
        <v>0.01145879242</v>
      </c>
      <c r="D644" s="13">
        <f t="shared" si="2"/>
        <v>0.01145879242</v>
      </c>
      <c r="E644" s="11" t="s">
        <v>495</v>
      </c>
      <c r="F644" s="12">
        <v>17132.2</v>
      </c>
      <c r="G644" s="11">
        <v>0.011880539</v>
      </c>
      <c r="H644" s="13">
        <v>0.0119</v>
      </c>
      <c r="J644" s="15"/>
      <c r="K644" s="11"/>
      <c r="L644" s="11"/>
      <c r="M644" s="11"/>
      <c r="N644" s="11"/>
    </row>
    <row r="645" ht="15.75" customHeight="1">
      <c r="A645" s="11" t="s">
        <v>496</v>
      </c>
      <c r="B645" s="38">
        <v>113.45</v>
      </c>
      <c r="C645" s="11">
        <f t="shared" si="1"/>
        <v>-0.006132282085</v>
      </c>
      <c r="D645" s="13">
        <f t="shared" si="2"/>
        <v>-0.006132282085</v>
      </c>
      <c r="E645" s="11" t="s">
        <v>496</v>
      </c>
      <c r="F645" s="12">
        <v>16931.05</v>
      </c>
      <c r="G645" s="11">
        <v>0.013519742</v>
      </c>
      <c r="H645" s="13">
        <v>0.0135</v>
      </c>
      <c r="J645" s="15"/>
      <c r="K645" s="11"/>
      <c r="L645" s="11"/>
      <c r="M645" s="11"/>
      <c r="N645" s="11"/>
    </row>
    <row r="646" ht="15.75" customHeight="1">
      <c r="A646" s="11" t="s">
        <v>497</v>
      </c>
      <c r="B646" s="38">
        <v>114.15</v>
      </c>
      <c r="C646" s="11">
        <f t="shared" si="1"/>
        <v>0.00705778562</v>
      </c>
      <c r="D646" s="13">
        <f t="shared" si="2"/>
        <v>0.00705778562</v>
      </c>
      <c r="E646" s="11" t="s">
        <v>497</v>
      </c>
      <c r="F646" s="12">
        <v>16705.2</v>
      </c>
      <c r="G646" s="11">
        <v>0.004105332</v>
      </c>
      <c r="H646" s="13">
        <v>0.0041</v>
      </c>
      <c r="J646" s="15"/>
      <c r="K646" s="11"/>
      <c r="L646" s="11"/>
      <c r="M646" s="11"/>
      <c r="N646" s="11"/>
    </row>
    <row r="647" ht="15.75" customHeight="1">
      <c r="A647" s="11" t="s">
        <v>498</v>
      </c>
      <c r="B647" s="38">
        <v>113.35</v>
      </c>
      <c r="C647" s="11">
        <f t="shared" si="1"/>
        <v>-0.001761338617</v>
      </c>
      <c r="D647" s="13">
        <f t="shared" si="2"/>
        <v>-0.001761338617</v>
      </c>
      <c r="E647" s="11" t="s">
        <v>498</v>
      </c>
      <c r="F647" s="12">
        <v>16636.9</v>
      </c>
      <c r="G647" s="11">
        <v>1.3526E-4</v>
      </c>
      <c r="H647" s="13">
        <v>1.0E-4</v>
      </c>
      <c r="J647" s="15"/>
      <c r="K647" s="11"/>
      <c r="L647" s="11"/>
      <c r="M647" s="11"/>
      <c r="N647" s="11"/>
    </row>
    <row r="648" ht="15.75" customHeight="1">
      <c r="A648" s="11" t="s">
        <v>499</v>
      </c>
      <c r="B648" s="38">
        <v>113.55</v>
      </c>
      <c r="C648" s="11">
        <f t="shared" si="1"/>
        <v>0.00442282176</v>
      </c>
      <c r="D648" s="13">
        <f t="shared" si="2"/>
        <v>0.00442282176</v>
      </c>
      <c r="E648" s="11" t="s">
        <v>499</v>
      </c>
      <c r="F648" s="12">
        <v>16634.65</v>
      </c>
      <c r="G648" s="11">
        <v>6.04526E-4</v>
      </c>
      <c r="H648" s="13">
        <v>6.0E-4</v>
      </c>
      <c r="J648" s="15"/>
      <c r="K648" s="11"/>
      <c r="L648" s="11"/>
      <c r="M648" s="11"/>
      <c r="N648" s="11"/>
    </row>
    <row r="649" ht="15.75" customHeight="1">
      <c r="A649" s="11" t="s">
        <v>500</v>
      </c>
      <c r="B649" s="38">
        <v>113.05</v>
      </c>
      <c r="C649" s="11">
        <f t="shared" si="1"/>
        <v>0.008024966563</v>
      </c>
      <c r="D649" s="13">
        <f t="shared" si="2"/>
        <v>0.008024966563</v>
      </c>
      <c r="E649" s="11" t="s">
        <v>500</v>
      </c>
      <c r="F649" s="12">
        <v>16624.6</v>
      </c>
      <c r="G649" s="11">
        <v>0.007768338</v>
      </c>
      <c r="H649" s="13">
        <v>0.0078</v>
      </c>
      <c r="J649" s="15"/>
      <c r="K649" s="11"/>
      <c r="L649" s="11"/>
      <c r="M649" s="11"/>
      <c r="N649" s="11"/>
    </row>
    <row r="650" ht="15.75" customHeight="1">
      <c r="A650" s="11" t="s">
        <v>501</v>
      </c>
      <c r="B650" s="38">
        <v>112.15</v>
      </c>
      <c r="C650" s="11">
        <f t="shared" si="1"/>
        <v>-0.007961079169</v>
      </c>
      <c r="D650" s="13">
        <f t="shared" si="2"/>
        <v>-0.007961079169</v>
      </c>
      <c r="E650" s="11" t="s">
        <v>501</v>
      </c>
      <c r="F650" s="12">
        <v>16496.45</v>
      </c>
      <c r="G650" s="11">
        <v>0.002793228</v>
      </c>
      <c r="H650" s="13">
        <v>0.0028</v>
      </c>
      <c r="J650" s="15"/>
      <c r="K650" s="11"/>
      <c r="L650" s="11"/>
      <c r="M650" s="11"/>
      <c r="N650" s="11"/>
    </row>
    <row r="651" ht="15.75" customHeight="1">
      <c r="A651" s="11" t="s">
        <v>502</v>
      </c>
      <c r="B651" s="38">
        <v>113.05</v>
      </c>
      <c r="C651" s="11">
        <f t="shared" si="1"/>
        <v>-0.03169164882</v>
      </c>
      <c r="D651" s="13">
        <f t="shared" si="2"/>
        <v>-0.03169164882</v>
      </c>
      <c r="E651" s="11" t="s">
        <v>502</v>
      </c>
      <c r="F651" s="12">
        <v>16450.5</v>
      </c>
      <c r="G651" s="11">
        <v>-0.007142922</v>
      </c>
      <c r="H651" s="13">
        <v>-0.0071</v>
      </c>
      <c r="J651" s="15"/>
      <c r="K651" s="11"/>
      <c r="L651" s="11"/>
      <c r="M651" s="11"/>
      <c r="N651" s="11"/>
    </row>
    <row r="652" ht="15.75" customHeight="1">
      <c r="A652" s="11" t="s">
        <v>503</v>
      </c>
      <c r="B652" s="38">
        <v>116.75</v>
      </c>
      <c r="C652" s="11">
        <f t="shared" si="1"/>
        <v>-0.01310228233</v>
      </c>
      <c r="D652" s="13">
        <f t="shared" si="2"/>
        <v>-0.01310228233</v>
      </c>
      <c r="E652" s="11" t="s">
        <v>503</v>
      </c>
      <c r="F652" s="12">
        <v>16568.85</v>
      </c>
      <c r="G652" s="11">
        <v>-0.002753602</v>
      </c>
      <c r="H652" s="13">
        <v>-0.0028</v>
      </c>
      <c r="J652" s="15"/>
      <c r="K652" s="11"/>
      <c r="L652" s="11"/>
      <c r="M652" s="11"/>
      <c r="N652" s="11"/>
    </row>
    <row r="653" ht="15.75" customHeight="1">
      <c r="A653" s="11" t="s">
        <v>504</v>
      </c>
      <c r="B653" s="38">
        <v>118.3</v>
      </c>
      <c r="C653" s="11">
        <f t="shared" si="1"/>
        <v>-0.001266357113</v>
      </c>
      <c r="D653" s="13">
        <f t="shared" si="2"/>
        <v>-0.001266357113</v>
      </c>
      <c r="E653" s="11" t="s">
        <v>504</v>
      </c>
      <c r="F653" s="12">
        <v>16614.6</v>
      </c>
      <c r="G653" s="11">
        <v>0.003112349</v>
      </c>
      <c r="H653" s="13">
        <v>0.0031</v>
      </c>
      <c r="J653" s="15"/>
      <c r="K653" s="11"/>
      <c r="L653" s="11"/>
      <c r="M653" s="11"/>
      <c r="N653" s="11"/>
    </row>
    <row r="654" ht="15.75" customHeight="1">
      <c r="A654" s="11" t="s">
        <v>505</v>
      </c>
      <c r="B654" s="38">
        <v>118.45</v>
      </c>
      <c r="C654" s="11">
        <f t="shared" si="1"/>
        <v>-0.02349546579</v>
      </c>
      <c r="D654" s="13">
        <f t="shared" si="2"/>
        <v>-0.02349546579</v>
      </c>
      <c r="E654" s="11" t="s">
        <v>505</v>
      </c>
      <c r="F654" s="12">
        <v>16563.05</v>
      </c>
      <c r="G654" s="11">
        <v>0.002053953</v>
      </c>
      <c r="H654" s="13">
        <v>0.0021</v>
      </c>
      <c r="J654" s="15"/>
      <c r="K654" s="11"/>
      <c r="L654" s="11"/>
      <c r="M654" s="11"/>
      <c r="N654" s="11"/>
    </row>
    <row r="655" ht="15.75" customHeight="1">
      <c r="A655" s="11" t="s">
        <v>506</v>
      </c>
      <c r="B655" s="38">
        <v>121.3</v>
      </c>
      <c r="C655" s="11">
        <f t="shared" si="1"/>
        <v>-0.02491961415</v>
      </c>
      <c r="D655" s="13">
        <f t="shared" si="2"/>
        <v>-0.02491961415</v>
      </c>
      <c r="E655" s="11" t="s">
        <v>506</v>
      </c>
      <c r="F655" s="12">
        <v>16529.1</v>
      </c>
      <c r="G655" s="11">
        <v>0.01006453</v>
      </c>
      <c r="H655" s="13">
        <v>0.0101</v>
      </c>
      <c r="J655" s="15"/>
      <c r="K655" s="11"/>
      <c r="L655" s="11"/>
      <c r="M655" s="11"/>
      <c r="N655" s="11"/>
    </row>
    <row r="656" ht="15.75" customHeight="1">
      <c r="A656" s="35">
        <v>44538.0</v>
      </c>
      <c r="B656" s="38">
        <v>124.4</v>
      </c>
      <c r="C656" s="11">
        <f t="shared" si="1"/>
        <v>0.01592486729</v>
      </c>
      <c r="D656" s="13">
        <f t="shared" si="2"/>
        <v>0.01592486729</v>
      </c>
      <c r="E656" s="35">
        <v>44538.0</v>
      </c>
      <c r="F656" s="12">
        <v>16364.4</v>
      </c>
      <c r="G656" s="11">
        <v>0.005045371</v>
      </c>
      <c r="H656" s="13">
        <v>0.005</v>
      </c>
      <c r="J656" s="15"/>
      <c r="K656" s="11"/>
      <c r="L656" s="11"/>
      <c r="M656" s="11"/>
      <c r="N656" s="11"/>
    </row>
    <row r="657" ht="15.75" customHeight="1">
      <c r="A657" s="35">
        <v>44508.0</v>
      </c>
      <c r="B657" s="38">
        <v>122.45</v>
      </c>
      <c r="C657" s="11">
        <f t="shared" si="1"/>
        <v>0.01031353135</v>
      </c>
      <c r="D657" s="13">
        <f t="shared" si="2"/>
        <v>0.01031353135</v>
      </c>
      <c r="E657" s="35">
        <v>44508.0</v>
      </c>
      <c r="F657" s="12">
        <v>16282.25</v>
      </c>
      <c r="G657" s="11">
        <v>1.32063E-4</v>
      </c>
      <c r="H657" s="13">
        <v>1.0E-4</v>
      </c>
      <c r="J657" s="15"/>
      <c r="K657" s="11"/>
      <c r="L657" s="11"/>
      <c r="M657" s="11"/>
      <c r="N657" s="11"/>
    </row>
    <row r="658" ht="15.75" customHeight="1">
      <c r="A658" s="35">
        <v>44477.0</v>
      </c>
      <c r="B658" s="38">
        <v>121.2</v>
      </c>
      <c r="C658" s="11">
        <f t="shared" si="1"/>
        <v>-0.03541583764</v>
      </c>
      <c r="D658" s="13">
        <f t="shared" si="2"/>
        <v>-0.03541583764</v>
      </c>
      <c r="E658" s="35">
        <v>44477.0</v>
      </c>
      <c r="F658" s="12">
        <v>16280.1</v>
      </c>
      <c r="G658" s="11">
        <v>0.001343933</v>
      </c>
      <c r="H658" s="13">
        <v>0.0013</v>
      </c>
      <c r="J658" s="15"/>
      <c r="K658" s="11"/>
      <c r="L658" s="11"/>
      <c r="M658" s="11"/>
      <c r="N658" s="11"/>
    </row>
    <row r="659" ht="15.75" customHeight="1">
      <c r="A659" s="35">
        <v>44447.0</v>
      </c>
      <c r="B659" s="38">
        <v>125.65</v>
      </c>
      <c r="C659" s="11">
        <f t="shared" si="1"/>
        <v>-0.005540166205</v>
      </c>
      <c r="D659" s="13">
        <f t="shared" si="2"/>
        <v>-0.005540166205</v>
      </c>
      <c r="E659" s="35">
        <v>44447.0</v>
      </c>
      <c r="F659" s="12">
        <v>16258.25</v>
      </c>
      <c r="G659" s="11">
        <v>0.001234743</v>
      </c>
      <c r="H659" s="13">
        <v>0.0012</v>
      </c>
      <c r="J659" s="15"/>
      <c r="K659" s="11"/>
      <c r="L659" s="11"/>
      <c r="M659" s="11"/>
      <c r="N659" s="11"/>
    </row>
    <row r="660" ht="15.75" customHeight="1">
      <c r="A660" s="35">
        <v>44355.0</v>
      </c>
      <c r="B660" s="38">
        <v>126.35</v>
      </c>
      <c r="C660" s="11">
        <f t="shared" si="1"/>
        <v>0.003972983711</v>
      </c>
      <c r="D660" s="13">
        <f t="shared" si="2"/>
        <v>0.003972983711</v>
      </c>
      <c r="E660" s="35">
        <v>44355.0</v>
      </c>
      <c r="F660" s="12">
        <v>16238.2</v>
      </c>
      <c r="G660" s="11">
        <v>-0.003461269</v>
      </c>
      <c r="H660" s="13">
        <v>-0.0035</v>
      </c>
      <c r="J660" s="15"/>
      <c r="K660" s="11"/>
      <c r="L660" s="11"/>
      <c r="M660" s="11"/>
      <c r="N660" s="11"/>
    </row>
    <row r="661" ht="15.75" customHeight="1">
      <c r="A661" s="35">
        <v>44324.0</v>
      </c>
      <c r="B661" s="38">
        <v>125.85</v>
      </c>
      <c r="C661" s="11">
        <f t="shared" si="1"/>
        <v>-0.01255394272</v>
      </c>
      <c r="D661" s="13">
        <f t="shared" si="2"/>
        <v>-0.01255394272</v>
      </c>
      <c r="E661" s="35">
        <v>44324.0</v>
      </c>
      <c r="F661" s="12">
        <v>16294.6</v>
      </c>
      <c r="G661" s="11">
        <v>0.002201885</v>
      </c>
      <c r="H661" s="13">
        <v>0.0022</v>
      </c>
      <c r="J661" s="15"/>
      <c r="K661" s="11"/>
      <c r="L661" s="11"/>
      <c r="M661" s="11"/>
      <c r="N661" s="11"/>
    </row>
    <row r="662" ht="15.75" customHeight="1">
      <c r="A662" s="35">
        <v>44294.0</v>
      </c>
      <c r="B662" s="38">
        <v>127.45</v>
      </c>
      <c r="C662" s="11">
        <f t="shared" si="1"/>
        <v>-0.01999231065</v>
      </c>
      <c r="D662" s="13">
        <f t="shared" si="2"/>
        <v>-0.01999231065</v>
      </c>
      <c r="E662" s="35">
        <v>44294.0</v>
      </c>
      <c r="F662" s="12">
        <v>16258.8</v>
      </c>
      <c r="G662" s="11">
        <v>0.007938255</v>
      </c>
      <c r="H662" s="13">
        <v>0.0079</v>
      </c>
      <c r="J662" s="15"/>
      <c r="K662" s="11"/>
      <c r="L662" s="11"/>
      <c r="M662" s="11"/>
      <c r="N662" s="11"/>
    </row>
    <row r="663" ht="15.75" customHeight="1">
      <c r="A663" s="35">
        <v>44263.0</v>
      </c>
      <c r="B663" s="38">
        <v>130.05</v>
      </c>
      <c r="C663" s="11">
        <f t="shared" si="1"/>
        <v>-0.01551854656</v>
      </c>
      <c r="D663" s="13">
        <f t="shared" si="2"/>
        <v>-0.01551854656</v>
      </c>
      <c r="E663" s="35">
        <v>44263.0</v>
      </c>
      <c r="F663" s="12">
        <v>16130.75</v>
      </c>
      <c r="G663" s="11">
        <v>0.015460981</v>
      </c>
      <c r="H663" s="13">
        <v>0.0155</v>
      </c>
      <c r="J663" s="15"/>
      <c r="K663" s="11"/>
      <c r="L663" s="11"/>
      <c r="M663" s="11"/>
      <c r="N663" s="11"/>
    </row>
    <row r="664" ht="15.75" customHeight="1">
      <c r="A664" s="35">
        <v>44235.0</v>
      </c>
      <c r="B664" s="38">
        <v>132.1</v>
      </c>
      <c r="C664" s="11">
        <f t="shared" si="1"/>
        <v>0.031225605</v>
      </c>
      <c r="D664" s="13">
        <f t="shared" si="2"/>
        <v>0.031225605</v>
      </c>
      <c r="E664" s="35">
        <v>44235.0</v>
      </c>
      <c r="F664" s="12">
        <v>15885.15</v>
      </c>
      <c r="G664" s="11">
        <v>0.007745963</v>
      </c>
      <c r="H664" s="13">
        <v>0.0077</v>
      </c>
      <c r="J664" s="15"/>
      <c r="K664" s="11"/>
      <c r="L664" s="11"/>
      <c r="M664" s="11"/>
      <c r="N664" s="11"/>
    </row>
    <row r="665" ht="15.75" customHeight="1">
      <c r="A665" s="11" t="s">
        <v>507</v>
      </c>
      <c r="B665" s="38">
        <v>128.1</v>
      </c>
      <c r="C665" s="11">
        <f t="shared" si="1"/>
        <v>0.021938572</v>
      </c>
      <c r="D665" s="13">
        <f t="shared" si="2"/>
        <v>0.021938572</v>
      </c>
      <c r="E665" s="11" t="s">
        <v>507</v>
      </c>
      <c r="F665" s="12">
        <v>15763.05</v>
      </c>
      <c r="G665" s="11">
        <v>-9.76015E-4</v>
      </c>
      <c r="H665" s="13">
        <v>-0.001</v>
      </c>
      <c r="J665" s="15"/>
      <c r="K665" s="11"/>
      <c r="L665" s="11"/>
      <c r="M665" s="11"/>
      <c r="N665" s="11"/>
    </row>
    <row r="666" ht="15.75" customHeight="1">
      <c r="A666" s="11" t="s">
        <v>508</v>
      </c>
      <c r="B666" s="38">
        <v>125.35</v>
      </c>
      <c r="C666" s="11">
        <f t="shared" si="1"/>
        <v>0.008853118712</v>
      </c>
      <c r="D666" s="13">
        <f t="shared" si="2"/>
        <v>0.008853118712</v>
      </c>
      <c r="E666" s="11" t="s">
        <v>508</v>
      </c>
      <c r="F666" s="12">
        <v>15778.45</v>
      </c>
      <c r="G666" s="11">
        <v>0.004395457</v>
      </c>
      <c r="H666" s="13">
        <v>0.0044</v>
      </c>
      <c r="J666" s="15"/>
      <c r="K666" s="11"/>
      <c r="L666" s="11"/>
      <c r="M666" s="11"/>
      <c r="N666" s="11"/>
    </row>
    <row r="667" ht="15.75" customHeight="1">
      <c r="A667" s="11" t="s">
        <v>509</v>
      </c>
      <c r="B667" s="38">
        <v>124.25</v>
      </c>
      <c r="C667" s="11">
        <f t="shared" si="1"/>
        <v>-0.02088258471</v>
      </c>
      <c r="D667" s="13">
        <f t="shared" si="2"/>
        <v>-0.02088258471</v>
      </c>
      <c r="E667" s="11" t="s">
        <v>509</v>
      </c>
      <c r="F667" s="12">
        <v>15709.4</v>
      </c>
      <c r="G667" s="11">
        <v>-0.002352911</v>
      </c>
      <c r="H667" s="13">
        <v>-0.0024</v>
      </c>
      <c r="J667" s="15"/>
      <c r="K667" s="11"/>
      <c r="L667" s="11"/>
      <c r="M667" s="11"/>
      <c r="N667" s="11"/>
    </row>
    <row r="668" ht="15.75" customHeight="1">
      <c r="A668" s="11" t="s">
        <v>510</v>
      </c>
      <c r="B668" s="38">
        <v>126.9</v>
      </c>
      <c r="C668" s="11">
        <f t="shared" si="1"/>
        <v>0.0007886435331</v>
      </c>
      <c r="D668" s="13">
        <f t="shared" si="2"/>
        <v>0.0007886435331</v>
      </c>
      <c r="E668" s="11" t="s">
        <v>510</v>
      </c>
      <c r="F668" s="12">
        <v>15746.45</v>
      </c>
      <c r="G668" s="11">
        <v>-0.004929081</v>
      </c>
      <c r="H668" s="13">
        <v>-0.0049</v>
      </c>
      <c r="J668" s="15"/>
      <c r="K668" s="11"/>
      <c r="L668" s="11"/>
      <c r="M668" s="11"/>
      <c r="N668" s="11"/>
    </row>
    <row r="669" ht="15.75" customHeight="1">
      <c r="A669" s="11" t="s">
        <v>511</v>
      </c>
      <c r="B669" s="38">
        <v>126.8</v>
      </c>
      <c r="C669" s="11">
        <f t="shared" si="1"/>
        <v>-0.006269592476</v>
      </c>
      <c r="D669" s="13">
        <f t="shared" si="2"/>
        <v>-0.006269592476</v>
      </c>
      <c r="E669" s="11" t="s">
        <v>511</v>
      </c>
      <c r="F669" s="12">
        <v>15824.45</v>
      </c>
      <c r="G669" s="11">
        <v>-0.00199293</v>
      </c>
      <c r="H669" s="13">
        <v>-0.002</v>
      </c>
      <c r="J669" s="15"/>
      <c r="K669" s="11"/>
      <c r="L669" s="11"/>
      <c r="M669" s="11"/>
      <c r="N669" s="11"/>
    </row>
    <row r="670" ht="15.75" customHeight="1">
      <c r="A670" s="11" t="s">
        <v>512</v>
      </c>
      <c r="B670" s="38">
        <v>127.6</v>
      </c>
      <c r="C670" s="11">
        <f t="shared" si="1"/>
        <v>-0.009316770186</v>
      </c>
      <c r="D670" s="13">
        <f t="shared" si="2"/>
        <v>-0.009316770186</v>
      </c>
      <c r="E670" s="11" t="s">
        <v>512</v>
      </c>
      <c r="F670" s="12">
        <v>15856.05</v>
      </c>
      <c r="G670" s="11">
        <v>0.002022238</v>
      </c>
      <c r="H670" s="13">
        <v>0.002</v>
      </c>
      <c r="J670" s="15"/>
      <c r="K670" s="11"/>
      <c r="L670" s="11"/>
      <c r="M670" s="11"/>
      <c r="N670" s="11"/>
    </row>
    <row r="671" ht="15.75" customHeight="1">
      <c r="A671" s="11" t="s">
        <v>513</v>
      </c>
      <c r="B671" s="38">
        <v>128.8</v>
      </c>
      <c r="C671" s="11">
        <f t="shared" si="1"/>
        <v>-0.008849557522</v>
      </c>
      <c r="D671" s="13">
        <f t="shared" si="2"/>
        <v>-0.008849557522</v>
      </c>
      <c r="E671" s="11" t="s">
        <v>513</v>
      </c>
      <c r="F671" s="12">
        <v>15824.05</v>
      </c>
      <c r="G671" s="11">
        <v>0.01227922</v>
      </c>
      <c r="H671" s="13">
        <v>0.0123</v>
      </c>
      <c r="J671" s="15"/>
      <c r="K671" s="11"/>
      <c r="L671" s="11"/>
      <c r="M671" s="11"/>
      <c r="N671" s="11"/>
    </row>
    <row r="672" ht="15.75" customHeight="1">
      <c r="A672" s="11" t="s">
        <v>514</v>
      </c>
      <c r="B672" s="38">
        <v>129.95</v>
      </c>
      <c r="C672" s="11">
        <f t="shared" si="1"/>
        <v>-0.02695619618</v>
      </c>
      <c r="D672" s="13">
        <f t="shared" si="2"/>
        <v>-0.02695619618</v>
      </c>
      <c r="E672" s="11" t="s">
        <v>514</v>
      </c>
      <c r="F672" s="12">
        <v>15632.1</v>
      </c>
      <c r="G672" s="11">
        <v>-0.007636932</v>
      </c>
      <c r="H672" s="13">
        <v>-0.0076</v>
      </c>
      <c r="J672" s="15"/>
      <c r="K672" s="11"/>
      <c r="L672" s="11"/>
      <c r="M672" s="11"/>
      <c r="N672" s="11"/>
    </row>
    <row r="673" ht="15.75" customHeight="1">
      <c r="A673" s="11" t="s">
        <v>515</v>
      </c>
      <c r="B673" s="38">
        <v>133.55</v>
      </c>
      <c r="C673" s="11">
        <f t="shared" si="1"/>
        <v>-0.02232796486</v>
      </c>
      <c r="D673" s="13">
        <f t="shared" si="2"/>
        <v>-0.02232796486</v>
      </c>
      <c r="E673" s="11" t="s">
        <v>515</v>
      </c>
      <c r="F673" s="12">
        <v>15752.4</v>
      </c>
      <c r="G673" s="11">
        <v>-0.010738913</v>
      </c>
      <c r="H673" s="13">
        <v>-0.0107</v>
      </c>
      <c r="J673" s="15"/>
      <c r="K673" s="11"/>
      <c r="L673" s="11"/>
      <c r="M673" s="11"/>
      <c r="N673" s="11"/>
    </row>
    <row r="674" ht="15.75" customHeight="1">
      <c r="A674" s="11" t="s">
        <v>516</v>
      </c>
      <c r="B674" s="38">
        <v>136.6</v>
      </c>
      <c r="C674" s="11">
        <f t="shared" si="1"/>
        <v>0.02977761025</v>
      </c>
      <c r="D674" s="13">
        <f t="shared" si="2"/>
        <v>0.02977761025</v>
      </c>
      <c r="E674" s="11" t="s">
        <v>516</v>
      </c>
      <c r="F674" s="12">
        <v>15923.4</v>
      </c>
      <c r="G674" s="45">
        <v>-5.0238E-5</v>
      </c>
      <c r="H674" s="13">
        <v>-1.0E-4</v>
      </c>
      <c r="J674" s="15"/>
      <c r="K674" s="11"/>
      <c r="L674" s="11"/>
      <c r="M674" s="11"/>
      <c r="N674" s="11"/>
    </row>
    <row r="675" ht="15.75" customHeight="1">
      <c r="A675" s="11" t="s">
        <v>517</v>
      </c>
      <c r="B675" s="38">
        <v>132.65</v>
      </c>
      <c r="C675" s="11">
        <f t="shared" si="1"/>
        <v>0.04489956676</v>
      </c>
      <c r="D675" s="13">
        <f t="shared" si="2"/>
        <v>0.04489956676</v>
      </c>
      <c r="E675" s="11" t="s">
        <v>517</v>
      </c>
      <c r="F675" s="12">
        <v>15924.2</v>
      </c>
      <c r="G675" s="11">
        <v>0.004431072</v>
      </c>
      <c r="H675" s="13">
        <v>0.0044</v>
      </c>
      <c r="J675" s="15"/>
      <c r="K675" s="11"/>
      <c r="L675" s="11"/>
      <c r="M675" s="11"/>
      <c r="N675" s="11"/>
    </row>
    <row r="676" ht="15.75" customHeight="1">
      <c r="A676" s="11" t="s">
        <v>518</v>
      </c>
      <c r="B676" s="38">
        <v>126.95</v>
      </c>
      <c r="C676" s="11">
        <f t="shared" si="1"/>
        <v>-0.003532182104</v>
      </c>
      <c r="D676" s="13">
        <f t="shared" si="2"/>
        <v>-0.003532182104</v>
      </c>
      <c r="E676" s="11" t="s">
        <v>518</v>
      </c>
      <c r="F676" s="12">
        <v>15853.95</v>
      </c>
      <c r="G676" s="11">
        <v>0.002630855</v>
      </c>
      <c r="H676" s="13">
        <v>0.0026</v>
      </c>
      <c r="J676" s="15"/>
      <c r="K676" s="11"/>
      <c r="L676" s="11"/>
      <c r="M676" s="11"/>
      <c r="N676" s="11"/>
    </row>
    <row r="677" ht="15.75" customHeight="1">
      <c r="A677" s="11" t="s">
        <v>519</v>
      </c>
      <c r="B677" s="38">
        <v>127.4</v>
      </c>
      <c r="C677" s="11">
        <f t="shared" si="1"/>
        <v>-0.003519749707</v>
      </c>
      <c r="D677" s="13">
        <f t="shared" si="2"/>
        <v>-0.003519749707</v>
      </c>
      <c r="E677" s="11" t="s">
        <v>519</v>
      </c>
      <c r="F677" s="12">
        <v>15812.35</v>
      </c>
      <c r="G677" s="11">
        <v>0.007630985</v>
      </c>
      <c r="H677" s="13">
        <v>0.0076</v>
      </c>
      <c r="J677" s="15"/>
      <c r="K677" s="11"/>
      <c r="L677" s="11"/>
      <c r="M677" s="11"/>
      <c r="N677" s="11"/>
    </row>
    <row r="678" ht="15.75" customHeight="1">
      <c r="A678" s="35">
        <v>44537.0</v>
      </c>
      <c r="B678" s="38">
        <v>127.85</v>
      </c>
      <c r="C678" s="11">
        <f t="shared" si="1"/>
        <v>-0.009682416731</v>
      </c>
      <c r="D678" s="13">
        <f t="shared" si="2"/>
        <v>-0.009682416731</v>
      </c>
      <c r="E678" s="35">
        <v>44537.0</v>
      </c>
      <c r="F678" s="12">
        <v>15692.6</v>
      </c>
      <c r="G678" s="11">
        <v>1.7846E-4</v>
      </c>
      <c r="H678" s="13">
        <v>2.0E-4</v>
      </c>
      <c r="J678" s="15"/>
      <c r="K678" s="11"/>
      <c r="L678" s="11"/>
      <c r="M678" s="11"/>
      <c r="N678" s="11"/>
    </row>
    <row r="679" ht="15.75" customHeight="1">
      <c r="A679" s="35">
        <v>44446.0</v>
      </c>
      <c r="B679" s="38">
        <v>129.1</v>
      </c>
      <c r="C679" s="11">
        <f t="shared" si="1"/>
        <v>0.002718446602</v>
      </c>
      <c r="D679" s="13">
        <f t="shared" si="2"/>
        <v>0.002718446602</v>
      </c>
      <c r="E679" s="35">
        <v>44446.0</v>
      </c>
      <c r="F679" s="12">
        <v>15689.8</v>
      </c>
      <c r="G679" s="11">
        <v>-0.002422447</v>
      </c>
      <c r="H679" s="13">
        <v>-0.0024</v>
      </c>
      <c r="J679" s="15"/>
      <c r="K679" s="11"/>
      <c r="L679" s="11"/>
      <c r="M679" s="11"/>
      <c r="N679" s="11"/>
    </row>
    <row r="680" ht="15.75" customHeight="1">
      <c r="A680" s="35">
        <v>44415.0</v>
      </c>
      <c r="B680" s="38">
        <v>128.75</v>
      </c>
      <c r="C680" s="11">
        <f t="shared" si="1"/>
        <v>-0.002324680356</v>
      </c>
      <c r="D680" s="13">
        <f t="shared" si="2"/>
        <v>-0.002324680356</v>
      </c>
      <c r="E680" s="35">
        <v>44415.0</v>
      </c>
      <c r="F680" s="12">
        <v>15727.9</v>
      </c>
      <c r="G680" s="11">
        <v>-0.009556256</v>
      </c>
      <c r="H680" s="13">
        <v>-0.0096</v>
      </c>
      <c r="J680" s="15"/>
      <c r="K680" s="11"/>
      <c r="L680" s="11"/>
      <c r="M680" s="11"/>
      <c r="N680" s="11"/>
    </row>
    <row r="681" ht="15.75" customHeight="1">
      <c r="A681" s="35">
        <v>44384.0</v>
      </c>
      <c r="B681" s="38">
        <v>129.05</v>
      </c>
      <c r="C681" s="11">
        <f t="shared" si="1"/>
        <v>0.00271950272</v>
      </c>
      <c r="D681" s="13">
        <f t="shared" si="2"/>
        <v>0.00271950272</v>
      </c>
      <c r="E681" s="35">
        <v>44384.0</v>
      </c>
      <c r="F681" s="12">
        <v>15879.65</v>
      </c>
      <c r="G681" s="11">
        <v>0.003881592</v>
      </c>
      <c r="H681" s="13">
        <v>0.0039</v>
      </c>
      <c r="J681" s="15"/>
      <c r="K681" s="11"/>
      <c r="L681" s="11"/>
      <c r="M681" s="11"/>
      <c r="N681" s="11"/>
    </row>
    <row r="682" ht="15.75" customHeight="1">
      <c r="A682" s="35">
        <v>44354.0</v>
      </c>
      <c r="B682" s="38">
        <v>128.7</v>
      </c>
      <c r="C682" s="11">
        <f t="shared" si="1"/>
        <v>-0.01942857143</v>
      </c>
      <c r="D682" s="13">
        <f t="shared" si="2"/>
        <v>-0.01942857143</v>
      </c>
      <c r="E682" s="35">
        <v>44354.0</v>
      </c>
      <c r="F682" s="12">
        <v>15818.25</v>
      </c>
      <c r="G682" s="11">
        <v>-0.001016777</v>
      </c>
      <c r="H682" s="13">
        <v>-0.001</v>
      </c>
      <c r="J682" s="15"/>
      <c r="K682" s="11"/>
      <c r="L682" s="11"/>
      <c r="M682" s="11"/>
      <c r="N682" s="11"/>
    </row>
    <row r="683" ht="15.75" customHeight="1">
      <c r="A683" s="35">
        <v>44323.0</v>
      </c>
      <c r="B683" s="38">
        <v>131.25</v>
      </c>
      <c r="C683" s="11">
        <f t="shared" si="1"/>
        <v>0</v>
      </c>
      <c r="D683" s="13">
        <f t="shared" si="2"/>
        <v>0</v>
      </c>
      <c r="E683" s="35">
        <v>44323.0</v>
      </c>
      <c r="F683" s="12">
        <v>15834.35</v>
      </c>
      <c r="G683" s="11">
        <v>0.007133226</v>
      </c>
      <c r="H683" s="13">
        <v>0.0071</v>
      </c>
      <c r="J683" s="15"/>
      <c r="K683" s="11"/>
      <c r="L683" s="11"/>
      <c r="M683" s="11"/>
      <c r="N683" s="11"/>
    </row>
    <row r="684" ht="15.75" customHeight="1">
      <c r="A684" s="35">
        <v>44234.0</v>
      </c>
      <c r="B684" s="38">
        <v>131.25</v>
      </c>
      <c r="C684" s="11">
        <f t="shared" si="1"/>
        <v>0.02179836512</v>
      </c>
      <c r="D684" s="13">
        <f t="shared" si="2"/>
        <v>0.02179836512</v>
      </c>
      <c r="E684" s="35">
        <v>44234.0</v>
      </c>
      <c r="F684" s="12">
        <v>15722.2</v>
      </c>
      <c r="G684" s="11">
        <v>0.002691327</v>
      </c>
      <c r="H684" s="13">
        <v>0.0027</v>
      </c>
      <c r="J684" s="15"/>
      <c r="K684" s="11"/>
      <c r="L684" s="11"/>
      <c r="M684" s="11"/>
      <c r="N684" s="11"/>
    </row>
    <row r="685" ht="15.75" customHeight="1">
      <c r="A685" s="35">
        <v>44203.0</v>
      </c>
      <c r="B685" s="38">
        <v>128.45</v>
      </c>
      <c r="C685" s="11">
        <f t="shared" si="1"/>
        <v>-0.02282236592</v>
      </c>
      <c r="D685" s="13">
        <f t="shared" si="2"/>
        <v>-0.02282236592</v>
      </c>
      <c r="E685" s="35">
        <v>44203.0</v>
      </c>
      <c r="F685" s="12">
        <v>15680.0</v>
      </c>
      <c r="G685" s="11">
        <v>-0.002639697</v>
      </c>
      <c r="H685" s="13">
        <v>-0.0026</v>
      </c>
      <c r="J685" s="15"/>
      <c r="K685" s="11"/>
      <c r="L685" s="11"/>
      <c r="M685" s="11"/>
      <c r="N685" s="11"/>
    </row>
    <row r="686" ht="15.75" customHeight="1">
      <c r="A686" s="11" t="s">
        <v>520</v>
      </c>
      <c r="B686" s="38">
        <v>131.45</v>
      </c>
      <c r="C686" s="11">
        <f t="shared" si="1"/>
        <v>0.02735443533</v>
      </c>
      <c r="D686" s="13">
        <f t="shared" si="2"/>
        <v>0.02735443533</v>
      </c>
      <c r="E686" s="11" t="s">
        <v>520</v>
      </c>
      <c r="F686" s="12">
        <v>15721.5</v>
      </c>
      <c r="G686" s="11">
        <v>-0.00171128</v>
      </c>
      <c r="H686" s="13">
        <v>-0.0017</v>
      </c>
      <c r="J686" s="15"/>
      <c r="K686" s="11"/>
      <c r="L686" s="11"/>
      <c r="M686" s="11"/>
      <c r="N686" s="11"/>
    </row>
    <row r="687" ht="15.75" customHeight="1">
      <c r="A687" s="11" t="s">
        <v>521</v>
      </c>
      <c r="B687" s="38">
        <v>127.95</v>
      </c>
      <c r="C687" s="11">
        <f t="shared" si="1"/>
        <v>-0.001950078003</v>
      </c>
      <c r="D687" s="13">
        <f t="shared" si="2"/>
        <v>-0.001950078003</v>
      </c>
      <c r="E687" s="11" t="s">
        <v>521</v>
      </c>
      <c r="F687" s="12">
        <v>15748.45</v>
      </c>
      <c r="G687" s="11">
        <v>-0.00418914</v>
      </c>
      <c r="H687" s="13">
        <v>-0.0042</v>
      </c>
      <c r="J687" s="15"/>
      <c r="K687" s="11"/>
      <c r="L687" s="11"/>
      <c r="M687" s="11"/>
      <c r="N687" s="11"/>
    </row>
    <row r="688" ht="15.75" customHeight="1">
      <c r="A688" s="11" t="s">
        <v>522</v>
      </c>
      <c r="B688" s="38">
        <v>128.2</v>
      </c>
      <c r="C688" s="11">
        <f t="shared" si="1"/>
        <v>-0.0003898635478</v>
      </c>
      <c r="D688" s="13">
        <f t="shared" si="2"/>
        <v>-0.0003898635478</v>
      </c>
      <c r="E688" s="11" t="s">
        <v>522</v>
      </c>
      <c r="F688" s="12">
        <v>15814.7</v>
      </c>
      <c r="G688" s="11">
        <v>-0.002878247</v>
      </c>
      <c r="H688" s="13">
        <v>-0.0029</v>
      </c>
      <c r="J688" s="15"/>
      <c r="K688" s="11"/>
      <c r="L688" s="11"/>
      <c r="M688" s="11"/>
      <c r="N688" s="11"/>
    </row>
    <row r="689" ht="15.75" customHeight="1">
      <c r="A689" s="11" t="s">
        <v>523</v>
      </c>
      <c r="B689" s="38">
        <v>128.25</v>
      </c>
      <c r="C689" s="11">
        <f t="shared" si="1"/>
        <v>-0.01949541284</v>
      </c>
      <c r="D689" s="13">
        <f t="shared" si="2"/>
        <v>-0.01949541284</v>
      </c>
      <c r="E689" s="11" t="s">
        <v>523</v>
      </c>
      <c r="F689" s="12">
        <v>15860.35</v>
      </c>
      <c r="G689" s="11">
        <v>0.004426726</v>
      </c>
      <c r="H689" s="13">
        <v>0.0044</v>
      </c>
      <c r="J689" s="15"/>
      <c r="K689" s="11"/>
      <c r="L689" s="11"/>
      <c r="M689" s="11"/>
      <c r="N689" s="11"/>
    </row>
    <row r="690" ht="15.75" customHeight="1">
      <c r="A690" s="11" t="s">
        <v>524</v>
      </c>
      <c r="B690" s="38">
        <v>130.8</v>
      </c>
      <c r="C690" s="11">
        <f t="shared" si="1"/>
        <v>-0.01728024042</v>
      </c>
      <c r="D690" s="13">
        <f t="shared" si="2"/>
        <v>-0.01728024042</v>
      </c>
      <c r="E690" s="11" t="s">
        <v>524</v>
      </c>
      <c r="F690" s="12">
        <v>15790.45</v>
      </c>
      <c r="G690" s="11">
        <v>0.006597841</v>
      </c>
      <c r="H690" s="13">
        <v>0.0066</v>
      </c>
      <c r="J690" s="15"/>
      <c r="K690" s="11"/>
      <c r="L690" s="11"/>
      <c r="M690" s="11"/>
      <c r="N690" s="11"/>
    </row>
    <row r="691" ht="15.75" customHeight="1">
      <c r="A691" s="11" t="s">
        <v>525</v>
      </c>
      <c r="B691" s="38">
        <v>133.1</v>
      </c>
      <c r="C691" s="11">
        <f t="shared" si="1"/>
        <v>0.04310344828</v>
      </c>
      <c r="D691" s="13">
        <f t="shared" si="2"/>
        <v>0.04310344828</v>
      </c>
      <c r="E691" s="11" t="s">
        <v>525</v>
      </c>
      <c r="F691" s="12">
        <v>15686.95</v>
      </c>
      <c r="G691" s="11">
        <v>-0.005439762</v>
      </c>
      <c r="H691" s="13">
        <v>-0.0054</v>
      </c>
      <c r="J691" s="15"/>
      <c r="K691" s="11"/>
      <c r="L691" s="11"/>
      <c r="M691" s="11"/>
      <c r="N691" s="11"/>
    </row>
    <row r="692" ht="15.75" customHeight="1">
      <c r="A692" s="11" t="s">
        <v>526</v>
      </c>
      <c r="B692" s="38">
        <v>127.6</v>
      </c>
      <c r="C692" s="11">
        <f t="shared" si="1"/>
        <v>-0.01619121049</v>
      </c>
      <c r="D692" s="13">
        <f t="shared" si="2"/>
        <v>-0.01619121049</v>
      </c>
      <c r="E692" s="11" t="s">
        <v>526</v>
      </c>
      <c r="F692" s="12">
        <v>15772.75</v>
      </c>
      <c r="G692" s="11">
        <v>0.001667037</v>
      </c>
      <c r="H692" s="13">
        <v>0.0017</v>
      </c>
      <c r="J692" s="15"/>
      <c r="K692" s="11"/>
      <c r="L692" s="11"/>
      <c r="M692" s="11"/>
      <c r="N692" s="11"/>
    </row>
    <row r="693" ht="15.75" customHeight="1">
      <c r="A693" s="11" t="s">
        <v>527</v>
      </c>
      <c r="B693" s="38">
        <v>129.7</v>
      </c>
      <c r="C693" s="11">
        <f t="shared" si="1"/>
        <v>0.01645768025</v>
      </c>
      <c r="D693" s="13">
        <f t="shared" si="2"/>
        <v>0.01645768025</v>
      </c>
      <c r="E693" s="11" t="s">
        <v>527</v>
      </c>
      <c r="F693" s="12">
        <v>15746.5</v>
      </c>
      <c r="G693" s="11">
        <v>0.004026563</v>
      </c>
      <c r="H693" s="13">
        <v>0.004</v>
      </c>
      <c r="J693" s="15"/>
      <c r="K693" s="11"/>
      <c r="L693" s="11"/>
      <c r="M693" s="11"/>
      <c r="N693" s="11"/>
    </row>
    <row r="694" ht="15.75" customHeight="1">
      <c r="A694" s="11" t="s">
        <v>528</v>
      </c>
      <c r="B694" s="38">
        <v>127.6</v>
      </c>
      <c r="C694" s="11">
        <f t="shared" si="1"/>
        <v>-0.0007830853563</v>
      </c>
      <c r="D694" s="13">
        <f t="shared" si="2"/>
        <v>-0.0007830853563</v>
      </c>
      <c r="E694" s="11" t="s">
        <v>528</v>
      </c>
      <c r="F694" s="12">
        <v>15683.35</v>
      </c>
      <c r="G694" s="11">
        <v>-5.1302E-4</v>
      </c>
      <c r="H694" s="13">
        <v>-5.0E-4</v>
      </c>
      <c r="J694" s="15"/>
      <c r="K694" s="11"/>
      <c r="L694" s="11"/>
      <c r="M694" s="11"/>
      <c r="N694" s="11"/>
    </row>
    <row r="695" ht="15.75" customHeight="1">
      <c r="A695" s="11" t="s">
        <v>529</v>
      </c>
      <c r="B695" s="38">
        <v>127.7</v>
      </c>
      <c r="C695" s="11">
        <f t="shared" si="1"/>
        <v>-0.004288499025</v>
      </c>
      <c r="D695" s="13">
        <f t="shared" si="2"/>
        <v>-0.004288499025</v>
      </c>
      <c r="E695" s="11" t="s">
        <v>529</v>
      </c>
      <c r="F695" s="12">
        <v>15691.4</v>
      </c>
      <c r="G695" s="11">
        <v>-0.004829539</v>
      </c>
      <c r="H695" s="13">
        <v>-0.0048</v>
      </c>
      <c r="J695" s="15"/>
      <c r="K695" s="11"/>
      <c r="L695" s="11"/>
      <c r="M695" s="11"/>
      <c r="N695" s="11"/>
    </row>
    <row r="696" ht="15.75" customHeight="1">
      <c r="A696" s="11" t="s">
        <v>530</v>
      </c>
      <c r="B696" s="38">
        <v>128.25</v>
      </c>
      <c r="C696" s="11">
        <f t="shared" si="1"/>
        <v>-0.02840909091</v>
      </c>
      <c r="D696" s="13">
        <f t="shared" si="2"/>
        <v>-0.02840909091</v>
      </c>
      <c r="E696" s="11" t="s">
        <v>530</v>
      </c>
      <c r="F696" s="12">
        <v>15767.55</v>
      </c>
      <c r="G696" s="11">
        <v>-0.00640862</v>
      </c>
      <c r="H696" s="13">
        <v>-0.0064</v>
      </c>
      <c r="J696" s="15"/>
      <c r="K696" s="11"/>
      <c r="L696" s="11"/>
      <c r="M696" s="11"/>
      <c r="N696" s="11"/>
    </row>
    <row r="697" ht="15.75" customHeight="1">
      <c r="A697" s="11" t="s">
        <v>531</v>
      </c>
      <c r="B697" s="38">
        <v>132.0</v>
      </c>
      <c r="C697" s="11">
        <f t="shared" si="1"/>
        <v>0.056</v>
      </c>
      <c r="D697" s="13">
        <f t="shared" si="2"/>
        <v>0.056</v>
      </c>
      <c r="E697" s="11" t="s">
        <v>531</v>
      </c>
      <c r="F697" s="12">
        <v>15869.25</v>
      </c>
      <c r="G697" s="11">
        <v>0.003630189</v>
      </c>
      <c r="H697" s="13">
        <v>0.0036</v>
      </c>
      <c r="J697" s="15"/>
      <c r="K697" s="11"/>
      <c r="L697" s="11"/>
      <c r="M697" s="11"/>
      <c r="N697" s="11"/>
    </row>
    <row r="698" ht="15.75" customHeight="1">
      <c r="A698" s="11" t="s">
        <v>532</v>
      </c>
      <c r="B698" s="38">
        <v>125.0</v>
      </c>
      <c r="C698" s="11">
        <f t="shared" si="1"/>
        <v>-0.0141955836</v>
      </c>
      <c r="D698" s="13">
        <f t="shared" si="2"/>
        <v>-0.0141955836</v>
      </c>
      <c r="E698" s="11" t="s">
        <v>532</v>
      </c>
      <c r="F698" s="12">
        <v>15811.85</v>
      </c>
      <c r="G698" s="11">
        <v>7.91172E-4</v>
      </c>
      <c r="H698" s="13">
        <v>8.0E-4</v>
      </c>
      <c r="J698" s="15"/>
      <c r="K698" s="11"/>
      <c r="L698" s="11"/>
      <c r="M698" s="11"/>
      <c r="N698" s="11"/>
    </row>
    <row r="699" ht="15.75" customHeight="1">
      <c r="A699" s="35">
        <v>44506.0</v>
      </c>
      <c r="B699" s="38">
        <v>126.8</v>
      </c>
      <c r="C699" s="11">
        <f t="shared" si="1"/>
        <v>-0.01514563107</v>
      </c>
      <c r="D699" s="13">
        <f t="shared" si="2"/>
        <v>-0.01514563107</v>
      </c>
      <c r="E699" s="35">
        <v>44506.0</v>
      </c>
      <c r="F699" s="12">
        <v>15799.35</v>
      </c>
      <c r="G699" s="11">
        <v>0.003914155</v>
      </c>
      <c r="H699" s="13">
        <v>0.0039</v>
      </c>
      <c r="J699" s="15"/>
      <c r="K699" s="11"/>
      <c r="L699" s="11"/>
      <c r="M699" s="11"/>
      <c r="N699" s="11"/>
    </row>
    <row r="700" ht="15.75" customHeight="1">
      <c r="A700" s="35">
        <v>44475.0</v>
      </c>
      <c r="B700" s="38">
        <v>128.75</v>
      </c>
      <c r="C700" s="11">
        <f t="shared" si="1"/>
        <v>0.008617312965</v>
      </c>
      <c r="D700" s="13">
        <f t="shared" si="2"/>
        <v>0.008617312965</v>
      </c>
      <c r="E700" s="35">
        <v>44475.0</v>
      </c>
      <c r="F700" s="12">
        <v>15737.75</v>
      </c>
      <c r="G700" s="11">
        <v>0.006549262</v>
      </c>
      <c r="H700" s="13">
        <v>0.0065</v>
      </c>
      <c r="J700" s="15"/>
      <c r="K700" s="11"/>
      <c r="L700" s="11"/>
      <c r="M700" s="11"/>
      <c r="N700" s="11"/>
    </row>
    <row r="701" ht="15.75" customHeight="1">
      <c r="A701" s="35">
        <v>44445.0</v>
      </c>
      <c r="B701" s="38">
        <v>127.65</v>
      </c>
      <c r="C701" s="11">
        <f t="shared" si="1"/>
        <v>0.02943548387</v>
      </c>
      <c r="D701" s="13">
        <f t="shared" si="2"/>
        <v>0.02943548387</v>
      </c>
      <c r="E701" s="35">
        <v>44445.0</v>
      </c>
      <c r="F701" s="12">
        <v>15635.35</v>
      </c>
      <c r="G701" s="11">
        <v>-0.006654977</v>
      </c>
      <c r="H701" s="13">
        <v>-0.0067</v>
      </c>
      <c r="J701" s="15"/>
      <c r="K701" s="11"/>
      <c r="L701" s="11"/>
      <c r="M701" s="11"/>
      <c r="N701" s="11"/>
    </row>
    <row r="702" ht="15.75" customHeight="1">
      <c r="A702" s="35">
        <v>44414.0</v>
      </c>
      <c r="B702" s="38">
        <v>124.0</v>
      </c>
      <c r="C702" s="11">
        <f t="shared" si="1"/>
        <v>-0.01509134234</v>
      </c>
      <c r="D702" s="13">
        <f t="shared" si="2"/>
        <v>-0.01509134234</v>
      </c>
      <c r="E702" s="35">
        <v>44414.0</v>
      </c>
      <c r="F702" s="12">
        <v>15740.1</v>
      </c>
      <c r="G702" s="11">
        <v>-7.33257E-4</v>
      </c>
      <c r="H702" s="13">
        <v>-7.0E-4</v>
      </c>
      <c r="J702" s="15"/>
      <c r="K702" s="11"/>
      <c r="L702" s="11"/>
      <c r="M702" s="11"/>
      <c r="N702" s="11"/>
    </row>
    <row r="703" ht="15.75" customHeight="1">
      <c r="A703" s="35">
        <v>44383.0</v>
      </c>
      <c r="B703" s="38">
        <v>125.9</v>
      </c>
      <c r="C703" s="11">
        <f t="shared" si="1"/>
        <v>0.01450443191</v>
      </c>
      <c r="D703" s="13">
        <f t="shared" si="2"/>
        <v>0.01450443191</v>
      </c>
      <c r="E703" s="35">
        <v>44383.0</v>
      </c>
      <c r="F703" s="12">
        <v>15751.65</v>
      </c>
      <c r="G703" s="11">
        <v>0.005194557</v>
      </c>
      <c r="H703" s="13">
        <v>0.0052</v>
      </c>
      <c r="J703" s="15"/>
      <c r="K703" s="11"/>
      <c r="L703" s="11"/>
      <c r="M703" s="11"/>
      <c r="N703" s="11"/>
    </row>
    <row r="704" ht="15.75" customHeight="1">
      <c r="A704" s="35">
        <v>44292.0</v>
      </c>
      <c r="B704" s="38">
        <v>124.1</v>
      </c>
      <c r="C704" s="11">
        <f t="shared" si="1"/>
        <v>0.02434997936</v>
      </c>
      <c r="D704" s="13">
        <f t="shared" si="2"/>
        <v>0.02434997936</v>
      </c>
      <c r="E704" s="35">
        <v>44292.0</v>
      </c>
      <c r="F704" s="12">
        <v>15670.25</v>
      </c>
      <c r="G704" s="11">
        <v>-0.001281042</v>
      </c>
      <c r="H704" s="13">
        <v>-0.0013</v>
      </c>
      <c r="J704" s="15"/>
      <c r="K704" s="11"/>
      <c r="L704" s="11"/>
      <c r="M704" s="11"/>
      <c r="N704" s="11"/>
    </row>
    <row r="705" ht="15.75" customHeight="1">
      <c r="A705" s="35">
        <v>44261.0</v>
      </c>
      <c r="B705" s="38">
        <v>121.15</v>
      </c>
      <c r="C705" s="11">
        <f t="shared" si="1"/>
        <v>0.004144218815</v>
      </c>
      <c r="D705" s="13">
        <f t="shared" si="2"/>
        <v>0.004144218815</v>
      </c>
      <c r="E705" s="35">
        <v>44261.0</v>
      </c>
      <c r="F705" s="12">
        <v>15690.35</v>
      </c>
      <c r="G705" s="11">
        <v>0.007328488</v>
      </c>
      <c r="H705" s="13">
        <v>0.0073</v>
      </c>
      <c r="J705" s="15"/>
      <c r="K705" s="11"/>
      <c r="L705" s="11"/>
      <c r="M705" s="11"/>
      <c r="N705" s="11"/>
    </row>
    <row r="706" ht="15.75" customHeight="1">
      <c r="A706" s="35">
        <v>44233.0</v>
      </c>
      <c r="B706" s="38">
        <v>120.65</v>
      </c>
      <c r="C706" s="11">
        <f t="shared" si="1"/>
        <v>0.001244813278</v>
      </c>
      <c r="D706" s="13">
        <f t="shared" si="2"/>
        <v>0.001244813278</v>
      </c>
      <c r="E706" s="35">
        <v>44233.0</v>
      </c>
      <c r="F706" s="12">
        <v>15576.2</v>
      </c>
      <c r="G706" s="45">
        <v>8.66782E-5</v>
      </c>
      <c r="H706" s="13">
        <v>1.0E-4</v>
      </c>
      <c r="J706" s="15"/>
      <c r="K706" s="11"/>
      <c r="L706" s="11"/>
      <c r="M706" s="11"/>
      <c r="N706" s="11"/>
    </row>
    <row r="707" ht="15.75" customHeight="1">
      <c r="A707" s="35">
        <v>44202.0</v>
      </c>
      <c r="B707" s="38">
        <v>120.5</v>
      </c>
      <c r="C707" s="11">
        <f t="shared" si="1"/>
        <v>-0.01912901913</v>
      </c>
      <c r="D707" s="13">
        <f t="shared" si="2"/>
        <v>-0.01912901913</v>
      </c>
      <c r="E707" s="35">
        <v>44202.0</v>
      </c>
      <c r="F707" s="12">
        <v>15574.85</v>
      </c>
      <c r="G707" s="11">
        <v>-5.10178E-4</v>
      </c>
      <c r="H707" s="13">
        <v>-5.0E-4</v>
      </c>
      <c r="J707" s="15"/>
      <c r="K707" s="11"/>
      <c r="L707" s="11"/>
      <c r="M707" s="11"/>
      <c r="N707" s="11"/>
    </row>
    <row r="708" ht="15.75" customHeight="1">
      <c r="A708" s="11" t="s">
        <v>533</v>
      </c>
      <c r="B708" s="38">
        <v>122.85</v>
      </c>
      <c r="C708" s="11">
        <f t="shared" si="1"/>
        <v>0.004086636698</v>
      </c>
      <c r="D708" s="13">
        <f t="shared" si="2"/>
        <v>0.004086636698</v>
      </c>
      <c r="E708" s="11" t="s">
        <v>533</v>
      </c>
      <c r="F708" s="12">
        <v>15582.8</v>
      </c>
      <c r="G708" s="11">
        <v>0.009533126</v>
      </c>
      <c r="H708" s="13">
        <v>0.0095</v>
      </c>
      <c r="J708" s="15"/>
      <c r="K708" s="11"/>
      <c r="L708" s="11"/>
      <c r="M708" s="11"/>
      <c r="N708" s="11"/>
    </row>
    <row r="709" ht="15.75" customHeight="1">
      <c r="A709" s="11" t="s">
        <v>534</v>
      </c>
      <c r="B709" s="38">
        <v>122.35</v>
      </c>
      <c r="C709" s="11">
        <f t="shared" si="1"/>
        <v>0.01746361746</v>
      </c>
      <c r="D709" s="13">
        <f t="shared" si="2"/>
        <v>0.01746361746</v>
      </c>
      <c r="E709" s="11" t="s">
        <v>534</v>
      </c>
      <c r="F709" s="12">
        <v>15435.65</v>
      </c>
      <c r="G709" s="11">
        <v>0.006376383</v>
      </c>
      <c r="H709" s="13">
        <v>0.0064</v>
      </c>
      <c r="J709" s="15"/>
      <c r="K709" s="11"/>
      <c r="L709" s="11"/>
      <c r="M709" s="11"/>
      <c r="N709" s="11"/>
    </row>
    <row r="710" ht="15.75" customHeight="1">
      <c r="A710" s="11" t="s">
        <v>535</v>
      </c>
      <c r="B710" s="38">
        <v>120.25</v>
      </c>
      <c r="C710" s="11">
        <f t="shared" si="1"/>
        <v>0.002501042101</v>
      </c>
      <c r="D710" s="13">
        <f t="shared" si="2"/>
        <v>0.002501042101</v>
      </c>
      <c r="E710" s="11" t="s">
        <v>535</v>
      </c>
      <c r="F710" s="12">
        <v>15337.85</v>
      </c>
      <c r="G710" s="11">
        <v>0.00237886</v>
      </c>
      <c r="H710" s="13">
        <v>0.0024</v>
      </c>
      <c r="J710" s="15"/>
      <c r="K710" s="11"/>
      <c r="L710" s="11"/>
      <c r="M710" s="11"/>
      <c r="N710" s="11"/>
    </row>
    <row r="711" ht="15.75" customHeight="1">
      <c r="A711" s="11" t="s">
        <v>536</v>
      </c>
      <c r="B711" s="38">
        <v>119.95</v>
      </c>
      <c r="C711" s="11">
        <f t="shared" si="1"/>
        <v>0.001670146138</v>
      </c>
      <c r="D711" s="13">
        <f t="shared" si="2"/>
        <v>0.001670146138</v>
      </c>
      <c r="E711" s="11" t="s">
        <v>536</v>
      </c>
      <c r="F711" s="12">
        <v>15301.45</v>
      </c>
      <c r="G711" s="11">
        <v>0.006115022</v>
      </c>
      <c r="H711" s="13">
        <v>0.0061</v>
      </c>
      <c r="J711" s="15"/>
      <c r="K711" s="11"/>
      <c r="L711" s="11"/>
      <c r="M711" s="11"/>
      <c r="N711" s="11"/>
    </row>
    <row r="712" ht="15.75" customHeight="1">
      <c r="A712" s="11" t="s">
        <v>537</v>
      </c>
      <c r="B712" s="38">
        <v>119.75</v>
      </c>
      <c r="C712" s="11">
        <f t="shared" si="1"/>
        <v>-0.008281573499</v>
      </c>
      <c r="D712" s="13">
        <f t="shared" si="2"/>
        <v>-0.008281573499</v>
      </c>
      <c r="E712" s="11" t="s">
        <v>537</v>
      </c>
      <c r="F712" s="12">
        <v>15208.45</v>
      </c>
      <c r="G712" s="11">
        <v>7.07344E-4</v>
      </c>
      <c r="H712" s="13">
        <v>7.0E-4</v>
      </c>
      <c r="J712" s="15"/>
      <c r="K712" s="11"/>
      <c r="L712" s="11"/>
      <c r="M712" s="11"/>
      <c r="N712" s="11"/>
    </row>
    <row r="713" ht="15.75" customHeight="1">
      <c r="A713" s="11" t="s">
        <v>538</v>
      </c>
      <c r="B713" s="38">
        <v>120.75</v>
      </c>
      <c r="C713" s="11">
        <f t="shared" si="1"/>
        <v>-0.008620689655</v>
      </c>
      <c r="D713" s="13">
        <f t="shared" si="2"/>
        <v>-0.008620689655</v>
      </c>
      <c r="E713" s="11" t="s">
        <v>538</v>
      </c>
      <c r="F713" s="12">
        <v>15197.7</v>
      </c>
      <c r="G713" s="11">
        <v>0.001476083</v>
      </c>
      <c r="H713" s="13">
        <v>0.0015</v>
      </c>
      <c r="J713" s="15"/>
      <c r="K713" s="11"/>
      <c r="L713" s="11"/>
      <c r="M713" s="11"/>
      <c r="N713" s="11"/>
    </row>
    <row r="714" ht="15.75" customHeight="1">
      <c r="A714" s="11" t="s">
        <v>539</v>
      </c>
      <c r="B714" s="38">
        <v>121.8</v>
      </c>
      <c r="C714" s="11">
        <f t="shared" si="1"/>
        <v>0.0248212032</v>
      </c>
      <c r="D714" s="13">
        <f t="shared" si="2"/>
        <v>0.0248212032</v>
      </c>
      <c r="E714" s="11" t="s">
        <v>539</v>
      </c>
      <c r="F714" s="12">
        <v>15175.3</v>
      </c>
      <c r="G714" s="11">
        <v>0.018063135</v>
      </c>
      <c r="H714" s="13">
        <v>0.0181</v>
      </c>
      <c r="J714" s="15"/>
      <c r="K714" s="11"/>
      <c r="L714" s="11"/>
      <c r="M714" s="11"/>
      <c r="N714" s="11"/>
    </row>
    <row r="715" ht="15.75" customHeight="1">
      <c r="A715" s="11" t="s">
        <v>540</v>
      </c>
      <c r="B715" s="38">
        <v>118.85</v>
      </c>
      <c r="C715" s="11">
        <f t="shared" si="1"/>
        <v>-0.005855290673</v>
      </c>
      <c r="D715" s="13">
        <f t="shared" si="2"/>
        <v>-0.005855290673</v>
      </c>
      <c r="E715" s="11" t="s">
        <v>540</v>
      </c>
      <c r="F715" s="12">
        <v>14906.05</v>
      </c>
      <c r="G715" s="11">
        <v>-0.008256737</v>
      </c>
      <c r="H715" s="13">
        <v>-0.0083</v>
      </c>
      <c r="J715" s="15"/>
      <c r="K715" s="11"/>
      <c r="L715" s="11"/>
      <c r="M715" s="11"/>
      <c r="N715" s="11"/>
    </row>
    <row r="716" ht="15.75" customHeight="1">
      <c r="A716" s="11" t="s">
        <v>541</v>
      </c>
      <c r="B716" s="38">
        <v>119.55</v>
      </c>
      <c r="C716" s="11">
        <f t="shared" si="1"/>
        <v>0.01485568761</v>
      </c>
      <c r="D716" s="13">
        <f t="shared" si="2"/>
        <v>0.01485568761</v>
      </c>
      <c r="E716" s="11" t="s">
        <v>541</v>
      </c>
      <c r="F716" s="12">
        <v>15030.15</v>
      </c>
      <c r="G716" s="11">
        <v>-0.005159484</v>
      </c>
      <c r="H716" s="13">
        <v>-0.0052</v>
      </c>
      <c r="J716" s="15"/>
      <c r="K716" s="11"/>
      <c r="L716" s="11"/>
      <c r="M716" s="11"/>
      <c r="N716" s="11"/>
    </row>
    <row r="717" ht="15.75" customHeight="1">
      <c r="A717" s="11" t="s">
        <v>542</v>
      </c>
      <c r="B717" s="38">
        <v>117.8</v>
      </c>
      <c r="C717" s="11">
        <f t="shared" si="1"/>
        <v>-0.0004242681375</v>
      </c>
      <c r="D717" s="13">
        <f t="shared" si="2"/>
        <v>-0.0004242681375</v>
      </c>
      <c r="E717" s="11" t="s">
        <v>542</v>
      </c>
      <c r="F717" s="12">
        <v>15108.1</v>
      </c>
      <c r="G717" s="11">
        <v>0.012393496</v>
      </c>
      <c r="H717" s="13">
        <v>0.0124</v>
      </c>
      <c r="J717" s="15"/>
      <c r="K717" s="11"/>
      <c r="L717" s="11"/>
      <c r="M717" s="11"/>
      <c r="N717" s="11"/>
    </row>
    <row r="718" ht="15.75" customHeight="1">
      <c r="A718" s="11" t="s">
        <v>543</v>
      </c>
      <c r="B718" s="38">
        <v>117.85</v>
      </c>
      <c r="C718" s="11">
        <f t="shared" si="1"/>
        <v>-0.001694197374</v>
      </c>
      <c r="D718" s="13">
        <f t="shared" si="2"/>
        <v>-0.001694197374</v>
      </c>
      <c r="E718" s="11" t="s">
        <v>543</v>
      </c>
      <c r="F718" s="12">
        <v>14923.15</v>
      </c>
      <c r="G718" s="11">
        <v>0.01671572</v>
      </c>
      <c r="H718" s="13">
        <v>0.0167</v>
      </c>
      <c r="J718" s="15"/>
      <c r="K718" s="11"/>
      <c r="L718" s="11"/>
      <c r="M718" s="11"/>
      <c r="N718" s="11"/>
    </row>
    <row r="719" ht="15.75" customHeight="1">
      <c r="A719" s="11" t="s">
        <v>544</v>
      </c>
      <c r="B719" s="38">
        <v>118.05</v>
      </c>
      <c r="C719" s="11">
        <f t="shared" si="1"/>
        <v>-0.01706910908</v>
      </c>
      <c r="D719" s="13">
        <f t="shared" si="2"/>
        <v>-0.01706910908</v>
      </c>
      <c r="E719" s="11" t="s">
        <v>544</v>
      </c>
      <c r="F719" s="12">
        <v>14677.8</v>
      </c>
      <c r="G719" s="11">
        <v>-0.001272412</v>
      </c>
      <c r="H719" s="13">
        <v>-0.0013</v>
      </c>
      <c r="J719" s="15"/>
      <c r="K719" s="11"/>
      <c r="L719" s="11"/>
      <c r="M719" s="11"/>
      <c r="N719" s="11"/>
    </row>
    <row r="720" ht="15.75" customHeight="1">
      <c r="A720" s="35">
        <v>44535.0</v>
      </c>
      <c r="B720" s="38">
        <v>120.1</v>
      </c>
      <c r="C720" s="11">
        <f t="shared" si="1"/>
        <v>-0.02910266774</v>
      </c>
      <c r="D720" s="13">
        <f t="shared" si="2"/>
        <v>-0.02910266774</v>
      </c>
      <c r="E720" s="35">
        <v>44535.0</v>
      </c>
      <c r="F720" s="12">
        <v>14696.5</v>
      </c>
      <c r="G720" s="11">
        <v>-0.010386681</v>
      </c>
      <c r="H720" s="13">
        <v>-0.0104</v>
      </c>
      <c r="J720" s="15"/>
      <c r="K720" s="11"/>
      <c r="L720" s="11"/>
      <c r="M720" s="11"/>
      <c r="N720" s="11"/>
    </row>
    <row r="721" ht="15.75" customHeight="1">
      <c r="A721" s="35">
        <v>44505.0</v>
      </c>
      <c r="B721" s="38">
        <v>123.7</v>
      </c>
      <c r="C721" s="11">
        <f t="shared" si="1"/>
        <v>0.04037005887</v>
      </c>
      <c r="D721" s="13">
        <f t="shared" si="2"/>
        <v>0.04037005887</v>
      </c>
      <c r="E721" s="35">
        <v>44505.0</v>
      </c>
      <c r="F721" s="12">
        <v>14850.75</v>
      </c>
      <c r="G721" s="11">
        <v>-0.006130227</v>
      </c>
      <c r="H721" s="13">
        <v>-0.0061</v>
      </c>
      <c r="J721" s="15"/>
      <c r="K721" s="11"/>
      <c r="L721" s="11"/>
      <c r="M721" s="11"/>
      <c r="N721" s="11"/>
    </row>
    <row r="722" ht="15.75" customHeight="1">
      <c r="A722" s="35">
        <v>44474.0</v>
      </c>
      <c r="B722" s="38">
        <v>118.9</v>
      </c>
      <c r="C722" s="11">
        <f t="shared" si="1"/>
        <v>-0.0132780083</v>
      </c>
      <c r="D722" s="13">
        <f t="shared" si="2"/>
        <v>-0.0132780083</v>
      </c>
      <c r="E722" s="35">
        <v>44474.0</v>
      </c>
      <c r="F722" s="12">
        <v>14942.35</v>
      </c>
      <c r="G722" s="11">
        <v>0.008041476</v>
      </c>
      <c r="H722" s="13">
        <v>0.008</v>
      </c>
      <c r="J722" s="15"/>
      <c r="K722" s="11"/>
      <c r="L722" s="11"/>
      <c r="M722" s="11"/>
      <c r="N722" s="11"/>
    </row>
    <row r="723" ht="15.75" customHeight="1">
      <c r="A723" s="35">
        <v>44382.0</v>
      </c>
      <c r="B723" s="38">
        <v>120.5</v>
      </c>
      <c r="C723" s="11">
        <f t="shared" si="1"/>
        <v>0.04464672735</v>
      </c>
      <c r="D723" s="13">
        <f t="shared" si="2"/>
        <v>0.04464672735</v>
      </c>
      <c r="E723" s="35">
        <v>44382.0</v>
      </c>
      <c r="F723" s="12">
        <v>14823.15</v>
      </c>
      <c r="G723" s="11">
        <v>0.006679208</v>
      </c>
      <c r="H723" s="13">
        <v>0.0067</v>
      </c>
      <c r="J723" s="15"/>
      <c r="K723" s="11"/>
      <c r="L723" s="11"/>
      <c r="M723" s="11"/>
      <c r="N723" s="11"/>
    </row>
    <row r="724" ht="15.75" customHeight="1">
      <c r="A724" s="35">
        <v>44352.0</v>
      </c>
      <c r="B724" s="38">
        <v>115.35</v>
      </c>
      <c r="C724" s="11">
        <f t="shared" si="1"/>
        <v>0.03965750338</v>
      </c>
      <c r="D724" s="13">
        <f t="shared" si="2"/>
        <v>0.03965750338</v>
      </c>
      <c r="E724" s="35">
        <v>44352.0</v>
      </c>
      <c r="F724" s="12">
        <v>14724.8</v>
      </c>
      <c r="G724" s="11">
        <v>0.007316397</v>
      </c>
      <c r="H724" s="13">
        <v>0.0073</v>
      </c>
      <c r="J724" s="15"/>
      <c r="K724" s="11"/>
      <c r="L724" s="11"/>
      <c r="M724" s="11"/>
      <c r="N724" s="11"/>
    </row>
    <row r="725" ht="15.75" customHeight="1">
      <c r="A725" s="35">
        <v>44321.0</v>
      </c>
      <c r="B725" s="38">
        <v>110.95</v>
      </c>
      <c r="C725" s="11">
        <f t="shared" si="1"/>
        <v>0.03788587465</v>
      </c>
      <c r="D725" s="13">
        <f t="shared" si="2"/>
        <v>0.03788587465</v>
      </c>
      <c r="E725" s="35">
        <v>44321.0</v>
      </c>
      <c r="F725" s="12">
        <v>14617.85</v>
      </c>
      <c r="G725" s="11">
        <v>0.008370986</v>
      </c>
      <c r="H725" s="13">
        <v>0.0084</v>
      </c>
      <c r="J725" s="15"/>
      <c r="K725" s="11"/>
      <c r="L725" s="11"/>
      <c r="M725" s="11"/>
      <c r="N725" s="11"/>
    </row>
    <row r="726" ht="15.75" customHeight="1">
      <c r="A726" s="35">
        <v>44291.0</v>
      </c>
      <c r="B726" s="38">
        <v>106.9</v>
      </c>
      <c r="C726" s="11">
        <f t="shared" si="1"/>
        <v>-0.003727865797</v>
      </c>
      <c r="D726" s="13">
        <f t="shared" si="2"/>
        <v>-0.003727865797</v>
      </c>
      <c r="E726" s="35">
        <v>44291.0</v>
      </c>
      <c r="F726" s="12">
        <v>14496.5</v>
      </c>
      <c r="G726" s="11">
        <v>-0.009406081</v>
      </c>
      <c r="H726" s="13">
        <v>-0.0094</v>
      </c>
      <c r="J726" s="15"/>
      <c r="K726" s="11"/>
      <c r="L726" s="11"/>
      <c r="M726" s="11"/>
      <c r="N726" s="11"/>
    </row>
    <row r="727" ht="15.75" customHeight="1">
      <c r="A727" s="35">
        <v>44260.0</v>
      </c>
      <c r="B727" s="38">
        <v>107.3</v>
      </c>
      <c r="C727" s="11">
        <f t="shared" si="1"/>
        <v>-0.004638218924</v>
      </c>
      <c r="D727" s="13">
        <f t="shared" si="2"/>
        <v>-0.004638218924</v>
      </c>
      <c r="E727" s="35">
        <v>44260.0</v>
      </c>
      <c r="F727" s="12">
        <v>14634.15</v>
      </c>
      <c r="G727" s="11">
        <v>2.0846E-4</v>
      </c>
      <c r="H727" s="13">
        <v>2.0E-4</v>
      </c>
      <c r="J727" s="15"/>
      <c r="K727" s="11"/>
      <c r="L727" s="11"/>
      <c r="M727" s="11"/>
      <c r="N727" s="11"/>
    </row>
    <row r="728" ht="15.75" customHeight="1">
      <c r="A728" s="11" t="s">
        <v>545</v>
      </c>
      <c r="B728" s="38">
        <v>107.8</v>
      </c>
      <c r="C728" s="11">
        <f t="shared" si="1"/>
        <v>-0.005076142132</v>
      </c>
      <c r="D728" s="13">
        <f t="shared" si="2"/>
        <v>-0.005076142132</v>
      </c>
      <c r="E728" s="11" t="s">
        <v>545</v>
      </c>
      <c r="F728" s="12">
        <v>14631.1</v>
      </c>
      <c r="G728" s="11">
        <v>-0.01771076</v>
      </c>
      <c r="H728" s="13">
        <v>-0.0177</v>
      </c>
      <c r="J728" s="15"/>
      <c r="K728" s="11"/>
      <c r="L728" s="11"/>
      <c r="M728" s="11"/>
      <c r="N728" s="11"/>
    </row>
    <row r="729" ht="15.75" customHeight="1">
      <c r="A729" s="11" t="s">
        <v>546</v>
      </c>
      <c r="B729" s="38">
        <v>108.35</v>
      </c>
      <c r="C729" s="11">
        <f t="shared" si="1"/>
        <v>-0.006874427131</v>
      </c>
      <c r="D729" s="13">
        <f t="shared" si="2"/>
        <v>-0.006874427131</v>
      </c>
      <c r="E729" s="11" t="s">
        <v>546</v>
      </c>
      <c r="F729" s="12">
        <v>14894.9</v>
      </c>
      <c r="G729" s="11">
        <v>0.002041771</v>
      </c>
      <c r="H729" s="13">
        <v>0.002</v>
      </c>
      <c r="J729" s="15"/>
      <c r="K729" s="11"/>
      <c r="L729" s="11"/>
      <c r="M729" s="11"/>
      <c r="N729" s="11"/>
    </row>
    <row r="730" ht="15.75" customHeight="1">
      <c r="A730" s="11" t="s">
        <v>547</v>
      </c>
      <c r="B730" s="38">
        <v>109.1</v>
      </c>
      <c r="C730" s="11">
        <f t="shared" si="1"/>
        <v>0.007852193995</v>
      </c>
      <c r="D730" s="13">
        <f t="shared" si="2"/>
        <v>0.007852193995</v>
      </c>
      <c r="E730" s="11" t="s">
        <v>547</v>
      </c>
      <c r="F730" s="12">
        <v>14864.55</v>
      </c>
      <c r="G730" s="11">
        <v>0.014433855</v>
      </c>
      <c r="H730" s="13">
        <v>0.0144</v>
      </c>
      <c r="J730" s="15"/>
      <c r="K730" s="11"/>
      <c r="L730" s="11"/>
      <c r="M730" s="11"/>
      <c r="N730" s="11"/>
    </row>
    <row r="731" ht="15.75" customHeight="1">
      <c r="A731" s="11" t="s">
        <v>548</v>
      </c>
      <c r="B731" s="38">
        <v>108.25</v>
      </c>
      <c r="C731" s="11">
        <f t="shared" si="1"/>
        <v>0.02026390198</v>
      </c>
      <c r="D731" s="13">
        <f t="shared" si="2"/>
        <v>0.02026390198</v>
      </c>
      <c r="E731" s="11" t="s">
        <v>548</v>
      </c>
      <c r="F731" s="12">
        <v>14653.05</v>
      </c>
      <c r="G731" s="11">
        <v>0.011601657</v>
      </c>
      <c r="H731" s="13">
        <v>0.0116</v>
      </c>
      <c r="J731" s="15"/>
      <c r="K731" s="11"/>
      <c r="L731" s="11"/>
      <c r="M731" s="11"/>
      <c r="N731" s="11"/>
    </row>
    <row r="732" ht="15.75" customHeight="1">
      <c r="A732" s="11" t="s">
        <v>549</v>
      </c>
      <c r="B732" s="38">
        <v>106.1</v>
      </c>
      <c r="C732" s="11">
        <f t="shared" si="1"/>
        <v>-0.00422336931</v>
      </c>
      <c r="D732" s="13">
        <f t="shared" si="2"/>
        <v>-0.00422336931</v>
      </c>
      <c r="E732" s="11" t="s">
        <v>549</v>
      </c>
      <c r="F732" s="12">
        <v>14485.0</v>
      </c>
      <c r="G732" s="11">
        <v>0.010016491</v>
      </c>
      <c r="H732" s="13">
        <v>0.01</v>
      </c>
      <c r="J732" s="15"/>
      <c r="K732" s="11"/>
      <c r="L732" s="11"/>
      <c r="M732" s="11"/>
      <c r="N732" s="11"/>
    </row>
    <row r="733" ht="15.75" customHeight="1">
      <c r="A733" s="11" t="s">
        <v>550</v>
      </c>
      <c r="B733" s="38">
        <v>106.55</v>
      </c>
      <c r="C733" s="11">
        <f t="shared" si="1"/>
        <v>0.02797877472</v>
      </c>
      <c r="D733" s="13">
        <f t="shared" si="2"/>
        <v>0.02797877472</v>
      </c>
      <c r="E733" s="11" t="s">
        <v>550</v>
      </c>
      <c r="F733" s="12">
        <v>14341.35</v>
      </c>
      <c r="G733" s="11">
        <v>-0.004498079</v>
      </c>
      <c r="H733" s="13">
        <v>-0.0045</v>
      </c>
      <c r="J733" s="15"/>
      <c r="K733" s="11"/>
      <c r="L733" s="11"/>
      <c r="M733" s="11"/>
      <c r="N733" s="11"/>
    </row>
    <row r="734" ht="15.75" customHeight="1">
      <c r="A734" s="11" t="s">
        <v>551</v>
      </c>
      <c r="B734" s="38">
        <v>103.65</v>
      </c>
      <c r="C734" s="11">
        <f t="shared" si="1"/>
        <v>-0.001925854598</v>
      </c>
      <c r="D734" s="13">
        <f t="shared" si="2"/>
        <v>-0.001925854598</v>
      </c>
      <c r="E734" s="11" t="s">
        <v>551</v>
      </c>
      <c r="F734" s="12">
        <v>14406.15</v>
      </c>
      <c r="G734" s="11">
        <v>0.007676758</v>
      </c>
      <c r="H734" s="13">
        <v>0.0077</v>
      </c>
      <c r="J734" s="15"/>
      <c r="K734" s="11"/>
      <c r="L734" s="11"/>
      <c r="M734" s="11"/>
      <c r="N734" s="11"/>
    </row>
    <row r="735" ht="15.75" customHeight="1">
      <c r="A735" s="11" t="s">
        <v>552</v>
      </c>
      <c r="B735" s="38">
        <v>103.85</v>
      </c>
      <c r="C735" s="11">
        <f t="shared" si="1"/>
        <v>0.01021400778</v>
      </c>
      <c r="D735" s="13">
        <f t="shared" si="2"/>
        <v>0.01021400778</v>
      </c>
      <c r="E735" s="11" t="s">
        <v>552</v>
      </c>
      <c r="F735" s="12">
        <v>14296.4</v>
      </c>
      <c r="G735" s="11">
        <v>-0.004390837</v>
      </c>
      <c r="H735" s="13">
        <v>-0.0044</v>
      </c>
      <c r="J735" s="15"/>
      <c r="K735" s="11"/>
      <c r="L735" s="11"/>
      <c r="M735" s="11"/>
      <c r="N735" s="11"/>
    </row>
    <row r="736" ht="15.75" customHeight="1">
      <c r="A736" s="11" t="s">
        <v>553</v>
      </c>
      <c r="B736" s="38">
        <v>102.8</v>
      </c>
      <c r="C736" s="11">
        <f t="shared" si="1"/>
        <v>-0.0538426139</v>
      </c>
      <c r="D736" s="13">
        <f t="shared" si="2"/>
        <v>-0.0538426139</v>
      </c>
      <c r="E736" s="11" t="s">
        <v>553</v>
      </c>
      <c r="F736" s="12">
        <v>14359.45</v>
      </c>
      <c r="G736" s="11">
        <v>-0.017677018</v>
      </c>
      <c r="H736" s="13">
        <v>-0.0177</v>
      </c>
      <c r="J736" s="15"/>
      <c r="K736" s="11"/>
      <c r="L736" s="11"/>
      <c r="M736" s="11"/>
      <c r="N736" s="11"/>
    </row>
    <row r="737" ht="15.75" customHeight="1">
      <c r="A737" s="11" t="s">
        <v>554</v>
      </c>
      <c r="B737" s="38">
        <v>108.65</v>
      </c>
      <c r="C737" s="11">
        <f t="shared" si="1"/>
        <v>-0.001837390905</v>
      </c>
      <c r="D737" s="13">
        <f t="shared" si="2"/>
        <v>-0.001837390905</v>
      </c>
      <c r="E737" s="11" t="s">
        <v>554</v>
      </c>
      <c r="F737" s="12">
        <v>14617.85</v>
      </c>
      <c r="G737" s="11">
        <v>0.002496322</v>
      </c>
      <c r="H737" s="13">
        <v>0.0025</v>
      </c>
      <c r="J737" s="15"/>
      <c r="K737" s="11"/>
      <c r="L737" s="11"/>
      <c r="M737" s="11"/>
      <c r="N737" s="11"/>
    </row>
    <row r="738" ht="15.75" customHeight="1">
      <c r="A738" s="11" t="s">
        <v>555</v>
      </c>
      <c r="B738" s="38">
        <v>108.85</v>
      </c>
      <c r="C738" s="11">
        <f t="shared" si="1"/>
        <v>-0.00774840474</v>
      </c>
      <c r="D738" s="13">
        <f t="shared" si="2"/>
        <v>-0.00774840474</v>
      </c>
      <c r="E738" s="11" t="s">
        <v>555</v>
      </c>
      <c r="F738" s="12">
        <v>14581.45</v>
      </c>
      <c r="G738" s="11">
        <v>0.005284458</v>
      </c>
      <c r="H738" s="13">
        <v>0.0053</v>
      </c>
      <c r="J738" s="15"/>
      <c r="K738" s="11"/>
      <c r="L738" s="11"/>
      <c r="M738" s="11"/>
      <c r="N738" s="11"/>
    </row>
    <row r="739" ht="15.75" customHeight="1">
      <c r="A739" s="11" t="s">
        <v>556</v>
      </c>
      <c r="B739" s="38">
        <v>109.7</v>
      </c>
      <c r="C739" s="11">
        <f t="shared" si="1"/>
        <v>0.01621120889</v>
      </c>
      <c r="D739" s="13">
        <f t="shared" si="2"/>
        <v>0.01621120889</v>
      </c>
      <c r="E739" s="11" t="s">
        <v>556</v>
      </c>
      <c r="F739" s="12">
        <v>14504.8</v>
      </c>
      <c r="G739" s="11">
        <v>0.013556195</v>
      </c>
      <c r="H739" s="13">
        <v>0.0136</v>
      </c>
      <c r="J739" s="15"/>
      <c r="K739" s="11"/>
      <c r="L739" s="11"/>
      <c r="M739" s="11"/>
      <c r="N739" s="11"/>
    </row>
    <row r="740" ht="15.75" customHeight="1">
      <c r="A740" s="35">
        <v>44534.0</v>
      </c>
      <c r="B740" s="38">
        <v>107.95</v>
      </c>
      <c r="C740" s="11">
        <f t="shared" si="1"/>
        <v>-0.06859361519</v>
      </c>
      <c r="D740" s="13">
        <f t="shared" si="2"/>
        <v>-0.06859361519</v>
      </c>
      <c r="E740" s="35">
        <v>44534.0</v>
      </c>
      <c r="F740" s="12">
        <v>14310.8</v>
      </c>
      <c r="G740" s="11">
        <v>-0.035325602</v>
      </c>
      <c r="H740" s="13">
        <v>-0.0353</v>
      </c>
      <c r="J740" s="15"/>
      <c r="K740" s="11"/>
      <c r="L740" s="11"/>
      <c r="M740" s="11"/>
      <c r="N740" s="11"/>
    </row>
    <row r="741" ht="15.75" customHeight="1">
      <c r="A741" s="35">
        <v>44443.0</v>
      </c>
      <c r="B741" s="38">
        <v>115.9</v>
      </c>
      <c r="C741" s="11">
        <f t="shared" si="1"/>
        <v>-0.006003430532</v>
      </c>
      <c r="D741" s="13">
        <f t="shared" si="2"/>
        <v>-0.006003430532</v>
      </c>
      <c r="E741" s="35">
        <v>44443.0</v>
      </c>
      <c r="F741" s="12">
        <v>14834.85</v>
      </c>
      <c r="G741" s="11">
        <v>-0.002618699</v>
      </c>
      <c r="H741" s="13">
        <v>-0.0026</v>
      </c>
      <c r="J741" s="15"/>
      <c r="K741" s="11"/>
      <c r="L741" s="11"/>
      <c r="M741" s="11"/>
      <c r="N741" s="11"/>
    </row>
    <row r="742" ht="15.75" customHeight="1">
      <c r="A742" s="35">
        <v>44412.0</v>
      </c>
      <c r="B742" s="38">
        <v>116.6</v>
      </c>
      <c r="C742" s="11">
        <f t="shared" si="1"/>
        <v>0.006473888649</v>
      </c>
      <c r="D742" s="13">
        <f t="shared" si="2"/>
        <v>0.006473888649</v>
      </c>
      <c r="E742" s="35">
        <v>44412.0</v>
      </c>
      <c r="F742" s="12">
        <v>14873.8</v>
      </c>
      <c r="G742" s="11">
        <v>0.003694569</v>
      </c>
      <c r="H742" s="13">
        <v>0.0037</v>
      </c>
      <c r="J742" s="15"/>
      <c r="K742" s="11"/>
      <c r="L742" s="11"/>
      <c r="M742" s="11"/>
      <c r="N742" s="11"/>
    </row>
    <row r="743" ht="15.75" customHeight="1">
      <c r="A743" s="35">
        <v>44381.0</v>
      </c>
      <c r="B743" s="38">
        <v>115.85</v>
      </c>
      <c r="C743" s="11">
        <f t="shared" si="1"/>
        <v>0.008268059182</v>
      </c>
      <c r="D743" s="13">
        <f t="shared" si="2"/>
        <v>0.008268059182</v>
      </c>
      <c r="E743" s="35">
        <v>44381.0</v>
      </c>
      <c r="F743" s="12">
        <v>14819.05</v>
      </c>
      <c r="G743" s="11">
        <v>0.00923145</v>
      </c>
      <c r="H743" s="13">
        <v>0.0092</v>
      </c>
      <c r="J743" s="15"/>
      <c r="K743" s="11"/>
      <c r="L743" s="11"/>
      <c r="M743" s="11"/>
      <c r="N743" s="11"/>
    </row>
    <row r="744" ht="15.75" customHeight="1">
      <c r="A744" s="35">
        <v>44351.0</v>
      </c>
      <c r="B744" s="38">
        <v>114.9</v>
      </c>
      <c r="C744" s="11">
        <f t="shared" si="1"/>
        <v>0.001307189542</v>
      </c>
      <c r="D744" s="13">
        <f t="shared" si="2"/>
        <v>0.001307189542</v>
      </c>
      <c r="E744" s="35">
        <v>44351.0</v>
      </c>
      <c r="F744" s="12">
        <v>14683.5</v>
      </c>
      <c r="G744" s="11">
        <v>0.003122054</v>
      </c>
      <c r="H744" s="13">
        <v>0.0031</v>
      </c>
      <c r="J744" s="15"/>
      <c r="K744" s="11"/>
      <c r="L744" s="11"/>
      <c r="M744" s="11"/>
      <c r="N744" s="11"/>
    </row>
    <row r="745" ht="15.75" customHeight="1">
      <c r="A745" s="35">
        <v>44320.0</v>
      </c>
      <c r="B745" s="38">
        <v>114.75</v>
      </c>
      <c r="C745" s="11">
        <f t="shared" si="1"/>
        <v>-0.0204865557</v>
      </c>
      <c r="D745" s="13">
        <f t="shared" si="2"/>
        <v>-0.0204865557</v>
      </c>
      <c r="E745" s="35">
        <v>44320.0</v>
      </c>
      <c r="F745" s="12">
        <v>14637.8</v>
      </c>
      <c r="G745" s="11">
        <v>-0.015439873</v>
      </c>
      <c r="H745" s="13">
        <v>-0.0154</v>
      </c>
      <c r="J745" s="15"/>
      <c r="K745" s="11"/>
      <c r="L745" s="11"/>
      <c r="M745" s="11"/>
      <c r="N745" s="11"/>
    </row>
    <row r="746" ht="15.75" customHeight="1">
      <c r="A746" s="35">
        <v>44200.0</v>
      </c>
      <c r="B746" s="38">
        <v>117.15</v>
      </c>
      <c r="C746" s="11">
        <f t="shared" si="1"/>
        <v>0.01913875598</v>
      </c>
      <c r="D746" s="13">
        <f t="shared" si="2"/>
        <v>0.01913875598</v>
      </c>
      <c r="E746" s="35">
        <v>44200.0</v>
      </c>
      <c r="F746" s="12">
        <v>14867.35</v>
      </c>
      <c r="G746" s="11">
        <f>0.012</f>
        <v>0.012</v>
      </c>
      <c r="H746" s="13">
        <v>0.012</v>
      </c>
      <c r="J746" s="15"/>
      <c r="K746" s="11"/>
      <c r="L746" s="11"/>
      <c r="M746" s="11"/>
      <c r="N746" s="11"/>
    </row>
    <row r="747" ht="15.75" customHeight="1">
      <c r="A747" s="11"/>
      <c r="B747" s="38">
        <v>114.95</v>
      </c>
      <c r="J747" s="15"/>
      <c r="K747" s="11"/>
      <c r="L747" s="11"/>
      <c r="M747" s="11"/>
      <c r="N747" s="11"/>
    </row>
    <row r="748" ht="15.75" customHeight="1">
      <c r="A748" s="11"/>
      <c r="J748" s="15"/>
      <c r="K748" s="11"/>
      <c r="L748" s="11"/>
      <c r="M748" s="11"/>
      <c r="N748" s="11"/>
    </row>
    <row r="749" ht="15.75" customHeight="1">
      <c r="A749" s="11"/>
      <c r="J749" s="15"/>
      <c r="K749" s="11"/>
      <c r="L749" s="11"/>
      <c r="M749" s="11"/>
      <c r="N749" s="11"/>
    </row>
    <row r="750" ht="15.75" customHeight="1">
      <c r="A750" s="11"/>
      <c r="J750" s="15"/>
      <c r="K750" s="11"/>
      <c r="L750" s="11"/>
      <c r="M750" s="11"/>
      <c r="N750" s="11"/>
    </row>
    <row r="751" ht="15.75" customHeight="1">
      <c r="A751" s="11"/>
      <c r="J751" s="15"/>
      <c r="K751" s="11"/>
      <c r="L751" s="11"/>
      <c r="M751" s="11"/>
      <c r="N751" s="11"/>
    </row>
    <row r="752" ht="15.75" customHeight="1">
      <c r="A752" s="11"/>
      <c r="J752" s="15"/>
      <c r="K752" s="11"/>
      <c r="L752" s="11"/>
      <c r="M752" s="11"/>
      <c r="N752" s="11"/>
    </row>
    <row r="753" ht="15.75" customHeight="1">
      <c r="A753" s="11"/>
      <c r="J753" s="15"/>
      <c r="K753" s="11"/>
      <c r="L753" s="11"/>
      <c r="M753" s="11"/>
      <c r="N753" s="11"/>
    </row>
    <row r="754" ht="15.75" customHeight="1">
      <c r="A754" s="11"/>
      <c r="J754" s="15"/>
      <c r="K754" s="11"/>
      <c r="L754" s="11"/>
      <c r="M754" s="11"/>
      <c r="N754" s="11"/>
    </row>
    <row r="755" ht="15.75" customHeight="1">
      <c r="A755" s="11"/>
      <c r="J755" s="15"/>
      <c r="K755" s="11"/>
      <c r="L755" s="11"/>
      <c r="M755" s="11"/>
      <c r="N755" s="11"/>
    </row>
    <row r="756" ht="15.75" customHeight="1">
      <c r="A756" s="11"/>
      <c r="J756" s="15"/>
      <c r="K756" s="11"/>
      <c r="L756" s="11"/>
      <c r="M756" s="11"/>
      <c r="N756" s="11"/>
    </row>
    <row r="757" ht="15.75" customHeight="1">
      <c r="A757" s="11"/>
      <c r="J757" s="15"/>
      <c r="K757" s="11"/>
      <c r="L757" s="11"/>
      <c r="M757" s="11"/>
      <c r="N757" s="11"/>
    </row>
    <row r="758" ht="15.75" customHeight="1">
      <c r="A758" s="11"/>
      <c r="J758" s="15"/>
      <c r="K758" s="11"/>
      <c r="L758" s="11"/>
      <c r="M758" s="11"/>
      <c r="N758" s="11"/>
    </row>
    <row r="759" ht="15.75" customHeight="1">
      <c r="A759" s="11"/>
      <c r="J759" s="15"/>
      <c r="K759" s="11"/>
      <c r="L759" s="11"/>
      <c r="M759" s="11"/>
      <c r="N759" s="11"/>
    </row>
    <row r="760" ht="15.75" customHeight="1">
      <c r="A760" s="11"/>
      <c r="J760" s="15"/>
      <c r="K760" s="11"/>
      <c r="L760" s="11"/>
      <c r="M760" s="11"/>
      <c r="N760" s="11"/>
    </row>
    <row r="761" ht="15.75" customHeight="1">
      <c r="A761" s="11"/>
      <c r="J761" s="15"/>
      <c r="K761" s="11"/>
      <c r="L761" s="11"/>
      <c r="M761" s="11"/>
      <c r="N761" s="11"/>
    </row>
    <row r="762" ht="15.75" customHeight="1">
      <c r="A762" s="11"/>
      <c r="J762" s="15"/>
      <c r="K762" s="11"/>
      <c r="L762" s="11"/>
      <c r="M762" s="11"/>
      <c r="N762" s="11"/>
    </row>
    <row r="763" ht="15.75" customHeight="1">
      <c r="A763" s="11"/>
      <c r="J763" s="15"/>
      <c r="K763" s="11"/>
      <c r="L763" s="11"/>
      <c r="M763" s="11"/>
      <c r="N763" s="11"/>
    </row>
    <row r="764" ht="15.75" customHeight="1">
      <c r="A764" s="11"/>
      <c r="J764" s="15"/>
      <c r="K764" s="11"/>
      <c r="L764" s="11"/>
      <c r="M764" s="11"/>
      <c r="N764" s="11"/>
    </row>
    <row r="765" ht="15.75" customHeight="1">
      <c r="A765" s="11"/>
      <c r="J765" s="15"/>
      <c r="K765" s="11"/>
      <c r="L765" s="11"/>
      <c r="M765" s="11"/>
      <c r="N765" s="11"/>
    </row>
    <row r="766" ht="15.75" customHeight="1">
      <c r="A766" s="11"/>
      <c r="J766" s="15"/>
      <c r="K766" s="11"/>
      <c r="L766" s="11"/>
      <c r="M766" s="11"/>
      <c r="N766" s="11"/>
    </row>
    <row r="767" ht="15.75" customHeight="1">
      <c r="A767" s="11"/>
      <c r="J767" s="15"/>
      <c r="K767" s="11"/>
      <c r="L767" s="11"/>
      <c r="M767" s="11"/>
      <c r="N767" s="11"/>
    </row>
    <row r="768" ht="15.75" customHeight="1">
      <c r="A768" s="11"/>
      <c r="J768" s="15"/>
      <c r="K768" s="11"/>
      <c r="L768" s="11"/>
      <c r="M768" s="11"/>
      <c r="N768" s="11"/>
    </row>
    <row r="769" ht="15.75" customHeight="1">
      <c r="A769" s="11"/>
      <c r="J769" s="15"/>
      <c r="K769" s="11"/>
      <c r="L769" s="11"/>
      <c r="M769" s="11"/>
      <c r="N769" s="11"/>
    </row>
    <row r="770" ht="15.75" customHeight="1">
      <c r="A770" s="11"/>
      <c r="J770" s="15"/>
      <c r="K770" s="11"/>
      <c r="L770" s="11"/>
      <c r="M770" s="11"/>
      <c r="N770" s="11"/>
    </row>
    <row r="771" ht="15.75" customHeight="1">
      <c r="A771" s="11"/>
      <c r="J771" s="15"/>
      <c r="K771" s="11"/>
      <c r="L771" s="11"/>
      <c r="M771" s="11"/>
      <c r="N771" s="11"/>
    </row>
    <row r="772" ht="15.75" customHeight="1">
      <c r="A772" s="11"/>
      <c r="J772" s="15"/>
      <c r="K772" s="11"/>
      <c r="L772" s="11"/>
      <c r="M772" s="11"/>
      <c r="N772" s="11"/>
    </row>
    <row r="773" ht="15.75" customHeight="1">
      <c r="A773" s="11"/>
      <c r="J773" s="15"/>
      <c r="K773" s="11"/>
      <c r="L773" s="11"/>
      <c r="M773" s="11"/>
      <c r="N773" s="11"/>
    </row>
    <row r="774" ht="15.75" customHeight="1">
      <c r="A774" s="11"/>
      <c r="J774" s="15"/>
      <c r="K774" s="11"/>
      <c r="L774" s="11"/>
      <c r="M774" s="11"/>
      <c r="N774" s="11"/>
    </row>
    <row r="775" ht="15.75" customHeight="1">
      <c r="A775" s="11"/>
      <c r="J775" s="15"/>
      <c r="K775" s="11"/>
      <c r="L775" s="11"/>
      <c r="M775" s="11"/>
      <c r="N775" s="11"/>
    </row>
    <row r="776" ht="15.75" customHeight="1">
      <c r="A776" s="11"/>
      <c r="J776" s="15"/>
      <c r="K776" s="11"/>
      <c r="L776" s="11"/>
      <c r="M776" s="11"/>
      <c r="N776" s="11"/>
    </row>
    <row r="777" ht="15.75" customHeight="1">
      <c r="A777" s="11"/>
      <c r="J777" s="15"/>
      <c r="K777" s="11"/>
      <c r="L777" s="11"/>
      <c r="M777" s="11"/>
      <c r="N777" s="11"/>
    </row>
    <row r="778" ht="15.75" customHeight="1">
      <c r="A778" s="11"/>
      <c r="J778" s="15"/>
      <c r="K778" s="11"/>
      <c r="L778" s="11"/>
      <c r="M778" s="11"/>
      <c r="N778" s="11"/>
    </row>
    <row r="779" ht="15.75" customHeight="1">
      <c r="A779" s="11"/>
      <c r="J779" s="15"/>
      <c r="K779" s="11"/>
      <c r="L779" s="11"/>
      <c r="M779" s="11"/>
      <c r="N779" s="11"/>
    </row>
    <row r="780" ht="15.75" customHeight="1">
      <c r="A780" s="11"/>
      <c r="J780" s="15"/>
      <c r="K780" s="11"/>
      <c r="L780" s="11"/>
      <c r="M780" s="11"/>
      <c r="N780" s="11"/>
    </row>
    <row r="781" ht="15.75" customHeight="1">
      <c r="A781" s="11"/>
      <c r="J781" s="15"/>
      <c r="K781" s="11"/>
      <c r="L781" s="11"/>
      <c r="M781" s="11"/>
      <c r="N781" s="11"/>
    </row>
    <row r="782" ht="15.75" customHeight="1">
      <c r="A782" s="11"/>
      <c r="J782" s="15"/>
      <c r="K782" s="11"/>
      <c r="L782" s="11"/>
      <c r="M782" s="11"/>
      <c r="N782" s="11"/>
    </row>
    <row r="783" ht="15.75" customHeight="1">
      <c r="A783" s="11"/>
      <c r="J783" s="15"/>
      <c r="K783" s="11"/>
      <c r="L783" s="11"/>
      <c r="M783" s="11"/>
      <c r="N783" s="11"/>
    </row>
    <row r="784" ht="15.75" customHeight="1">
      <c r="A784" s="11"/>
      <c r="J784" s="15"/>
      <c r="K784" s="11"/>
      <c r="L784" s="11"/>
      <c r="M784" s="11"/>
      <c r="N784" s="11"/>
    </row>
    <row r="785" ht="15.75" customHeight="1">
      <c r="A785" s="11"/>
      <c r="J785" s="15"/>
      <c r="K785" s="11"/>
      <c r="L785" s="11"/>
      <c r="M785" s="11"/>
      <c r="N785" s="11"/>
    </row>
    <row r="786" ht="15.75" customHeight="1">
      <c r="A786" s="11"/>
      <c r="J786" s="15"/>
      <c r="K786" s="11"/>
      <c r="L786" s="11"/>
      <c r="M786" s="11"/>
      <c r="N786" s="11"/>
    </row>
    <row r="787" ht="15.75" customHeight="1">
      <c r="A787" s="11"/>
      <c r="J787" s="15"/>
      <c r="K787" s="11"/>
      <c r="L787" s="11"/>
      <c r="M787" s="11"/>
      <c r="N787" s="11"/>
    </row>
    <row r="788" ht="15.75" customHeight="1">
      <c r="A788" s="11"/>
      <c r="J788" s="15"/>
      <c r="K788" s="11"/>
      <c r="L788" s="11"/>
      <c r="M788" s="11"/>
      <c r="N788" s="11"/>
    </row>
    <row r="789" ht="15.75" customHeight="1">
      <c r="A789" s="11"/>
      <c r="J789" s="15"/>
      <c r="K789" s="11"/>
      <c r="L789" s="11"/>
      <c r="M789" s="11"/>
      <c r="N789" s="11"/>
    </row>
    <row r="790" ht="15.75" customHeight="1">
      <c r="A790" s="11"/>
      <c r="J790" s="15"/>
      <c r="K790" s="11"/>
      <c r="L790" s="11"/>
      <c r="M790" s="11"/>
      <c r="N790" s="11"/>
    </row>
    <row r="791" ht="15.75" customHeight="1">
      <c r="A791" s="11"/>
      <c r="J791" s="15"/>
      <c r="K791" s="11"/>
      <c r="L791" s="11"/>
      <c r="M791" s="11"/>
      <c r="N791" s="11"/>
    </row>
    <row r="792" ht="15.75" customHeight="1">
      <c r="A792" s="11"/>
      <c r="J792" s="15"/>
      <c r="K792" s="11"/>
      <c r="L792" s="11"/>
      <c r="M792" s="11"/>
      <c r="N792" s="11"/>
    </row>
    <row r="793" ht="15.75" customHeight="1">
      <c r="A793" s="11"/>
      <c r="J793" s="15"/>
      <c r="K793" s="11"/>
      <c r="L793" s="11"/>
      <c r="M793" s="11"/>
      <c r="N793" s="11"/>
    </row>
    <row r="794" ht="15.75" customHeight="1">
      <c r="A794" s="11"/>
      <c r="J794" s="15"/>
      <c r="K794" s="11"/>
      <c r="L794" s="11"/>
      <c r="M794" s="11"/>
      <c r="N794" s="11"/>
    </row>
    <row r="795" ht="15.75" customHeight="1">
      <c r="A795" s="11"/>
      <c r="J795" s="15"/>
      <c r="K795" s="11"/>
      <c r="L795" s="11"/>
      <c r="M795" s="11"/>
      <c r="N795" s="11"/>
    </row>
    <row r="796" ht="15.75" customHeight="1">
      <c r="A796" s="11"/>
      <c r="J796" s="15"/>
      <c r="K796" s="11"/>
      <c r="L796" s="11"/>
      <c r="M796" s="11"/>
      <c r="N796" s="11"/>
    </row>
    <row r="797" ht="15.75" customHeight="1">
      <c r="A797" s="11"/>
      <c r="J797" s="15"/>
      <c r="K797" s="11"/>
      <c r="L797" s="11"/>
      <c r="M797" s="11"/>
      <c r="N797" s="11"/>
    </row>
    <row r="798" ht="15.75" customHeight="1">
      <c r="A798" s="11"/>
      <c r="J798" s="15"/>
      <c r="K798" s="11"/>
      <c r="L798" s="11"/>
      <c r="M798" s="11"/>
      <c r="N798" s="11"/>
    </row>
    <row r="799" ht="15.75" customHeight="1">
      <c r="A799" s="11"/>
      <c r="J799" s="15"/>
      <c r="K799" s="11"/>
      <c r="L799" s="11"/>
      <c r="M799" s="11"/>
      <c r="N799" s="11"/>
    </row>
    <row r="800" ht="15.75" customHeight="1">
      <c r="A800" s="11"/>
      <c r="J800" s="15"/>
      <c r="K800" s="11"/>
      <c r="L800" s="11"/>
      <c r="M800" s="11"/>
      <c r="N800" s="11"/>
    </row>
    <row r="801" ht="15.75" customHeight="1">
      <c r="A801" s="11"/>
      <c r="J801" s="15"/>
      <c r="K801" s="11"/>
      <c r="L801" s="11"/>
      <c r="M801" s="11"/>
      <c r="N801" s="11"/>
    </row>
    <row r="802" ht="15.75" customHeight="1">
      <c r="A802" s="11"/>
      <c r="J802" s="15"/>
      <c r="K802" s="11"/>
      <c r="L802" s="11"/>
      <c r="M802" s="11"/>
      <c r="N802" s="11"/>
    </row>
    <row r="803" ht="15.75" customHeight="1">
      <c r="A803" s="11"/>
      <c r="J803" s="15"/>
      <c r="K803" s="11"/>
      <c r="L803" s="11"/>
      <c r="M803" s="11"/>
      <c r="N803" s="11"/>
    </row>
    <row r="804" ht="15.75" customHeight="1">
      <c r="A804" s="11"/>
      <c r="J804" s="15"/>
      <c r="K804" s="11"/>
      <c r="L804" s="11"/>
      <c r="M804" s="11"/>
      <c r="N804" s="11"/>
    </row>
    <row r="805" ht="15.75" customHeight="1">
      <c r="A805" s="11"/>
      <c r="J805" s="15"/>
      <c r="K805" s="11"/>
      <c r="L805" s="11"/>
      <c r="M805" s="11"/>
      <c r="N805" s="11"/>
    </row>
    <row r="806" ht="15.75" customHeight="1">
      <c r="A806" s="11"/>
      <c r="J806" s="15"/>
      <c r="K806" s="11"/>
      <c r="L806" s="11"/>
      <c r="M806" s="11"/>
      <c r="N806" s="11"/>
    </row>
    <row r="807" ht="15.75" customHeight="1">
      <c r="A807" s="11"/>
      <c r="J807" s="15"/>
      <c r="K807" s="11"/>
      <c r="L807" s="11"/>
      <c r="M807" s="11"/>
      <c r="N807" s="11"/>
    </row>
    <row r="808" ht="15.75" customHeight="1">
      <c r="A808" s="11"/>
      <c r="J808" s="15"/>
      <c r="K808" s="11"/>
      <c r="L808" s="11"/>
      <c r="M808" s="11"/>
      <c r="N808" s="11"/>
    </row>
    <row r="809" ht="15.75" customHeight="1">
      <c r="A809" s="11"/>
      <c r="J809" s="15"/>
      <c r="K809" s="11"/>
      <c r="L809" s="11"/>
      <c r="M809" s="11"/>
      <c r="N809" s="11"/>
    </row>
    <row r="810" ht="15.75" customHeight="1">
      <c r="A810" s="11"/>
      <c r="J810" s="15"/>
      <c r="K810" s="11"/>
      <c r="L810" s="11"/>
      <c r="M810" s="11"/>
      <c r="N810" s="11"/>
    </row>
    <row r="811" ht="15.75" customHeight="1">
      <c r="A811" s="11"/>
      <c r="J811" s="15"/>
      <c r="K811" s="11"/>
      <c r="L811" s="11"/>
      <c r="M811" s="11"/>
      <c r="N811" s="11"/>
    </row>
    <row r="812" ht="15.75" customHeight="1">
      <c r="A812" s="11"/>
      <c r="J812" s="15"/>
      <c r="K812" s="11"/>
      <c r="L812" s="11"/>
      <c r="M812" s="11"/>
      <c r="N812" s="11"/>
    </row>
    <row r="813" ht="15.75" customHeight="1">
      <c r="A813" s="11"/>
      <c r="J813" s="15"/>
      <c r="K813" s="11"/>
      <c r="L813" s="11"/>
      <c r="M813" s="11"/>
      <c r="N813" s="11"/>
    </row>
    <row r="814" ht="15.75" customHeight="1">
      <c r="A814" s="11"/>
      <c r="J814" s="15"/>
      <c r="K814" s="11"/>
      <c r="L814" s="11"/>
      <c r="M814" s="11"/>
      <c r="N814" s="11"/>
    </row>
    <row r="815" ht="15.75" customHeight="1">
      <c r="A815" s="11"/>
      <c r="J815" s="15"/>
      <c r="K815" s="11"/>
      <c r="L815" s="11"/>
      <c r="M815" s="11"/>
      <c r="N815" s="11"/>
    </row>
    <row r="816" ht="15.75" customHeight="1">
      <c r="A816" s="11"/>
      <c r="J816" s="15"/>
      <c r="K816" s="11"/>
      <c r="L816" s="11"/>
      <c r="M816" s="11"/>
      <c r="N816" s="11"/>
    </row>
    <row r="817" ht="15.75" customHeight="1">
      <c r="A817" s="11"/>
      <c r="J817" s="15"/>
      <c r="K817" s="11"/>
      <c r="L817" s="11"/>
      <c r="M817" s="11"/>
      <c r="N817" s="11"/>
    </row>
    <row r="818" ht="15.75" customHeight="1">
      <c r="A818" s="11"/>
      <c r="J818" s="15"/>
      <c r="K818" s="11"/>
      <c r="L818" s="11"/>
      <c r="M818" s="11"/>
      <c r="N818" s="11"/>
    </row>
    <row r="819" ht="15.75" customHeight="1">
      <c r="A819" s="11"/>
      <c r="J819" s="15"/>
      <c r="K819" s="11"/>
      <c r="L819" s="11"/>
      <c r="M819" s="11"/>
      <c r="N819" s="11"/>
    </row>
    <row r="820" ht="15.75" customHeight="1">
      <c r="A820" s="11"/>
      <c r="J820" s="15"/>
      <c r="K820" s="11"/>
      <c r="L820" s="11"/>
      <c r="M820" s="11"/>
      <c r="N820" s="11"/>
    </row>
    <row r="821" ht="15.75" customHeight="1">
      <c r="A821" s="11"/>
      <c r="J821" s="15"/>
      <c r="K821" s="11"/>
      <c r="L821" s="11"/>
      <c r="M821" s="11"/>
      <c r="N821" s="11"/>
    </row>
    <row r="822" ht="15.75" customHeight="1">
      <c r="A822" s="11"/>
      <c r="J822" s="15"/>
      <c r="K822" s="11"/>
      <c r="L822" s="11"/>
      <c r="M822" s="11"/>
      <c r="N822" s="11"/>
    </row>
    <row r="823" ht="15.75" customHeight="1">
      <c r="A823" s="11"/>
      <c r="J823" s="15"/>
      <c r="K823" s="11"/>
      <c r="L823" s="11"/>
      <c r="M823" s="11"/>
      <c r="N823" s="11"/>
    </row>
    <row r="824" ht="15.75" customHeight="1">
      <c r="A824" s="11"/>
      <c r="J824" s="15"/>
      <c r="K824" s="11"/>
      <c r="L824" s="11"/>
      <c r="M824" s="11"/>
      <c r="N824" s="11"/>
    </row>
    <row r="825" ht="15.75" customHeight="1">
      <c r="A825" s="11"/>
      <c r="J825" s="15"/>
      <c r="K825" s="11"/>
      <c r="L825" s="11"/>
      <c r="M825" s="11"/>
      <c r="N825" s="11"/>
    </row>
    <row r="826" ht="15.75" customHeight="1">
      <c r="A826" s="11"/>
      <c r="J826" s="15"/>
      <c r="K826" s="11"/>
      <c r="L826" s="11"/>
      <c r="M826" s="11"/>
      <c r="N826" s="11"/>
    </row>
    <row r="827" ht="15.75" customHeight="1">
      <c r="A827" s="11"/>
      <c r="J827" s="15"/>
      <c r="K827" s="11"/>
      <c r="L827" s="11"/>
      <c r="M827" s="11"/>
      <c r="N827" s="11"/>
    </row>
    <row r="828" ht="15.75" customHeight="1">
      <c r="A828" s="11"/>
      <c r="J828" s="15"/>
      <c r="K828" s="11"/>
      <c r="L828" s="11"/>
      <c r="M828" s="11"/>
      <c r="N828" s="11"/>
    </row>
    <row r="829" ht="15.75" customHeight="1">
      <c r="A829" s="11"/>
      <c r="J829" s="15"/>
      <c r="K829" s="11"/>
      <c r="L829" s="11"/>
      <c r="M829" s="11"/>
      <c r="N829" s="11"/>
    </row>
    <row r="830" ht="15.75" customHeight="1">
      <c r="A830" s="11"/>
      <c r="J830" s="15"/>
      <c r="K830" s="11"/>
      <c r="L830" s="11"/>
      <c r="M830" s="11"/>
      <c r="N830" s="11"/>
    </row>
    <row r="831" ht="15.75" customHeight="1">
      <c r="A831" s="11"/>
      <c r="J831" s="15"/>
      <c r="K831" s="11"/>
      <c r="L831" s="11"/>
      <c r="M831" s="11"/>
      <c r="N831" s="11"/>
    </row>
    <row r="832" ht="15.75" customHeight="1">
      <c r="A832" s="11"/>
      <c r="J832" s="15"/>
      <c r="K832" s="11"/>
      <c r="L832" s="11"/>
      <c r="M832" s="11"/>
      <c r="N832" s="11"/>
    </row>
    <row r="833" ht="15.75" customHeight="1">
      <c r="A833" s="11"/>
      <c r="J833" s="15"/>
      <c r="K833" s="11"/>
      <c r="L833" s="11"/>
      <c r="M833" s="11"/>
      <c r="N833" s="11"/>
    </row>
    <row r="834" ht="15.75" customHeight="1">
      <c r="A834" s="11"/>
      <c r="J834" s="15"/>
      <c r="K834" s="11"/>
      <c r="L834" s="11"/>
      <c r="M834" s="11"/>
      <c r="N834" s="11"/>
    </row>
    <row r="835" ht="15.75" customHeight="1">
      <c r="A835" s="11"/>
      <c r="J835" s="15"/>
      <c r="K835" s="11"/>
      <c r="L835" s="11"/>
      <c r="M835" s="11"/>
      <c r="N835" s="11"/>
    </row>
    <row r="836" ht="15.75" customHeight="1">
      <c r="A836" s="11"/>
      <c r="J836" s="15"/>
      <c r="K836" s="11"/>
      <c r="L836" s="11"/>
      <c r="M836" s="11"/>
      <c r="N836" s="11"/>
    </row>
    <row r="837" ht="15.75" customHeight="1">
      <c r="A837" s="11"/>
      <c r="J837" s="15"/>
      <c r="K837" s="11"/>
      <c r="L837" s="11"/>
      <c r="M837" s="11"/>
      <c r="N837" s="11"/>
    </row>
    <row r="838" ht="15.75" customHeight="1">
      <c r="A838" s="11"/>
      <c r="J838" s="15"/>
      <c r="K838" s="11"/>
      <c r="L838" s="11"/>
      <c r="M838" s="11"/>
      <c r="N838" s="11"/>
    </row>
    <row r="839" ht="15.75" customHeight="1">
      <c r="A839" s="11"/>
      <c r="J839" s="15"/>
      <c r="K839" s="11"/>
      <c r="L839" s="11"/>
      <c r="M839" s="11"/>
      <c r="N839" s="11"/>
    </row>
    <row r="840" ht="15.75" customHeight="1">
      <c r="A840" s="11"/>
      <c r="J840" s="15"/>
      <c r="K840" s="11"/>
      <c r="L840" s="11"/>
      <c r="M840" s="11"/>
      <c r="N840" s="11"/>
    </row>
    <row r="841" ht="15.75" customHeight="1">
      <c r="A841" s="11"/>
      <c r="J841" s="15"/>
      <c r="K841" s="11"/>
      <c r="L841" s="11"/>
      <c r="M841" s="11"/>
      <c r="N841" s="11"/>
    </row>
    <row r="842" ht="15.75" customHeight="1">
      <c r="A842" s="11"/>
      <c r="J842" s="15"/>
      <c r="K842" s="11"/>
      <c r="L842" s="11"/>
      <c r="M842" s="11"/>
      <c r="N842" s="11"/>
    </row>
    <row r="843" ht="15.75" customHeight="1">
      <c r="A843" s="11"/>
      <c r="J843" s="15"/>
      <c r="K843" s="11"/>
      <c r="L843" s="11"/>
      <c r="M843" s="11"/>
      <c r="N843" s="11"/>
    </row>
    <row r="844" ht="15.75" customHeight="1">
      <c r="A844" s="11"/>
      <c r="J844" s="15"/>
      <c r="K844" s="11"/>
      <c r="L844" s="11"/>
      <c r="M844" s="11"/>
      <c r="N844" s="11"/>
    </row>
    <row r="845" ht="15.75" customHeight="1">
      <c r="A845" s="11"/>
      <c r="J845" s="15"/>
      <c r="K845" s="11"/>
      <c r="L845" s="11"/>
      <c r="M845" s="11"/>
      <c r="N845" s="11"/>
    </row>
    <row r="846" ht="15.75" customHeight="1">
      <c r="A846" s="11"/>
      <c r="J846" s="15"/>
      <c r="K846" s="11"/>
      <c r="L846" s="11"/>
      <c r="M846" s="11"/>
      <c r="N846" s="11"/>
    </row>
    <row r="847" ht="15.75" customHeight="1">
      <c r="A847" s="11"/>
      <c r="J847" s="15"/>
      <c r="K847" s="11"/>
      <c r="L847" s="11"/>
      <c r="M847" s="11"/>
      <c r="N847" s="11"/>
    </row>
    <row r="848" ht="15.75" customHeight="1">
      <c r="A848" s="11"/>
      <c r="J848" s="15"/>
      <c r="K848" s="11"/>
      <c r="L848" s="11"/>
      <c r="M848" s="11"/>
      <c r="N848" s="11"/>
    </row>
    <row r="849" ht="15.75" customHeight="1">
      <c r="A849" s="11"/>
      <c r="J849" s="15"/>
      <c r="K849" s="11"/>
      <c r="L849" s="11"/>
      <c r="M849" s="11"/>
      <c r="N849" s="11"/>
    </row>
    <row r="850" ht="15.75" customHeight="1">
      <c r="A850" s="11"/>
      <c r="J850" s="15"/>
      <c r="K850" s="11"/>
      <c r="L850" s="11"/>
      <c r="M850" s="11"/>
      <c r="N850" s="11"/>
    </row>
    <row r="851" ht="15.75" customHeight="1">
      <c r="A851" s="11"/>
      <c r="J851" s="15"/>
      <c r="K851" s="11"/>
      <c r="L851" s="11"/>
      <c r="M851" s="11"/>
      <c r="N851" s="11"/>
    </row>
    <row r="852" ht="15.75" customHeight="1">
      <c r="A852" s="11"/>
      <c r="J852" s="15"/>
      <c r="K852" s="11"/>
      <c r="L852" s="11"/>
      <c r="M852" s="11"/>
      <c r="N852" s="11"/>
    </row>
    <row r="853" ht="15.75" customHeight="1">
      <c r="A853" s="11"/>
      <c r="J853" s="15"/>
      <c r="K853" s="11"/>
      <c r="L853" s="11"/>
      <c r="M853" s="11"/>
      <c r="N853" s="11"/>
    </row>
    <row r="854" ht="15.75" customHeight="1">
      <c r="A854" s="11"/>
      <c r="J854" s="15"/>
      <c r="K854" s="11"/>
      <c r="L854" s="11"/>
      <c r="M854" s="11"/>
      <c r="N854" s="11"/>
    </row>
    <row r="855" ht="15.75" customHeight="1">
      <c r="A855" s="11"/>
      <c r="J855" s="15"/>
      <c r="K855" s="11"/>
      <c r="L855" s="11"/>
      <c r="M855" s="11"/>
      <c r="N855" s="11"/>
    </row>
    <row r="856" ht="15.75" customHeight="1">
      <c r="A856" s="11"/>
      <c r="J856" s="15"/>
      <c r="K856" s="11"/>
      <c r="L856" s="11"/>
      <c r="M856" s="11"/>
      <c r="N856" s="11"/>
    </row>
    <row r="857" ht="15.75" customHeight="1">
      <c r="A857" s="11"/>
      <c r="J857" s="15"/>
      <c r="K857" s="11"/>
      <c r="L857" s="11"/>
      <c r="M857" s="11"/>
      <c r="N857" s="11"/>
    </row>
    <row r="858" ht="15.75" customHeight="1">
      <c r="A858" s="11"/>
      <c r="J858" s="15"/>
      <c r="K858" s="11"/>
      <c r="L858" s="11"/>
      <c r="M858" s="11"/>
      <c r="N858" s="11"/>
    </row>
    <row r="859" ht="15.75" customHeight="1">
      <c r="A859" s="11"/>
      <c r="J859" s="15"/>
      <c r="K859" s="11"/>
      <c r="L859" s="11"/>
      <c r="M859" s="11"/>
      <c r="N859" s="11"/>
    </row>
    <row r="860" ht="15.75" customHeight="1">
      <c r="A860" s="11"/>
      <c r="J860" s="15"/>
      <c r="K860" s="11"/>
      <c r="L860" s="11"/>
      <c r="M860" s="11"/>
      <c r="N860" s="11"/>
    </row>
    <row r="861" ht="15.75" customHeight="1">
      <c r="A861" s="11"/>
      <c r="J861" s="15"/>
      <c r="K861" s="11"/>
      <c r="L861" s="11"/>
      <c r="M861" s="11"/>
      <c r="N861" s="11"/>
    </row>
    <row r="862" ht="15.75" customHeight="1">
      <c r="A862" s="11"/>
      <c r="J862" s="15"/>
      <c r="K862" s="11"/>
      <c r="L862" s="11"/>
      <c r="M862" s="11"/>
      <c r="N862" s="11"/>
    </row>
    <row r="863" ht="15.75" customHeight="1">
      <c r="A863" s="11"/>
      <c r="J863" s="15"/>
      <c r="K863" s="11"/>
      <c r="L863" s="11"/>
      <c r="M863" s="11"/>
      <c r="N863" s="11"/>
    </row>
    <row r="864" ht="15.75" customHeight="1">
      <c r="A864" s="11"/>
      <c r="J864" s="15"/>
      <c r="K864" s="11"/>
      <c r="L864" s="11"/>
      <c r="M864" s="11"/>
      <c r="N864" s="11"/>
    </row>
    <row r="865" ht="15.75" customHeight="1">
      <c r="A865" s="11"/>
      <c r="J865" s="15"/>
      <c r="K865" s="11"/>
      <c r="L865" s="11"/>
      <c r="M865" s="11"/>
      <c r="N865" s="11"/>
    </row>
    <row r="866" ht="15.75" customHeight="1">
      <c r="A866" s="11"/>
      <c r="J866" s="15"/>
      <c r="K866" s="11"/>
      <c r="L866" s="11"/>
      <c r="M866" s="11"/>
      <c r="N866" s="11"/>
    </row>
    <row r="867" ht="15.75" customHeight="1">
      <c r="A867" s="11"/>
      <c r="J867" s="15"/>
      <c r="K867" s="11"/>
      <c r="L867" s="11"/>
      <c r="M867" s="11"/>
      <c r="N867" s="11"/>
    </row>
    <row r="868" ht="15.75" customHeight="1">
      <c r="A868" s="11"/>
      <c r="J868" s="15"/>
      <c r="K868" s="11"/>
      <c r="L868" s="11"/>
      <c r="M868" s="11"/>
      <c r="N868" s="11"/>
    </row>
    <row r="869" ht="15.75" customHeight="1">
      <c r="A869" s="11"/>
      <c r="J869" s="15"/>
      <c r="K869" s="11"/>
      <c r="L869" s="11"/>
      <c r="M869" s="11"/>
      <c r="N869" s="11"/>
    </row>
    <row r="870" ht="15.75" customHeight="1">
      <c r="A870" s="11"/>
      <c r="J870" s="15"/>
      <c r="K870" s="11"/>
      <c r="L870" s="11"/>
      <c r="M870" s="11"/>
      <c r="N870" s="11"/>
    </row>
    <row r="871" ht="15.75" customHeight="1">
      <c r="A871" s="11"/>
      <c r="J871" s="15"/>
      <c r="K871" s="11"/>
      <c r="L871" s="11"/>
      <c r="M871" s="11"/>
      <c r="N871" s="11"/>
    </row>
    <row r="872" ht="15.75" customHeight="1">
      <c r="A872" s="11"/>
      <c r="J872" s="15"/>
      <c r="K872" s="11"/>
      <c r="L872" s="11"/>
      <c r="M872" s="11"/>
      <c r="N872" s="11"/>
    </row>
    <row r="873" ht="15.75" customHeight="1">
      <c r="A873" s="11"/>
      <c r="J873" s="15"/>
      <c r="K873" s="11"/>
      <c r="L873" s="11"/>
      <c r="M873" s="11"/>
      <c r="N873" s="11"/>
    </row>
    <row r="874" ht="15.75" customHeight="1">
      <c r="A874" s="11"/>
      <c r="J874" s="15"/>
      <c r="K874" s="11"/>
      <c r="L874" s="11"/>
      <c r="M874" s="11"/>
      <c r="N874" s="11"/>
    </row>
    <row r="875" ht="15.75" customHeight="1">
      <c r="A875" s="11"/>
      <c r="J875" s="15"/>
      <c r="K875" s="11"/>
      <c r="L875" s="11"/>
      <c r="M875" s="11"/>
      <c r="N875" s="11"/>
    </row>
    <row r="876" ht="15.75" customHeight="1">
      <c r="A876" s="11"/>
      <c r="J876" s="15"/>
      <c r="K876" s="11"/>
      <c r="L876" s="11"/>
      <c r="M876" s="11"/>
      <c r="N876" s="11"/>
    </row>
    <row r="877" ht="15.75" customHeight="1">
      <c r="A877" s="11"/>
      <c r="J877" s="15"/>
      <c r="K877" s="11"/>
      <c r="L877" s="11"/>
      <c r="M877" s="11"/>
      <c r="N877" s="11"/>
    </row>
    <row r="878" ht="15.75" customHeight="1">
      <c r="A878" s="11"/>
      <c r="J878" s="15"/>
      <c r="K878" s="11"/>
      <c r="L878" s="11"/>
      <c r="M878" s="11"/>
      <c r="N878" s="11"/>
    </row>
    <row r="879" ht="15.75" customHeight="1">
      <c r="A879" s="11"/>
      <c r="J879" s="15"/>
      <c r="K879" s="11"/>
      <c r="L879" s="11"/>
      <c r="M879" s="11"/>
      <c r="N879" s="11"/>
    </row>
    <row r="880" ht="15.75" customHeight="1">
      <c r="A880" s="11"/>
      <c r="J880" s="15"/>
      <c r="K880" s="11"/>
      <c r="L880" s="11"/>
      <c r="M880" s="11"/>
      <c r="N880" s="11"/>
    </row>
    <row r="881" ht="15.75" customHeight="1">
      <c r="A881" s="11"/>
      <c r="J881" s="15"/>
      <c r="K881" s="11"/>
      <c r="L881" s="11"/>
      <c r="M881" s="11"/>
      <c r="N881" s="11"/>
    </row>
    <row r="882" ht="15.75" customHeight="1">
      <c r="A882" s="11"/>
      <c r="J882" s="15"/>
      <c r="K882" s="11"/>
      <c r="L882" s="11"/>
      <c r="M882" s="11"/>
      <c r="N882" s="11"/>
    </row>
    <row r="883" ht="15.75" customHeight="1">
      <c r="A883" s="11"/>
      <c r="J883" s="15"/>
      <c r="K883" s="11"/>
      <c r="L883" s="11"/>
      <c r="M883" s="11"/>
      <c r="N883" s="11"/>
    </row>
    <row r="884" ht="15.75" customHeight="1">
      <c r="A884" s="11"/>
      <c r="J884" s="15"/>
      <c r="K884" s="11"/>
      <c r="L884" s="11"/>
      <c r="M884" s="11"/>
      <c r="N884" s="11"/>
    </row>
    <row r="885" ht="15.75" customHeight="1">
      <c r="A885" s="11"/>
      <c r="J885" s="15"/>
      <c r="K885" s="11"/>
      <c r="L885" s="11"/>
      <c r="M885" s="11"/>
      <c r="N885" s="11"/>
    </row>
    <row r="886" ht="15.75" customHeight="1">
      <c r="A886" s="11"/>
      <c r="J886" s="15"/>
      <c r="K886" s="11"/>
      <c r="L886" s="11"/>
      <c r="M886" s="11"/>
      <c r="N886" s="11"/>
    </row>
    <row r="887" ht="15.75" customHeight="1">
      <c r="A887" s="11"/>
      <c r="J887" s="15"/>
      <c r="K887" s="11"/>
      <c r="L887" s="11"/>
      <c r="M887" s="11"/>
      <c r="N887" s="11"/>
    </row>
    <row r="888" ht="15.75" customHeight="1">
      <c r="A888" s="11"/>
      <c r="J888" s="15"/>
      <c r="K888" s="11"/>
      <c r="L888" s="11"/>
      <c r="M888" s="11"/>
      <c r="N888" s="11"/>
    </row>
    <row r="889" ht="15.75" customHeight="1">
      <c r="A889" s="11"/>
      <c r="J889" s="15"/>
      <c r="K889" s="11"/>
      <c r="L889" s="11"/>
      <c r="M889" s="11"/>
      <c r="N889" s="11"/>
    </row>
    <row r="890" ht="15.75" customHeight="1">
      <c r="A890" s="11"/>
      <c r="J890" s="15"/>
      <c r="K890" s="11"/>
      <c r="L890" s="11"/>
      <c r="M890" s="11"/>
      <c r="N890" s="11"/>
    </row>
    <row r="891" ht="15.75" customHeight="1">
      <c r="A891" s="11"/>
      <c r="J891" s="15"/>
      <c r="K891" s="11"/>
      <c r="L891" s="11"/>
      <c r="M891" s="11"/>
      <c r="N891" s="11"/>
    </row>
    <row r="892" ht="15.75" customHeight="1">
      <c r="A892" s="11"/>
      <c r="J892" s="15"/>
      <c r="K892" s="11"/>
      <c r="L892" s="11"/>
      <c r="M892" s="11"/>
      <c r="N892" s="11"/>
    </row>
    <row r="893" ht="15.75" customHeight="1">
      <c r="A893" s="11"/>
      <c r="J893" s="15"/>
      <c r="K893" s="11"/>
      <c r="L893" s="11"/>
      <c r="M893" s="11"/>
      <c r="N893" s="11"/>
    </row>
    <row r="894" ht="15.75" customHeight="1">
      <c r="A894" s="11"/>
      <c r="J894" s="15"/>
      <c r="K894" s="11"/>
      <c r="L894" s="11"/>
      <c r="M894" s="11"/>
      <c r="N894" s="11"/>
    </row>
    <row r="895" ht="15.75" customHeight="1">
      <c r="A895" s="11"/>
      <c r="J895" s="15"/>
      <c r="K895" s="11"/>
      <c r="L895" s="11"/>
      <c r="M895" s="11"/>
      <c r="N895" s="11"/>
    </row>
    <row r="896" ht="15.75" customHeight="1">
      <c r="A896" s="11"/>
      <c r="J896" s="15"/>
      <c r="K896" s="11"/>
      <c r="L896" s="11"/>
      <c r="M896" s="11"/>
      <c r="N896" s="11"/>
    </row>
    <row r="897" ht="15.75" customHeight="1">
      <c r="A897" s="11"/>
      <c r="J897" s="15"/>
      <c r="K897" s="11"/>
      <c r="L897" s="11"/>
      <c r="M897" s="11"/>
      <c r="N897" s="11"/>
    </row>
    <row r="898" ht="15.75" customHeight="1">
      <c r="A898" s="11"/>
      <c r="J898" s="15"/>
      <c r="K898" s="11"/>
      <c r="L898" s="11"/>
      <c r="M898" s="11"/>
      <c r="N898" s="11"/>
    </row>
    <row r="899" ht="15.75" customHeight="1">
      <c r="A899" s="11"/>
      <c r="J899" s="15"/>
      <c r="K899" s="11"/>
      <c r="L899" s="11"/>
      <c r="M899" s="11"/>
      <c r="N899" s="11"/>
    </row>
    <row r="900" ht="15.75" customHeight="1">
      <c r="A900" s="11"/>
      <c r="J900" s="15"/>
      <c r="K900" s="11"/>
      <c r="L900" s="11"/>
      <c r="M900" s="11"/>
      <c r="N900" s="11"/>
    </row>
    <row r="901" ht="15.75" customHeight="1">
      <c r="A901" s="11"/>
      <c r="J901" s="15"/>
      <c r="K901" s="11"/>
      <c r="L901" s="11"/>
      <c r="M901" s="11"/>
      <c r="N901" s="11"/>
    </row>
    <row r="902" ht="15.75" customHeight="1">
      <c r="A902" s="11"/>
      <c r="J902" s="15"/>
      <c r="K902" s="11"/>
      <c r="L902" s="11"/>
      <c r="M902" s="11"/>
      <c r="N902" s="11"/>
    </row>
    <row r="903" ht="15.75" customHeight="1">
      <c r="A903" s="11"/>
      <c r="J903" s="15"/>
      <c r="K903" s="11"/>
      <c r="L903" s="11"/>
      <c r="M903" s="11"/>
      <c r="N903" s="11"/>
    </row>
    <row r="904" ht="15.75" customHeight="1">
      <c r="A904" s="11"/>
      <c r="J904" s="15"/>
      <c r="K904" s="11"/>
      <c r="L904" s="11"/>
      <c r="M904" s="11"/>
      <c r="N904" s="11"/>
    </row>
    <row r="905" ht="15.75" customHeight="1">
      <c r="A905" s="11"/>
      <c r="J905" s="15"/>
      <c r="K905" s="11"/>
      <c r="L905" s="11"/>
      <c r="M905" s="11"/>
      <c r="N905" s="11"/>
    </row>
    <row r="906" ht="15.75" customHeight="1">
      <c r="A906" s="11"/>
      <c r="J906" s="15"/>
      <c r="K906" s="11"/>
      <c r="L906" s="11"/>
      <c r="M906" s="11"/>
      <c r="N906" s="11"/>
    </row>
    <row r="907" ht="15.75" customHeight="1">
      <c r="A907" s="11"/>
      <c r="J907" s="15"/>
      <c r="K907" s="11"/>
      <c r="L907" s="11"/>
      <c r="M907" s="11"/>
      <c r="N907" s="11"/>
    </row>
    <row r="908" ht="15.75" customHeight="1">
      <c r="A908" s="11"/>
      <c r="J908" s="15"/>
      <c r="K908" s="11"/>
      <c r="L908" s="11"/>
      <c r="M908" s="11"/>
      <c r="N908" s="11"/>
    </row>
    <row r="909" ht="15.75" customHeight="1">
      <c r="A909" s="11"/>
      <c r="J909" s="15"/>
      <c r="K909" s="11"/>
      <c r="L909" s="11"/>
      <c r="M909" s="11"/>
      <c r="N909" s="11"/>
    </row>
    <row r="910" ht="15.75" customHeight="1">
      <c r="A910" s="11"/>
      <c r="J910" s="15"/>
      <c r="K910" s="11"/>
      <c r="L910" s="11"/>
      <c r="M910" s="11"/>
      <c r="N910" s="11"/>
    </row>
    <row r="911" ht="15.75" customHeight="1">
      <c r="A911" s="11"/>
      <c r="J911" s="15"/>
      <c r="K911" s="11"/>
      <c r="L911" s="11"/>
      <c r="M911" s="11"/>
      <c r="N911" s="11"/>
    </row>
    <row r="912" ht="15.75" customHeight="1">
      <c r="A912" s="11"/>
      <c r="J912" s="15"/>
      <c r="K912" s="11"/>
      <c r="L912" s="11"/>
      <c r="M912" s="11"/>
      <c r="N912" s="11"/>
    </row>
    <row r="913" ht="15.75" customHeight="1">
      <c r="A913" s="11"/>
      <c r="J913" s="15"/>
      <c r="K913" s="11"/>
      <c r="L913" s="11"/>
      <c r="M913" s="11"/>
      <c r="N913" s="11"/>
    </row>
    <row r="914" ht="15.75" customHeight="1">
      <c r="A914" s="11"/>
      <c r="J914" s="15"/>
      <c r="K914" s="11"/>
      <c r="L914" s="11"/>
      <c r="M914" s="11"/>
      <c r="N914" s="11"/>
    </row>
    <row r="915" ht="15.75" customHeight="1">
      <c r="A915" s="11"/>
      <c r="J915" s="15"/>
      <c r="K915" s="11"/>
      <c r="L915" s="11"/>
      <c r="M915" s="11"/>
      <c r="N915" s="11"/>
    </row>
    <row r="916" ht="15.75" customHeight="1">
      <c r="A916" s="11"/>
      <c r="J916" s="15"/>
      <c r="K916" s="11"/>
      <c r="L916" s="11"/>
      <c r="M916" s="11"/>
      <c r="N916" s="11"/>
    </row>
    <row r="917" ht="15.75" customHeight="1">
      <c r="A917" s="11"/>
      <c r="J917" s="15"/>
      <c r="K917" s="11"/>
      <c r="L917" s="11"/>
      <c r="M917" s="11"/>
      <c r="N917" s="11"/>
    </row>
    <row r="918" ht="15.75" customHeight="1">
      <c r="A918" s="11"/>
      <c r="J918" s="15"/>
      <c r="K918" s="11"/>
      <c r="L918" s="11"/>
      <c r="M918" s="11"/>
      <c r="N918" s="11"/>
    </row>
    <row r="919" ht="15.75" customHeight="1">
      <c r="A919" s="11"/>
      <c r="J919" s="15"/>
      <c r="K919" s="11"/>
      <c r="L919" s="11"/>
      <c r="M919" s="11"/>
      <c r="N919" s="11"/>
    </row>
    <row r="920" ht="15.75" customHeight="1">
      <c r="A920" s="11"/>
      <c r="J920" s="15"/>
      <c r="K920" s="11"/>
      <c r="L920" s="11"/>
      <c r="M920" s="11"/>
      <c r="N920" s="11"/>
    </row>
    <row r="921" ht="15.75" customHeight="1">
      <c r="A921" s="11"/>
      <c r="J921" s="15"/>
      <c r="K921" s="11"/>
      <c r="L921" s="11"/>
      <c r="M921" s="11"/>
      <c r="N921" s="11"/>
    </row>
    <row r="922" ht="15.75" customHeight="1">
      <c r="A922" s="11"/>
      <c r="J922" s="15"/>
      <c r="K922" s="11"/>
      <c r="L922" s="11"/>
      <c r="M922" s="11"/>
      <c r="N922" s="11"/>
    </row>
    <row r="923" ht="15.75" customHeight="1">
      <c r="A923" s="11"/>
      <c r="J923" s="15"/>
      <c r="K923" s="11"/>
      <c r="L923" s="11"/>
      <c r="M923" s="11"/>
      <c r="N923" s="11"/>
    </row>
    <row r="924" ht="15.75" customHeight="1">
      <c r="A924" s="11"/>
      <c r="J924" s="15"/>
      <c r="K924" s="11"/>
      <c r="L924" s="11"/>
      <c r="M924" s="11"/>
      <c r="N924" s="11"/>
    </row>
    <row r="925" ht="15.75" customHeight="1">
      <c r="A925" s="11"/>
      <c r="J925" s="15"/>
      <c r="K925" s="11"/>
      <c r="L925" s="11"/>
      <c r="M925" s="11"/>
      <c r="N925" s="11"/>
    </row>
    <row r="926" ht="15.75" customHeight="1">
      <c r="A926" s="11"/>
      <c r="J926" s="15"/>
      <c r="K926" s="11"/>
      <c r="L926" s="11"/>
      <c r="M926" s="11"/>
      <c r="N926" s="11"/>
    </row>
    <row r="927" ht="15.75" customHeight="1">
      <c r="A927" s="11"/>
      <c r="J927" s="15"/>
      <c r="K927" s="11"/>
      <c r="L927" s="11"/>
      <c r="M927" s="11"/>
      <c r="N927" s="11"/>
    </row>
    <row r="928" ht="15.75" customHeight="1">
      <c r="A928" s="11"/>
      <c r="J928" s="15"/>
      <c r="K928" s="11"/>
      <c r="L928" s="11"/>
      <c r="M928" s="11"/>
      <c r="N928" s="11"/>
    </row>
    <row r="929" ht="15.75" customHeight="1">
      <c r="A929" s="11"/>
      <c r="J929" s="15"/>
      <c r="K929" s="11"/>
      <c r="L929" s="11"/>
      <c r="M929" s="11"/>
      <c r="N929" s="11"/>
    </row>
    <row r="930" ht="15.75" customHeight="1">
      <c r="A930" s="11"/>
      <c r="J930" s="15"/>
      <c r="K930" s="11"/>
      <c r="L930" s="11"/>
      <c r="M930" s="11"/>
      <c r="N930" s="11"/>
    </row>
    <row r="931" ht="15.75" customHeight="1">
      <c r="A931" s="11"/>
      <c r="J931" s="15"/>
      <c r="K931" s="11"/>
      <c r="L931" s="11"/>
      <c r="M931" s="11"/>
      <c r="N931" s="11"/>
    </row>
    <row r="932" ht="15.75" customHeight="1">
      <c r="A932" s="11"/>
      <c r="J932" s="15"/>
      <c r="K932" s="11"/>
      <c r="L932" s="11"/>
      <c r="M932" s="11"/>
      <c r="N932" s="11"/>
    </row>
    <row r="933" ht="15.75" customHeight="1">
      <c r="A933" s="11"/>
      <c r="J933" s="15"/>
      <c r="K933" s="11"/>
      <c r="L933" s="11"/>
      <c r="M933" s="11"/>
      <c r="N933" s="11"/>
    </row>
    <row r="934" ht="15.75" customHeight="1">
      <c r="A934" s="11"/>
      <c r="J934" s="15"/>
      <c r="K934" s="11"/>
      <c r="L934" s="11"/>
      <c r="M934" s="11"/>
      <c r="N934" s="11"/>
    </row>
    <row r="935" ht="15.75" customHeight="1">
      <c r="A935" s="11"/>
      <c r="J935" s="15"/>
      <c r="K935" s="11"/>
      <c r="L935" s="11"/>
      <c r="M935" s="11"/>
      <c r="N935" s="11"/>
    </row>
    <row r="936" ht="15.75" customHeight="1">
      <c r="A936" s="11"/>
      <c r="J936" s="15"/>
      <c r="K936" s="11"/>
      <c r="L936" s="11"/>
      <c r="M936" s="11"/>
      <c r="N936" s="11"/>
    </row>
    <row r="937" ht="15.75" customHeight="1">
      <c r="A937" s="11"/>
      <c r="J937" s="15"/>
      <c r="K937" s="11"/>
      <c r="L937" s="11"/>
      <c r="M937" s="11"/>
      <c r="N937" s="11"/>
    </row>
    <row r="938" ht="15.75" customHeight="1">
      <c r="A938" s="11"/>
      <c r="J938" s="15"/>
      <c r="K938" s="11"/>
      <c r="L938" s="11"/>
      <c r="M938" s="11"/>
      <c r="N938" s="11"/>
    </row>
    <row r="939" ht="15.75" customHeight="1">
      <c r="A939" s="11"/>
      <c r="J939" s="15"/>
      <c r="K939" s="11"/>
      <c r="L939" s="11"/>
      <c r="M939" s="11"/>
      <c r="N939" s="11"/>
    </row>
    <row r="940" ht="15.75" customHeight="1">
      <c r="A940" s="11"/>
      <c r="J940" s="15"/>
      <c r="K940" s="11"/>
      <c r="L940" s="11"/>
      <c r="M940" s="11"/>
      <c r="N940" s="11"/>
    </row>
    <row r="941" ht="15.75" customHeight="1">
      <c r="A941" s="11"/>
      <c r="J941" s="15"/>
      <c r="K941" s="11"/>
      <c r="L941" s="11"/>
      <c r="M941" s="11"/>
      <c r="N941" s="11"/>
    </row>
    <row r="942" ht="15.75" customHeight="1">
      <c r="A942" s="11"/>
      <c r="J942" s="15"/>
      <c r="K942" s="11"/>
      <c r="L942" s="11"/>
      <c r="M942" s="11"/>
      <c r="N942" s="11"/>
    </row>
    <row r="943" ht="15.75" customHeight="1">
      <c r="A943" s="11"/>
      <c r="J943" s="15"/>
      <c r="K943" s="11"/>
      <c r="L943" s="11"/>
      <c r="M943" s="11"/>
      <c r="N943" s="11"/>
    </row>
    <row r="944" ht="15.75" customHeight="1">
      <c r="A944" s="11"/>
      <c r="J944" s="15"/>
      <c r="K944" s="11"/>
      <c r="L944" s="11"/>
      <c r="M944" s="11"/>
      <c r="N944" s="11"/>
    </row>
    <row r="945" ht="15.75" customHeight="1">
      <c r="A945" s="11"/>
      <c r="J945" s="15"/>
      <c r="K945" s="11"/>
      <c r="L945" s="11"/>
      <c r="M945" s="11"/>
      <c r="N945" s="11"/>
    </row>
    <row r="946" ht="15.75" customHeight="1">
      <c r="A946" s="11"/>
      <c r="J946" s="15"/>
      <c r="K946" s="11"/>
      <c r="L946" s="11"/>
      <c r="M946" s="11"/>
      <c r="N946" s="11"/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