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CF\"/>
    </mc:Choice>
  </mc:AlternateContent>
  <xr:revisionPtr revIDLastSave="0" documentId="13_ncr:1_{F1914421-D46C-4869-8DB0-CD4CF87E3F68}" xr6:coauthVersionLast="47" xr6:coauthVersionMax="47" xr10:uidLastSave="{00000000-0000-0000-0000-000000000000}"/>
  <bookViews>
    <workbookView showHorizontalScroll="0" xWindow="-108" yWindow="-108" windowWidth="23256" windowHeight="13176" activeTab="1" xr2:uid="{00000000-000D-0000-FFFF-FFFF00000000}"/>
  </bookViews>
  <sheets>
    <sheet name="Assumptions" sheetId="11" r:id="rId1"/>
    <sheet name="Operating Forecast" sheetId="4" r:id="rId2"/>
    <sheet name="WACC" sheetId="6" r:id="rId3"/>
    <sheet name="FCF" sheetId="5" r:id="rId4"/>
    <sheet name="Terminal Value" sheetId="8" r:id="rId5"/>
    <sheet name="Discounting" sheetId="7" r:id="rId6"/>
    <sheet name="EV to Equity Value" sheetId="9" r:id="rId7"/>
    <sheet name="FULL DCF" sheetId="12" r:id="rId8"/>
    <sheet name="Income_Statement_FULL" sheetId="1" r:id="rId9"/>
    <sheet name="Cash_Flow_FULL" sheetId="2" r:id="rId10"/>
    <sheet name="Balance_Sheet_FULL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E33" i="12"/>
  <c r="F33" i="12"/>
  <c r="G33" i="12"/>
  <c r="H33" i="12"/>
  <c r="D33" i="12"/>
  <c r="D34" i="12" s="1"/>
  <c r="E34" i="12"/>
  <c r="C25" i="12"/>
  <c r="C24" i="12"/>
  <c r="C23" i="12"/>
  <c r="E20" i="12"/>
  <c r="F20" i="12"/>
  <c r="G20" i="12"/>
  <c r="H20" i="12"/>
  <c r="D20" i="12"/>
  <c r="H34" i="12" l="1"/>
  <c r="G34" i="12"/>
  <c r="F34" i="12"/>
  <c r="C26" i="12"/>
  <c r="H30" i="12" s="1"/>
  <c r="H35" i="12" s="1"/>
  <c r="C36" i="12"/>
  <c r="C43" i="12" s="1"/>
  <c r="C46" i="12" s="1"/>
  <c r="F13" i="4"/>
  <c r="B10" i="9"/>
  <c r="B13" i="9" s="1"/>
  <c r="D11" i="7"/>
  <c r="D13" i="7" s="1"/>
  <c r="E11" i="7"/>
  <c r="E13" i="7" s="1"/>
  <c r="F11" i="7"/>
  <c r="F13" i="7" s="1"/>
  <c r="G11" i="7"/>
  <c r="G14" i="7" s="1"/>
  <c r="C11" i="7"/>
  <c r="C13" i="7" s="1"/>
  <c r="G11" i="8"/>
  <c r="G9" i="8"/>
  <c r="F9" i="8"/>
  <c r="E9" i="8"/>
  <c r="D9" i="8"/>
  <c r="C9" i="8"/>
  <c r="D9" i="7"/>
  <c r="E9" i="7"/>
  <c r="F9" i="7"/>
  <c r="G9" i="7"/>
  <c r="C9" i="7"/>
  <c r="G23" i="4"/>
  <c r="H23" i="4"/>
  <c r="I23" i="4"/>
  <c r="J23" i="4"/>
  <c r="F23" i="4"/>
  <c r="G20" i="4"/>
  <c r="H20" i="4"/>
  <c r="I20" i="4"/>
  <c r="J20" i="4"/>
  <c r="F20" i="4"/>
  <c r="G17" i="4"/>
  <c r="H17" i="4"/>
  <c r="I17" i="4"/>
  <c r="J17" i="4"/>
  <c r="F17" i="4"/>
  <c r="F14" i="4"/>
  <c r="G14" i="4"/>
  <c r="H14" i="4"/>
  <c r="I14" i="4"/>
  <c r="J14" i="4"/>
  <c r="G13" i="4"/>
  <c r="H13" i="4"/>
  <c r="I13" i="4"/>
  <c r="J13" i="4"/>
  <c r="J10" i="4"/>
  <c r="G10" i="4"/>
  <c r="H10" i="4"/>
  <c r="I10" i="4" s="1"/>
  <c r="F10" i="4"/>
  <c r="C24" i="4"/>
  <c r="D24" i="4"/>
  <c r="E24" i="4"/>
  <c r="B24" i="4"/>
  <c r="C21" i="4"/>
  <c r="D21" i="4"/>
  <c r="E21" i="4"/>
  <c r="B21" i="4"/>
  <c r="C18" i="4"/>
  <c r="D18" i="4"/>
  <c r="E18" i="4"/>
  <c r="B18" i="4"/>
  <c r="B11" i="5"/>
  <c r="B11" i="6"/>
  <c r="B6" i="6"/>
  <c r="B5" i="6"/>
  <c r="B4" i="6"/>
  <c r="B14" i="6" s="1"/>
  <c r="C15" i="4"/>
  <c r="D15" i="4"/>
  <c r="E15" i="4"/>
  <c r="B15" i="4"/>
  <c r="D14" i="4"/>
  <c r="E14" i="4"/>
  <c r="C14" i="4"/>
  <c r="D11" i="4"/>
  <c r="E11" i="4"/>
  <c r="C11" i="4"/>
  <c r="B16" i="7" l="1"/>
  <c r="G13" i="7"/>
  <c r="B13" i="6"/>
  <c r="B15" i="6" s="1"/>
</calcChain>
</file>

<file path=xl/sharedStrings.xml><?xml version="1.0" encoding="utf-8"?>
<sst xmlns="http://schemas.openxmlformats.org/spreadsheetml/2006/main" count="367" uniqueCount="321">
  <si>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</si>
  <si>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</si>
  <si>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</si>
  <si>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</si>
  <si>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</si>
  <si>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</si>
  <si>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</si>
  <si>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</si>
  <si>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</si>
  <si>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</si>
  <si>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</si>
  <si>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</si>
  <si>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</si>
  <si>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</si>
  <si>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</si>
  <si>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</si>
  <si>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</si>
  <si>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</si>
  <si>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</si>
  <si>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</si>
  <si>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</si>
  <si>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</si>
  <si>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</si>
  <si>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</si>
  <si>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Discontinuous Operations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</si>
  <si>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</si>
  <si>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</si>
  <si>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</si>
  <si>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</si>
  <si>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</si>
  <si>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</si>
  <si>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Other Special Charges</t>
  </si>
  <si>
    <t>Impairment Of Capital Assets</t>
  </si>
  <si>
    <t>Restructuring And Mergern Acquisition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</si>
  <si>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</si>
  <si>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</si>
  <si>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</si>
  <si>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</si>
  <si>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</si>
  <si>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</si>
  <si>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</si>
  <si>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</si>
  <si>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General And Administrative Expense</t>
  </si>
  <si>
    <t>Other Gand A</t>
  </si>
  <si>
    <t>Salaries And Wages</t>
  </si>
  <si>
    <t>Gross Profit</t>
  </si>
  <si>
    <t>Cost Of Revenue</t>
  </si>
  <si>
    <t>Total Revenue</t>
  </si>
  <si>
    <t>Operating Revenue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</si>
  <si>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</si>
  <si>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</si>
  <si>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</si>
  <si>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</si>
  <si>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</si>
  <si>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</si>
  <si>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</si>
  <si>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</si>
  <si>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</si>
  <si>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</si>
  <si>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</si>
  <si>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</si>
  <si>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</si>
  <si>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</si>
  <si>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</si>
  <si>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</si>
  <si>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</si>
  <si>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</si>
  <si>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</si>
  <si>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</si>
  <si>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</si>
  <si>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</si>
  <si>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</si>
  <si>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Short Term Debt Payments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</si>
  <si>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</si>
  <si>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</si>
  <si>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</si>
  <si>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</si>
  <si>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</si>
  <si>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</si>
  <si>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</si>
  <si>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</si>
  <si>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</si>
  <si>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</si>
  <si>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</si>
  <si>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</si>
  <si>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Intangibles Purchase And Sale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</si>
  <si>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</si>
  <si>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</si>
  <si>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</si>
  <si>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</si>
  <si>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</si>
  <si>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</si>
  <si>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Current Liabilities</t>
  </si>
  <si>
    <t>Change In Other Current Assets</t>
  </si>
  <si>
    <t>Change In Payables And Accrued Expense</t>
  </si>
  <si>
    <t>Change In Inventory</t>
  </si>
  <si>
    <t>Change In Receivables</t>
  </si>
  <si>
    <t>Changes In Account Receivables</t>
  </si>
  <si>
    <t>Other Non Cash Items</t>
  </si>
  <si>
    <t>Stock Based Compensation</t>
  </si>
  <si>
    <t>Provisionand Write Offof Assets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</si>
  <si>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</si>
  <si>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</si>
  <si>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</si>
  <si>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</si>
  <si>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</si>
  <si>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Operating Gains Losses</t>
  </si>
  <si>
    <t>Gain Loss On Sale Of Business</t>
  </si>
  <si>
    <t>Net Income From Continuing Operations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</si>
  <si>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</si>
  <si>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</si>
  <si>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</si>
  <si>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</si>
  <si>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</si>
  <si>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</si>
  <si>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</si>
  <si>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</si>
  <si>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</si>
  <si>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</si>
  <si>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</si>
  <si>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</si>
  <si>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</si>
  <si>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</si>
  <si>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</si>
  <si>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</si>
  <si>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</si>
  <si>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</si>
  <si>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</si>
  <si>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</si>
  <si>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</si>
  <si>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</si>
  <si>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</si>
  <si>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</si>
  <si>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Liabilities Heldfor Sale Non Current</t>
  </si>
  <si>
    <t>Employee Benefits</t>
  </si>
  <si>
    <t>Tradeand Other Payables Non Current</t>
  </si>
  <si>
    <t>Non Current Deferred Liabilities</t>
  </si>
  <si>
    <t>Non Current Deferred Taxes Liabilities</t>
  </si>
  <si>
    <t>Long Term Debt And Capital Lease Obligation</t>
  </si>
  <si>
    <t>Long Term Debt</t>
  </si>
  <si>
    <t>Current Liabilities</t>
  </si>
  <si>
    <t>Other Current Liabilities</t>
  </si>
  <si>
    <t>Current Debt And Capital Lease Obligation</t>
  </si>
  <si>
    <t>Current Debt</t>
  </si>
  <si>
    <t>Pensionand Other Post Retirement Benefit Plans Current</t>
  </si>
  <si>
    <t>Payables And Accrued Expenses</t>
  </si>
  <si>
    <t>Current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</si>
  <si>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</si>
  <si>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</si>
  <si>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</si>
  <si>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</si>
  <si>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</si>
  <si>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</si>
  <si>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</si>
  <si>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</si>
  <si>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</si>
  <si>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</si>
  <si>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</si>
  <si>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</si>
  <si>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</si>
  <si>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</si>
  <si>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</si>
  <si>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</si>
  <si>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</si>
  <si>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</si>
  <si>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</si>
  <si>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</si>
  <si>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</si>
  <si>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</si>
  <si>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Assets Held For Sale Current</t>
  </si>
  <si>
    <t>Prepaid Assets</t>
  </si>
  <si>
    <t>Inventory</t>
  </si>
  <si>
    <t>Finished Goods</t>
  </si>
  <si>
    <t>Work In Process</t>
  </si>
  <si>
    <t>Raw Materials</t>
  </si>
  <si>
    <t>Receivables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</si>
  <si>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</si>
  <si>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</si>
  <si>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</si>
  <si>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</si>
  <si>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</si>
  <si>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</si>
  <si>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</si>
  <si>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</si>
  <si>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</si>
  <si>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Ticker</t>
  </si>
  <si>
    <t>Implied Price Per Share</t>
  </si>
  <si>
    <t>ALL FIGURES ARE in MILLIONS (USD)</t>
  </si>
  <si>
    <t>Date</t>
  </si>
  <si>
    <t>Current Share Price</t>
  </si>
  <si>
    <t>Year end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</si>
  <si>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</si>
  <si>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</si>
  <si>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</si>
  <si>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</si>
  <si>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</si>
  <si>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</si>
  <si>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</si>
  <si>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</si>
  <si>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</si>
  <si>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Revenue</t>
  </si>
  <si>
    <t>% growth</t>
  </si>
  <si>
    <t>% of sales</t>
  </si>
  <si>
    <t>D&amp;A</t>
  </si>
  <si>
    <t>CapEx</t>
  </si>
  <si>
    <t>Change in NOWC</t>
  </si>
  <si>
    <t>Johnson &amp; Johnson (J&amp;J)DCF</t>
  </si>
  <si>
    <t>JNJ</t>
  </si>
  <si>
    <t>Calculate the FCF</t>
  </si>
  <si>
    <t>FCF (2024)</t>
  </si>
  <si>
    <t>Tax Rate % (Assumption)</t>
  </si>
  <si>
    <t>Depreciation and Amortization</t>
  </si>
  <si>
    <t xml:space="preserve">Free Cash Flow </t>
  </si>
  <si>
    <t>WACC Calculation</t>
  </si>
  <si>
    <t>Equity value</t>
  </si>
  <si>
    <t>Debt value</t>
  </si>
  <si>
    <t>Cost of Debt</t>
  </si>
  <si>
    <t>Tax rate</t>
  </si>
  <si>
    <t>10y Treasury (Rf)</t>
  </si>
  <si>
    <t xml:space="preserve">Beta </t>
  </si>
  <si>
    <t>Market Return</t>
  </si>
  <si>
    <t>Cost of Equity</t>
  </si>
  <si>
    <t>E / D +E (We)</t>
  </si>
  <si>
    <t>D / D+E (Wd)</t>
  </si>
  <si>
    <t>WACC</t>
  </si>
  <si>
    <t>Discounting Cash Flows</t>
  </si>
  <si>
    <t>Period</t>
  </si>
  <si>
    <t>FCF</t>
  </si>
  <si>
    <t>Terminal Value</t>
  </si>
  <si>
    <t>Discount factor</t>
  </si>
  <si>
    <t>PV of FCF</t>
  </si>
  <si>
    <t>PV of TV</t>
  </si>
  <si>
    <t>Enterprise Value</t>
  </si>
  <si>
    <t>Terminal Value Calculation</t>
  </si>
  <si>
    <t>Growth rate</t>
  </si>
  <si>
    <t>Perpertuity Growth TV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</si>
  <si>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</si>
  <si>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</si>
  <si>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</si>
  <si>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</si>
  <si>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</si>
  <si>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</si>
  <si>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</si>
  <si>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</si>
  <si>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</si>
  <si>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Beta</t>
  </si>
  <si>
    <t>Tax Rate</t>
  </si>
  <si>
    <t>10y Treasury</t>
  </si>
  <si>
    <t>Free Cash Flows</t>
  </si>
  <si>
    <t>Tax</t>
  </si>
  <si>
    <t>Non-cash Work. Capital (inc) / dec</t>
  </si>
  <si>
    <t>D/D+E</t>
  </si>
  <si>
    <t>E/D+E</t>
  </si>
  <si>
    <t>Perpetuity Growth</t>
  </si>
  <si>
    <t>Discounting</t>
  </si>
  <si>
    <t>Discount Factor</t>
  </si>
  <si>
    <t>Short term Debt</t>
  </si>
  <si>
    <t>Long term Debt</t>
  </si>
  <si>
    <t>Implied Share Price</t>
  </si>
  <si>
    <t>(1)Normalized tax rate = 20%</t>
  </si>
  <si>
    <t>(2) Risk-free rate = 4.2%</t>
  </si>
  <si>
    <t xml:space="preserve">US 10Y Treasury yield </t>
  </si>
  <si>
    <r>
      <rPr>
        <b/>
        <sz val="11"/>
        <color theme="1"/>
        <rFont val="Calibri"/>
        <family val="2"/>
        <scheme val="minor"/>
      </rPr>
      <t xml:space="preserve">Rationale: </t>
    </r>
    <r>
      <rPr>
        <sz val="11"/>
        <color theme="1"/>
        <rFont val="Calibri"/>
        <family val="2"/>
        <scheme val="minor"/>
      </rPr>
      <t>Long-run blended effective tax rate for large US healthcare firms</t>
    </r>
  </si>
  <si>
    <r>
      <rPr>
        <b/>
        <sz val="11"/>
        <color theme="1"/>
        <rFont val="Calibri"/>
        <family val="2"/>
        <scheme val="minor"/>
      </rPr>
      <t>Rationale:</t>
    </r>
    <r>
      <rPr>
        <sz val="11"/>
        <color theme="1"/>
        <rFont val="Calibri"/>
        <family val="2"/>
        <scheme val="minor"/>
      </rPr>
      <t xml:space="preserve"> Raw beta (5Y monthly) = 0.35</t>
    </r>
  </si>
  <si>
    <t>(4) Implied long-run market return ≈ 10.0%</t>
  </si>
  <si>
    <t>Rationale:</t>
  </si>
  <si>
    <t>Risk-free rate (US 10Y) = 4.2%</t>
  </si>
  <si>
    <t>Equity Risk Premium (ERP) = 5.8%</t>
  </si>
  <si>
    <t>Implied long-run market return ≈ 10.0%</t>
  </si>
  <si>
    <t>(reference: historical S&amp;P 500 average)</t>
  </si>
  <si>
    <t>ALL THE ASSUMPTIONS ARE LISTED IN FIRST SHEET WITH RATIONALE (Assumptions)</t>
  </si>
  <si>
    <t>ASSUMPTIONS: (For WACC)</t>
  </si>
  <si>
    <t>-</t>
  </si>
  <si>
    <t>ASSSUMPTIONS: (Forecast)</t>
  </si>
  <si>
    <t>Based on historical 2021–2024 revenue CAGR of ~4%</t>
  </si>
  <si>
    <t>Reflects J&amp;J’s mature, diversified healthcare portfolio</t>
  </si>
  <si>
    <t>Growth is gradually faded toward long-term healthcare and GDP growth</t>
  </si>
  <si>
    <t>Avoids extrapolating short-term acceleration</t>
  </si>
  <si>
    <t>21.0% (flat across forecast period)</t>
  </si>
  <si>
    <t>2021–22 margins (~25%) were elevated and not representative</t>
  </si>
  <si>
    <t>2023–24 margins (~19–20%) reflect post-normalization levels</t>
  </si>
  <si>
    <t>21% represents a sustainable mid-cycle operating margin</t>
  </si>
  <si>
    <t>Flat margin avoids aggressive margin expansion assumptions</t>
  </si>
  <si>
    <t>(3) Depreciation &amp; Amortization (% of Sales)</t>
  </si>
  <si>
    <t>Historical D&amp;A has been highly stable in the 8–9% range</t>
  </si>
  <si>
    <t>J&amp;J’s asset base and depreciation policy are mature and predictable</t>
  </si>
  <si>
    <t>D&amp;A is modeled as a normalized ratio to reflect steady capital intensity</t>
  </si>
  <si>
    <t>Avoids unnecessary asset-life assumptions that do not affect cash flow materially</t>
  </si>
  <si>
    <t>(4) Capital Expenditure (% of Sales)</t>
  </si>
  <si>
    <t>Recent CapEx (~7%) reflects temporary capacity expansion</t>
  </si>
  <si>
    <t>Assumes gradual normalization as major investments stabilize</t>
  </si>
  <si>
    <t>Still remains above long-term depreciation, supporting growth and maintenance</t>
  </si>
  <si>
    <t>Conservative relative to historical averages</t>
  </si>
  <si>
    <t>(5) Change in Net Operating Working Capital (ΔNOWC)</t>
  </si>
  <si>
    <t>1.0% of revenue</t>
  </si>
  <si>
    <t>Historical working capital changes are volatile year-to-year</t>
  </si>
  <si>
    <t>Long-run investment in working capital is modest for a mature healthcare firm</t>
  </si>
  <si>
    <t>Normalizing ΔNOWC avoids overfitting to timing noise</t>
  </si>
  <si>
    <t>Consistent with stable inventory and receivables management</t>
  </si>
  <si>
    <t>8.7% of revenue</t>
  </si>
  <si>
    <t>Terminal growth rate = 2.25%</t>
  </si>
  <si>
    <t>Rationale: Conservative long-run growth aligned with inflation and global GDP for a mature healthcare company.</t>
  </si>
  <si>
    <t>2025E: 6.5%</t>
  </si>
  <si>
    <t>2026E: 6.3%</t>
  </si>
  <si>
    <t>2027E: 6.0%</t>
  </si>
  <si>
    <t>2028E: 5.8%</t>
  </si>
  <si>
    <t>2029E: 5.5%</t>
  </si>
  <si>
    <t>2025E: 4.5%</t>
  </si>
  <si>
    <t>2026E: 4.0%</t>
  </si>
  <si>
    <t>2027E: 3.5%</t>
  </si>
  <si>
    <t>2028E: 3.0%</t>
  </si>
  <si>
    <t>2029E: 2.5%</t>
  </si>
  <si>
    <t>(1) Revenue Growth:</t>
  </si>
  <si>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EBIT Margin (% of Sales)</t>
    </r>
    <r>
      <rPr>
        <sz val="11"/>
        <color theme="1"/>
        <rFont val="Calibri"/>
        <family val="2"/>
        <scheme val="minor"/>
      </rPr>
      <t>:</t>
    </r>
  </si>
  <si>
    <t>(3) Beta used = 0.35</t>
  </si>
  <si>
    <t>The beta used is the raw 5-year monthly beta of 0.35, which reflects Johnson &amp; Johnson’s low systematic risk and defensive business profile</t>
  </si>
  <si>
    <t>Given the company’s diversified healthcare operations, stable cash flows, and limited sensitivity to economic cycles</t>
  </si>
  <si>
    <t>The raw beta is considered a reasonable proxy for its current market risk perception</t>
  </si>
  <si>
    <t>A terminal growth rate of 2.25% is used to reflect conservative long-run growth aligned with expected inflation and nominal global GDP growth.</t>
  </si>
  <si>
    <t xml:space="preserve"> Given Johnson &amp; Johnson’s mature business profile, diversified healthcare exposure, and stable end-market demand, this assumption avoids overstating perpetual growth while remaining economically sustainable</t>
  </si>
  <si>
    <t>Implied Downside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</si>
</sst>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"/>
    <numFmt numFmtId="167" formatCode="0.0%"/>
    <numFmt numFmtId="168" formatCode="#,##0.00;\(#,##0.00\)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9" fontId="0" fillId="0" borderId="0" xfId="0" applyNumberFormat="1" applyAlignment="1">
      <alignment horizontal="right" wrapText="1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10" fontId="0" fillId="0" borderId="1" xfId="1" applyNumberFormat="1" applyFont="1" applyBorder="1" applyAlignment="1">
      <alignment wrapText="1"/>
    </xf>
    <xf numFmtId="10" fontId="0" fillId="0" borderId="1" xfId="1" applyNumberFormat="1" applyFont="1" applyBorder="1"/>
    <xf numFmtId="0" fontId="3" fillId="0" borderId="1" xfId="0" applyFont="1" applyBorder="1" applyAlignment="1">
      <alignment vertical="center"/>
    </xf>
    <xf numFmtId="0" fontId="8" fillId="4" borderId="6" xfId="0" applyFont="1" applyFill="1" applyBorder="1" applyAlignment="1">
      <alignment horizontal="center"/>
    </xf>
    <xf numFmtId="0" fontId="9" fillId="0" borderId="7" xfId="0" applyFont="1" applyBorder="1"/>
    <xf numFmtId="0" fontId="8" fillId="0" borderId="8" xfId="0" applyFont="1" applyBorder="1"/>
    <xf numFmtId="0" fontId="10" fillId="0" borderId="8" xfId="0" applyFont="1" applyBorder="1"/>
    <xf numFmtId="0" fontId="10" fillId="0" borderId="0" xfId="0" applyFont="1"/>
    <xf numFmtId="9" fontId="11" fillId="0" borderId="0" xfId="0" applyNumberFormat="1" applyFont="1"/>
    <xf numFmtId="164" fontId="11" fillId="0" borderId="0" xfId="0" applyNumberFormat="1" applyFont="1"/>
    <xf numFmtId="0" fontId="12" fillId="5" borderId="0" xfId="0" applyFont="1" applyFill="1"/>
    <xf numFmtId="164" fontId="12" fillId="4" borderId="0" xfId="0" applyNumberFormat="1" applyFont="1" applyFill="1"/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11" fillId="0" borderId="0" xfId="0" applyFont="1"/>
    <xf numFmtId="10" fontId="11" fillId="0" borderId="0" xfId="0" applyNumberFormat="1" applyFont="1"/>
    <xf numFmtId="0" fontId="10" fillId="0" borderId="9" xfId="0" applyFont="1" applyBorder="1"/>
    <xf numFmtId="10" fontId="10" fillId="0" borderId="9" xfId="0" applyNumberFormat="1" applyFont="1" applyBorder="1"/>
    <xf numFmtId="0" fontId="8" fillId="0" borderId="9" xfId="0" applyFont="1" applyBorder="1"/>
    <xf numFmtId="10" fontId="8" fillId="4" borderId="9" xfId="0" applyNumberFormat="1" applyFont="1" applyFill="1" applyBorder="1"/>
    <xf numFmtId="0" fontId="9" fillId="0" borderId="10" xfId="0" applyFont="1" applyBorder="1"/>
    <xf numFmtId="0" fontId="13" fillId="4" borderId="0" xfId="0" applyFont="1" applyFill="1"/>
    <xf numFmtId="2" fontId="10" fillId="0" borderId="9" xfId="0" applyNumberFormat="1" applyFont="1" applyBorder="1"/>
    <xf numFmtId="165" fontId="10" fillId="0" borderId="9" xfId="0" applyNumberFormat="1" applyFont="1" applyBorder="1"/>
    <xf numFmtId="0" fontId="8" fillId="0" borderId="0" xfId="0" applyFont="1"/>
    <xf numFmtId="165" fontId="8" fillId="4" borderId="0" xfId="0" applyNumberFormat="1" applyFont="1" applyFill="1"/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165" fontId="10" fillId="4" borderId="0" xfId="0" applyNumberFormat="1" applyFont="1" applyFill="1"/>
    <xf numFmtId="2" fontId="8" fillId="4" borderId="9" xfId="0" applyNumberFormat="1" applyFont="1" applyFill="1" applyBorder="1"/>
    <xf numFmtId="0" fontId="8" fillId="6" borderId="0" xfId="0" applyFont="1" applyFill="1" applyAlignment="1">
      <alignment horizontal="center"/>
    </xf>
    <xf numFmtId="0" fontId="14" fillId="0" borderId="0" xfId="0" applyFont="1"/>
    <xf numFmtId="167" fontId="11" fillId="0" borderId="0" xfId="0" applyNumberFormat="1" applyFont="1"/>
    <xf numFmtId="0" fontId="12" fillId="4" borderId="0" xfId="0" applyFont="1" applyFill="1" applyAlignment="1">
      <alignment horizontal="right"/>
    </xf>
    <xf numFmtId="0" fontId="12" fillId="4" borderId="0" xfId="0" applyFont="1" applyFill="1"/>
    <xf numFmtId="0" fontId="13" fillId="0" borderId="0" xfId="0" applyFont="1" applyAlignment="1">
      <alignment horizontal="right"/>
    </xf>
    <xf numFmtId="0" fontId="13" fillId="0" borderId="0" xfId="0" applyFont="1"/>
    <xf numFmtId="0" fontId="8" fillId="0" borderId="9" xfId="0" applyFont="1" applyBorder="1" applyAlignment="1">
      <alignment horizontal="left"/>
    </xf>
    <xf numFmtId="164" fontId="8" fillId="0" borderId="9" xfId="0" applyNumberFormat="1" applyFont="1" applyBorder="1"/>
    <xf numFmtId="164" fontId="8" fillId="7" borderId="9" xfId="0" applyNumberFormat="1" applyFont="1" applyFill="1" applyBorder="1"/>
    <xf numFmtId="164" fontId="10" fillId="4" borderId="0" xfId="0" applyNumberFormat="1" applyFont="1" applyFill="1"/>
    <xf numFmtId="10" fontId="10" fillId="7" borderId="0" xfId="0" applyNumberFormat="1" applyFont="1" applyFill="1"/>
    <xf numFmtId="10" fontId="8" fillId="7" borderId="9" xfId="0" applyNumberFormat="1" applyFont="1" applyFill="1" applyBorder="1"/>
    <xf numFmtId="164" fontId="10" fillId="7" borderId="0" xfId="0" applyNumberFormat="1" applyFont="1" applyFill="1"/>
    <xf numFmtId="0" fontId="12" fillId="4" borderId="0" xfId="0" applyFont="1" applyFill="1" applyAlignment="1">
      <alignment horizontal="left"/>
    </xf>
    <xf numFmtId="168" fontId="10" fillId="7" borderId="0" xfId="0" applyNumberFormat="1" applyFont="1" applyFill="1"/>
    <xf numFmtId="168" fontId="8" fillId="7" borderId="9" xfId="0" applyNumberFormat="1" applyFont="1" applyFill="1" applyBorder="1"/>
    <xf numFmtId="0" fontId="3" fillId="0" borderId="0" xfId="0" applyFont="1"/>
    <xf numFmtId="0" fontId="0" fillId="0" borderId="0" xfId="0" applyFont="1"/>
    <xf numFmtId="10" fontId="10" fillId="0" borderId="0" xfId="0" applyNumberFormat="1" applyFont="1"/>
    <xf numFmtId="0" fontId="0" fillId="0" borderId="0" xfId="0" applyAlignment="1">
      <alignment horizontal="left" vertical="center" indent="1"/>
    </xf>
    <xf numFmtId="10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10" fontId="0" fillId="0" borderId="1" xfId="0" applyNumberFormat="1" applyBorder="1"/>
    <xf numFmtId="9" fontId="0" fillId="0" borderId="0" xfId="0" applyNumberFormat="1"/>
    <xf numFmtId="9" fontId="0" fillId="0" borderId="1" xfId="0" applyNumberFormat="1" applyBorder="1"/>
    <xf numFmtId="3" fontId="0" fillId="0" borderId="0" xfId="0" applyNumberFormat="1"/>
    <xf numFmtId="3" fontId="3" fillId="0" borderId="0" xfId="0" applyNumberFormat="1" applyFont="1"/>
    <xf numFmtId="3" fontId="8" fillId="4" borderId="9" xfId="0" applyNumberFormat="1" applyFont="1" applyFill="1" applyBorder="1"/>
    <xf numFmtId="10" fontId="0" fillId="0" borderId="0" xfId="0" applyNumberFormat="1"/>
    <xf numFmtId="10" fontId="0" fillId="0" borderId="0" xfId="1" applyNumberFormat="1" applyFont="1"/>
    <xf numFmtId="164" fontId="10" fillId="5" borderId="0" xfId="0" applyNumberFormat="1" applyFont="1" applyFill="1"/>
    <xf numFmtId="0" fontId="3" fillId="0" borderId="0" xfId="0" applyFont="1" applyAlignment="1">
      <alignment horizontal="left" vertical="center" indent="1"/>
    </xf>
    <xf numFmtId="10" fontId="0" fillId="0" borderId="0" xfId="1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62865</xdr:rowOff>
    </xdr:from>
    <xdr:ext cx="522922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D1E18F26-1EA6-4750-B3BF-712351F77F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11040" y="1221105"/>
          <a:ext cx="52292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360045</xdr:colOff>
      <xdr:row>2</xdr:row>
      <xdr:rowOff>0</xdr:rowOff>
    </xdr:from>
    <xdr:ext cx="4371975" cy="600075"/>
    <xdr:pic>
      <xdr:nvPicPr>
        <xdr:cNvPr id="3" name="image2.png">
          <a:extLst>
            <a:ext uri="{FF2B5EF4-FFF2-40B4-BE49-F238E27FC236}">
              <a16:creationId xmlns:a16="http://schemas.microsoft.com/office/drawing/2014/main" id="{275C460A-B19C-4B3B-9269-CAF56458DFA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1085" y="381000"/>
          <a:ext cx="437197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464820</xdr:colOff>
      <xdr:row>1</xdr:row>
      <xdr:rowOff>0</xdr:rowOff>
    </xdr:from>
    <xdr:ext cx="3400425" cy="904875"/>
    <xdr:pic>
      <xdr:nvPicPr>
        <xdr:cNvPr id="3" name="image1.png">
          <a:extLst>
            <a:ext uri="{FF2B5EF4-FFF2-40B4-BE49-F238E27FC236}">
              <a16:creationId xmlns:a16="http://schemas.microsoft.com/office/drawing/2014/main" id="{726409EB-2EA6-4220-ADA6-A175DBBD07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0" y="182880"/>
          <a:ext cx="34004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274320</xdr:colOff>
      <xdr:row>8</xdr:row>
      <xdr:rowOff>83820</xdr:rowOff>
    </xdr:from>
    <xdr:ext cx="5572125" cy="923925"/>
    <xdr:pic>
      <xdr:nvPicPr>
        <xdr:cNvPr id="2" name="image5.png">
          <a:extLst>
            <a:ext uri="{FF2B5EF4-FFF2-40B4-BE49-F238E27FC236}">
              <a16:creationId xmlns:a16="http://schemas.microsoft.com/office/drawing/2014/main" id="{5FA5E07E-CB63-4252-8631-30E5396062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10400" y="1592580"/>
          <a:ext cx="5572125" cy="923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76200</xdr:colOff>
      <xdr:row>3</xdr:row>
      <xdr:rowOff>45720</xdr:rowOff>
    </xdr:from>
    <xdr:to>
      <xdr:col>16</xdr:col>
      <xdr:colOff>381000</xdr:colOff>
      <xdr:row>8</xdr:row>
      <xdr:rowOff>45720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B63B401A-9B02-433D-8F20-22B9758223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1880" y="594360"/>
          <a:ext cx="3962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F3CA-32F2-4D9D-9A67-2E1CB2C24583}">
  <dimension ref="A2:C53"/>
  <sheetViews>
    <sheetView showGridLines="0" topLeftCell="A7" workbookViewId="0">
      <selection activeCell="C11" sqref="C11"/>
    </sheetView>
  </sheetViews>
  <sheetFormatPr defaultRowHeight="14.4" x14ac:dyDescent="0.3"/>
  <cols>
    <col min="1" max="1" width="129" customWidth="1"/>
    <col min="2" max="2" width="88.109375" customWidth="1"/>
    <col min="3" max="3" width="96.5546875" customWidth="1"/>
  </cols>
  <sheetData>
    <row r="2" spans="1:3" x14ac:dyDescent="0.3">
      <c r="A2" s="70" t="s">
        <v>271</v>
      </c>
      <c r="B2" s="70" t="s">
        <v>273</v>
      </c>
    </row>
    <row r="4" spans="1:3" x14ac:dyDescent="0.3">
      <c r="A4" s="70" t="s">
        <v>259</v>
      </c>
      <c r="B4" s="70" t="s">
        <v>312</v>
      </c>
      <c r="C4" s="70" t="s">
        <v>300</v>
      </c>
    </row>
    <row r="5" spans="1:3" x14ac:dyDescent="0.3">
      <c r="A5" t="s">
        <v>262</v>
      </c>
      <c r="B5" s="70" t="s">
        <v>307</v>
      </c>
      <c r="C5" s="70" t="s">
        <v>301</v>
      </c>
    </row>
    <row r="6" spans="1:3" x14ac:dyDescent="0.3">
      <c r="B6" s="70" t="s">
        <v>308</v>
      </c>
      <c r="C6" s="70" t="s">
        <v>318</v>
      </c>
    </row>
    <row r="7" spans="1:3" x14ac:dyDescent="0.3">
      <c r="A7" s="70" t="s">
        <v>260</v>
      </c>
      <c r="B7" s="70" t="s">
        <v>309</v>
      </c>
      <c r="C7" s="70" t="s">
        <v>319</v>
      </c>
    </row>
    <row r="8" spans="1:3" x14ac:dyDescent="0.3">
      <c r="A8" s="70" t="s">
        <v>261</v>
      </c>
      <c r="B8" s="70" t="s">
        <v>310</v>
      </c>
    </row>
    <row r="9" spans="1:3" x14ac:dyDescent="0.3">
      <c r="A9" s="70"/>
      <c r="B9" s="70" t="s">
        <v>311</v>
      </c>
    </row>
    <row r="10" spans="1:3" x14ac:dyDescent="0.3">
      <c r="A10" s="70" t="s">
        <v>314</v>
      </c>
      <c r="B10" s="70" t="s">
        <v>265</v>
      </c>
    </row>
    <row r="11" spans="1:3" x14ac:dyDescent="0.3">
      <c r="A11" t="s">
        <v>263</v>
      </c>
      <c r="B11" s="73" t="s">
        <v>274</v>
      </c>
    </row>
    <row r="12" spans="1:3" x14ac:dyDescent="0.3">
      <c r="A12" t="s">
        <v>315</v>
      </c>
      <c r="B12" s="73" t="s">
        <v>275</v>
      </c>
    </row>
    <row r="13" spans="1:3" x14ac:dyDescent="0.3">
      <c r="A13" s="71" t="s">
        <v>316</v>
      </c>
      <c r="B13" s="73" t="s">
        <v>276</v>
      </c>
    </row>
    <row r="14" spans="1:3" x14ac:dyDescent="0.3">
      <c r="A14" t="s">
        <v>317</v>
      </c>
      <c r="B14" s="73" t="s">
        <v>277</v>
      </c>
    </row>
    <row r="15" spans="1:3" x14ac:dyDescent="0.3">
      <c r="B15" s="73"/>
    </row>
    <row r="16" spans="1:3" x14ac:dyDescent="0.3">
      <c r="A16" s="70" t="s">
        <v>264</v>
      </c>
      <c r="B16" s="73" t="s">
        <v>313</v>
      </c>
    </row>
    <row r="17" spans="1:2" x14ac:dyDescent="0.3">
      <c r="A17" s="70" t="s">
        <v>265</v>
      </c>
      <c r="B17" s="70" t="s">
        <v>278</v>
      </c>
    </row>
    <row r="18" spans="1:2" x14ac:dyDescent="0.3">
      <c r="A18" t="s">
        <v>266</v>
      </c>
      <c r="B18" s="70" t="s">
        <v>265</v>
      </c>
    </row>
    <row r="19" spans="1:2" x14ac:dyDescent="0.3">
      <c r="A19" t="s">
        <v>267</v>
      </c>
      <c r="B19" s="73" t="s">
        <v>279</v>
      </c>
    </row>
    <row r="20" spans="1:2" x14ac:dyDescent="0.3">
      <c r="A20" t="s">
        <v>268</v>
      </c>
      <c r="B20" s="73" t="s">
        <v>280</v>
      </c>
    </row>
    <row r="21" spans="1:2" x14ac:dyDescent="0.3">
      <c r="A21" t="s">
        <v>269</v>
      </c>
      <c r="B21" s="73" t="s">
        <v>281</v>
      </c>
    </row>
    <row r="22" spans="1:2" x14ac:dyDescent="0.3">
      <c r="B22" s="73" t="s">
        <v>282</v>
      </c>
    </row>
    <row r="23" spans="1:2" x14ac:dyDescent="0.3">
      <c r="B23" s="73"/>
    </row>
    <row r="24" spans="1:2" x14ac:dyDescent="0.3">
      <c r="B24" s="70" t="s">
        <v>283</v>
      </c>
    </row>
    <row r="25" spans="1:2" x14ac:dyDescent="0.3">
      <c r="B25" s="70" t="s">
        <v>299</v>
      </c>
    </row>
    <row r="26" spans="1:2" x14ac:dyDescent="0.3">
      <c r="B26" s="70" t="s">
        <v>265</v>
      </c>
    </row>
    <row r="27" spans="1:2" x14ac:dyDescent="0.3">
      <c r="B27" s="73" t="s">
        <v>284</v>
      </c>
    </row>
    <row r="28" spans="1:2" x14ac:dyDescent="0.3">
      <c r="B28" s="73" t="s">
        <v>285</v>
      </c>
    </row>
    <row r="29" spans="1:2" x14ac:dyDescent="0.3">
      <c r="B29" s="73" t="s">
        <v>286</v>
      </c>
    </row>
    <row r="30" spans="1:2" x14ac:dyDescent="0.3">
      <c r="B30" s="73" t="s">
        <v>287</v>
      </c>
    </row>
    <row r="31" spans="1:2" x14ac:dyDescent="0.3">
      <c r="B31" s="73"/>
    </row>
    <row r="32" spans="1:2" x14ac:dyDescent="0.3">
      <c r="B32" s="70" t="s">
        <v>288</v>
      </c>
    </row>
    <row r="33" spans="2:2" x14ac:dyDescent="0.3">
      <c r="B33" s="85" t="s">
        <v>302</v>
      </c>
    </row>
    <row r="34" spans="2:2" x14ac:dyDescent="0.3">
      <c r="B34" s="85" t="s">
        <v>303</v>
      </c>
    </row>
    <row r="35" spans="2:2" x14ac:dyDescent="0.3">
      <c r="B35" s="85" t="s">
        <v>304</v>
      </c>
    </row>
    <row r="36" spans="2:2" x14ac:dyDescent="0.3">
      <c r="B36" s="85" t="s">
        <v>305</v>
      </c>
    </row>
    <row r="37" spans="2:2" x14ac:dyDescent="0.3">
      <c r="B37" s="85" t="s">
        <v>306</v>
      </c>
    </row>
    <row r="38" spans="2:2" x14ac:dyDescent="0.3">
      <c r="B38" s="70" t="s">
        <v>265</v>
      </c>
    </row>
    <row r="39" spans="2:2" x14ac:dyDescent="0.3">
      <c r="B39" s="73" t="s">
        <v>289</v>
      </c>
    </row>
    <row r="40" spans="2:2" x14ac:dyDescent="0.3">
      <c r="B40" s="73" t="s">
        <v>290</v>
      </c>
    </row>
    <row r="41" spans="2:2" x14ac:dyDescent="0.3">
      <c r="B41" s="73" t="s">
        <v>291</v>
      </c>
    </row>
    <row r="42" spans="2:2" x14ac:dyDescent="0.3">
      <c r="B42" s="73" t="s">
        <v>292</v>
      </c>
    </row>
    <row r="44" spans="2:2" x14ac:dyDescent="0.3">
      <c r="B44" s="70" t="s">
        <v>293</v>
      </c>
    </row>
    <row r="45" spans="2:2" x14ac:dyDescent="0.3">
      <c r="B45" s="70" t="s">
        <v>294</v>
      </c>
    </row>
    <row r="46" spans="2:2" x14ac:dyDescent="0.3">
      <c r="B46" s="70" t="s">
        <v>265</v>
      </c>
    </row>
    <row r="47" spans="2:2" x14ac:dyDescent="0.3">
      <c r="B47" s="73" t="s">
        <v>295</v>
      </c>
    </row>
    <row r="48" spans="2:2" x14ac:dyDescent="0.3">
      <c r="B48" s="73" t="s">
        <v>296</v>
      </c>
    </row>
    <row r="49" spans="2:2" x14ac:dyDescent="0.3">
      <c r="B49" s="73" t="s">
        <v>297</v>
      </c>
    </row>
    <row r="50" spans="2:2" x14ac:dyDescent="0.3">
      <c r="B50" s="73" t="s">
        <v>298</v>
      </c>
    </row>
    <row r="51" spans="2:2" x14ac:dyDescent="0.3">
      <c r="B51" s="73"/>
    </row>
    <row r="53" spans="2:2" x14ac:dyDescent="0.3">
      <c r="B53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FE80-81CF-4246-B3B6-391EFE009845}">
  <dimension ref="A2:Y24"/>
  <sheetViews>
    <sheetView showGridLines="0" tabSelected="1" topLeftCell="A2" workbookViewId="0">
      <selection activeCell="M22" sqref="M22"/>
    </sheetView>
  </sheetViews>
  <sheetFormatPr defaultRowHeight="14.4" x14ac:dyDescent="0.3"/>
  <cols>
    <col min="1" max="1" width="19.5546875" customWidth="1"/>
    <col min="2" max="2" width="11.33203125" customWidth="1"/>
    <col min="3" max="3" width="12" bestFit="1" customWidth="1"/>
    <col min="4" max="4" width="11.5546875" bestFit="1" customWidth="1"/>
    <col min="5" max="5" width="11.6640625" customWidth="1"/>
    <col min="6" max="7" width="11.5546875" bestFit="1" customWidth="1"/>
    <col min="9" max="9" width="9.109375" customWidth="1"/>
    <col min="13" max="13" width="34" customWidth="1"/>
  </cols>
  <sheetData>
    <row r="2" spans="1: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6" thickBot="1" x14ac:dyDescent="0.35">
      <c r="A3" s="3" t="s">
        <v>206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2" customHeight="1" x14ac:dyDescent="0.3">
      <c r="A4" s="2"/>
      <c r="B4" s="2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6" t="s">
        <v>185</v>
      </c>
      <c r="B5" s="7"/>
      <c r="C5" s="8" t="s">
        <v>207</v>
      </c>
      <c r="D5" s="6"/>
      <c r="E5" s="9" t="s">
        <v>186</v>
      </c>
      <c r="F5" s="6"/>
      <c r="G5" s="2">
        <v>189.6</v>
      </c>
      <c r="H5" s="2"/>
      <c r="I5" s="10"/>
      <c r="J5" s="2"/>
      <c r="K5" s="2"/>
      <c r="L5" s="6"/>
      <c r="M5" s="6" t="s">
        <v>187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6" t="s">
        <v>188</v>
      </c>
      <c r="B6" s="7"/>
      <c r="C6" s="11">
        <v>46017</v>
      </c>
      <c r="D6" s="6"/>
      <c r="E6" s="9" t="s">
        <v>189</v>
      </c>
      <c r="F6" s="6"/>
      <c r="G6" s="2">
        <v>208.17</v>
      </c>
      <c r="H6" s="2"/>
      <c r="I6" s="10"/>
      <c r="J6" s="2"/>
      <c r="K6" s="2"/>
      <c r="L6" s="2"/>
      <c r="M6" s="12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6" t="s">
        <v>190</v>
      </c>
      <c r="B7" s="7"/>
      <c r="C7" s="11">
        <v>46022</v>
      </c>
      <c r="D7" s="6"/>
      <c r="E7" s="9" t="s">
        <v>320</v>
      </c>
      <c r="F7" s="6"/>
      <c r="G7" s="86">
        <f>((G6-G5)/G6)</f>
        <v>8.9205937454964662E-2</v>
      </c>
      <c r="H7" s="2"/>
      <c r="I7" s="13"/>
      <c r="J7" s="2"/>
      <c r="K7" s="14"/>
      <c r="L7" s="2"/>
      <c r="M7" s="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15"/>
      <c r="B9" s="16" t="s">
        <v>191</v>
      </c>
      <c r="C9" s="16" t="s">
        <v>192</v>
      </c>
      <c r="D9" s="16" t="s">
        <v>193</v>
      </c>
      <c r="E9" s="16" t="s">
        <v>194</v>
      </c>
      <c r="F9" s="17" t="s">
        <v>195</v>
      </c>
      <c r="G9" s="17" t="s">
        <v>196</v>
      </c>
      <c r="H9" s="18" t="s">
        <v>197</v>
      </c>
      <c r="I9" s="18" t="s">
        <v>198</v>
      </c>
      <c r="J9" s="18" t="s">
        <v>199</v>
      </c>
    </row>
    <row r="10" spans="1:25" x14ac:dyDescent="0.3">
      <c r="A10" s="19" t="s">
        <v>200</v>
      </c>
      <c r="B10" s="20">
        <v>78740</v>
      </c>
      <c r="C10" s="20">
        <v>79990</v>
      </c>
      <c r="D10" s="20">
        <v>85159</v>
      </c>
      <c r="E10" s="20">
        <v>88821</v>
      </c>
      <c r="F10" s="20">
        <f>E10*(1+F11)</f>
        <v>92817.944999999992</v>
      </c>
      <c r="G10" s="20">
        <f t="shared" ref="G10:J10" si="0">F10*(1+G11)</f>
        <v>96530.662799999991</v>
      </c>
      <c r="H10" s="20">
        <f t="shared" si="0"/>
        <v>99909.235997999989</v>
      </c>
      <c r="I10" s="20">
        <f t="shared" si="0"/>
        <v>102906.51307793999</v>
      </c>
      <c r="J10" s="20">
        <f t="shared" si="0"/>
        <v>105479.17590488849</v>
      </c>
    </row>
    <row r="11" spans="1:25" x14ac:dyDescent="0.3">
      <c r="A11" s="22" t="s">
        <v>201</v>
      </c>
      <c r="B11" s="21" t="s">
        <v>272</v>
      </c>
      <c r="C11" s="23">
        <f>(C10-B10)/B10</f>
        <v>1.5875031750063499E-2</v>
      </c>
      <c r="D11" s="23">
        <f t="shared" ref="D11:E11" si="1">(D10-C10)/C10</f>
        <v>6.4620577572196525E-2</v>
      </c>
      <c r="E11" s="23">
        <f t="shared" si="1"/>
        <v>4.3001914066628309E-2</v>
      </c>
      <c r="F11" s="23">
        <v>4.4999999999999998E-2</v>
      </c>
      <c r="G11" s="23">
        <v>0.04</v>
      </c>
      <c r="H11" s="23">
        <v>3.5000000000000003E-2</v>
      </c>
      <c r="I11" s="23">
        <v>0.03</v>
      </c>
      <c r="J11" s="23">
        <v>2.5000000000000001E-2</v>
      </c>
    </row>
    <row r="12" spans="1:25" x14ac:dyDescent="0.3">
      <c r="A12" s="19"/>
      <c r="B12" s="21"/>
      <c r="C12" s="21"/>
      <c r="D12" s="21"/>
      <c r="E12" s="21"/>
      <c r="F12" s="21"/>
      <c r="G12" s="21"/>
      <c r="H12" s="21"/>
      <c r="I12" s="20"/>
      <c r="J12" s="20"/>
    </row>
    <row r="13" spans="1:25" x14ac:dyDescent="0.3">
      <c r="A13" s="19" t="s">
        <v>9</v>
      </c>
      <c r="B13" s="20">
        <v>19361</v>
      </c>
      <c r="C13" s="20">
        <v>19635</v>
      </c>
      <c r="D13" s="20">
        <v>15834</v>
      </c>
      <c r="E13" s="20">
        <v>17442</v>
      </c>
      <c r="F13" s="21">
        <f>F10*F15</f>
        <v>19491.768449999996</v>
      </c>
      <c r="G13" s="21">
        <f t="shared" ref="G13:J13" si="2">G10*G15</f>
        <v>20271.439187999997</v>
      </c>
      <c r="H13" s="21">
        <f t="shared" si="2"/>
        <v>20980.939559579998</v>
      </c>
      <c r="I13" s="21">
        <f t="shared" si="2"/>
        <v>21610.367746367396</v>
      </c>
      <c r="J13" s="21">
        <f t="shared" si="2"/>
        <v>22150.626940026581</v>
      </c>
    </row>
    <row r="14" spans="1:25" x14ac:dyDescent="0.3">
      <c r="A14" s="19" t="s">
        <v>201</v>
      </c>
      <c r="B14" s="20" t="s">
        <v>272</v>
      </c>
      <c r="C14" s="24">
        <f>(C13-B13)/B13</f>
        <v>1.4152161561902795E-2</v>
      </c>
      <c r="D14" s="24">
        <f t="shared" ref="D14:E14" si="3">(D13-C13)/C13</f>
        <v>-0.19358288770053475</v>
      </c>
      <c r="E14" s="24">
        <f t="shared" si="3"/>
        <v>0.10155361879499811</v>
      </c>
      <c r="F14" s="24">
        <f t="shared" ref="F14" si="4">(F13-E13)/E13</f>
        <v>0.11751911764705859</v>
      </c>
      <c r="G14" s="24">
        <f t="shared" ref="G14" si="5">(G13-F13)/F13</f>
        <v>4.0000000000000042E-2</v>
      </c>
      <c r="H14" s="24">
        <f t="shared" ref="H14" si="6">(H13-G13)/G13</f>
        <v>3.5000000000000066E-2</v>
      </c>
      <c r="I14" s="24">
        <f t="shared" ref="I14" si="7">(I13-H13)/H13</f>
        <v>2.9999999999999902E-2</v>
      </c>
      <c r="J14" s="24">
        <f t="shared" ref="J14" si="8">(J13-I13)/I13</f>
        <v>2.5000000000000015E-2</v>
      </c>
    </row>
    <row r="15" spans="1:25" x14ac:dyDescent="0.3">
      <c r="A15" s="22" t="s">
        <v>202</v>
      </c>
      <c r="B15" s="23">
        <f>B13/B10</f>
        <v>0.24588519177038354</v>
      </c>
      <c r="C15" s="23">
        <f t="shared" ref="C15:E15" si="9">C13/C10</f>
        <v>0.24546818352294036</v>
      </c>
      <c r="D15" s="23">
        <f t="shared" si="9"/>
        <v>0.18593454596695594</v>
      </c>
      <c r="E15" s="23">
        <f t="shared" si="9"/>
        <v>0.19637247948120376</v>
      </c>
      <c r="F15" s="23">
        <v>0.21</v>
      </c>
      <c r="G15" s="23">
        <v>0.21</v>
      </c>
      <c r="H15" s="23">
        <v>0.21</v>
      </c>
      <c r="I15" s="23">
        <v>0.21</v>
      </c>
      <c r="J15" s="23">
        <v>0.21</v>
      </c>
    </row>
    <row r="16" spans="1:25" x14ac:dyDescent="0.3">
      <c r="A16" s="19"/>
      <c r="B16" s="21"/>
      <c r="C16" s="21"/>
      <c r="D16" s="21"/>
      <c r="E16" s="21"/>
      <c r="F16" s="21"/>
      <c r="G16" s="21"/>
      <c r="H16" s="21"/>
      <c r="I16" s="20"/>
      <c r="J16" s="20"/>
    </row>
    <row r="17" spans="1:10" x14ac:dyDescent="0.3">
      <c r="A17" s="19" t="s">
        <v>203</v>
      </c>
      <c r="B17" s="20">
        <v>7390</v>
      </c>
      <c r="C17" s="20">
        <v>6970</v>
      </c>
      <c r="D17" s="20">
        <v>7486</v>
      </c>
      <c r="E17" s="20">
        <v>7339</v>
      </c>
      <c r="F17" s="21">
        <f>F10*F18</f>
        <v>8075.1612149999992</v>
      </c>
      <c r="G17" s="21">
        <f t="shared" ref="G17:J17" si="10">G10*G18</f>
        <v>8398.1676635999993</v>
      </c>
      <c r="H17" s="21">
        <f t="shared" si="10"/>
        <v>8692.1035318259983</v>
      </c>
      <c r="I17" s="21">
        <f t="shared" si="10"/>
        <v>8952.8666377807785</v>
      </c>
      <c r="J17" s="21">
        <f t="shared" si="10"/>
        <v>9176.6883037252974</v>
      </c>
    </row>
    <row r="18" spans="1:10" x14ac:dyDescent="0.3">
      <c r="A18" s="19" t="s">
        <v>202</v>
      </c>
      <c r="B18" s="23">
        <f>B17/B10</f>
        <v>9.3853187706375407E-2</v>
      </c>
      <c r="C18" s="23">
        <f t="shared" ref="C18:E18" si="11">C17/C10</f>
        <v>8.7135891986498307E-2</v>
      </c>
      <c r="D18" s="23">
        <f t="shared" si="11"/>
        <v>8.7906152021512696E-2</v>
      </c>
      <c r="E18" s="23">
        <f t="shared" si="11"/>
        <v>8.2626856261469692E-2</v>
      </c>
      <c r="F18" s="23">
        <v>8.6999999999999994E-2</v>
      </c>
      <c r="G18" s="23">
        <v>8.6999999999999994E-2</v>
      </c>
      <c r="H18" s="23">
        <v>8.6999999999999994E-2</v>
      </c>
      <c r="I18" s="23">
        <v>8.6999999999999994E-2</v>
      </c>
      <c r="J18" s="23">
        <v>8.6999999999999994E-2</v>
      </c>
    </row>
    <row r="19" spans="1:10" x14ac:dyDescent="0.3">
      <c r="A19" s="19"/>
      <c r="B19" s="21"/>
      <c r="C19" s="21"/>
      <c r="D19" s="21"/>
      <c r="E19" s="21"/>
      <c r="F19" s="21"/>
      <c r="G19" s="21"/>
      <c r="H19" s="21"/>
      <c r="I19" s="20"/>
      <c r="J19" s="20"/>
    </row>
    <row r="20" spans="1:10" x14ac:dyDescent="0.3">
      <c r="A20" s="19" t="s">
        <v>204</v>
      </c>
      <c r="B20" s="20">
        <v>3652</v>
      </c>
      <c r="C20" s="20">
        <v>4009</v>
      </c>
      <c r="D20" s="20">
        <v>5013</v>
      </c>
      <c r="E20" s="20">
        <v>6207</v>
      </c>
      <c r="F20" s="21">
        <f>F10*F21</f>
        <v>6033.1664249999994</v>
      </c>
      <c r="G20" s="21">
        <f t="shared" ref="G20:J20" si="12">G10*G21</f>
        <v>6081.4317563999994</v>
      </c>
      <c r="H20" s="21">
        <f t="shared" si="12"/>
        <v>5994.5541598799991</v>
      </c>
      <c r="I20" s="21">
        <f t="shared" si="12"/>
        <v>5968.5777585205196</v>
      </c>
      <c r="J20" s="21">
        <f t="shared" si="12"/>
        <v>5801.354674768867</v>
      </c>
    </row>
    <row r="21" spans="1:10" x14ac:dyDescent="0.3">
      <c r="A21" s="22" t="s">
        <v>202</v>
      </c>
      <c r="B21" s="23">
        <f>B20/B10</f>
        <v>4.638049276098552E-2</v>
      </c>
      <c r="C21" s="23">
        <f t="shared" ref="C21:E21" si="13">C20/C10</f>
        <v>5.01187648456057E-2</v>
      </c>
      <c r="D21" s="23">
        <f t="shared" si="13"/>
        <v>5.8866355875479982E-2</v>
      </c>
      <c r="E21" s="23">
        <f t="shared" si="13"/>
        <v>6.9882122471037256E-2</v>
      </c>
      <c r="F21" s="74">
        <v>6.5000000000000002E-2</v>
      </c>
      <c r="G21" s="74">
        <v>6.3E-2</v>
      </c>
      <c r="H21" s="75">
        <v>0.06</v>
      </c>
      <c r="I21" s="76">
        <v>5.8000000000000003E-2</v>
      </c>
      <c r="J21" s="76">
        <v>5.5E-2</v>
      </c>
    </row>
    <row r="22" spans="1:10" x14ac:dyDescent="0.3">
      <c r="A22" s="19"/>
      <c r="B22" s="21"/>
      <c r="C22" s="21"/>
      <c r="D22" s="21"/>
      <c r="E22" s="21"/>
      <c r="F22" s="21"/>
      <c r="G22" s="21"/>
      <c r="H22" s="21"/>
      <c r="I22" s="20"/>
      <c r="J22" s="20"/>
    </row>
    <row r="23" spans="1:10" x14ac:dyDescent="0.3">
      <c r="A23" s="25" t="s">
        <v>205</v>
      </c>
      <c r="B23" s="20">
        <v>-4238</v>
      </c>
      <c r="C23" s="20">
        <v>-4011</v>
      </c>
      <c r="D23" s="20">
        <v>2507</v>
      </c>
      <c r="E23" s="20">
        <v>1837</v>
      </c>
      <c r="F23" s="21">
        <f>F10*F24</f>
        <v>928.17944999999997</v>
      </c>
      <c r="G23" s="21">
        <f t="shared" ref="G23:J23" si="14">G10*G24</f>
        <v>965.30662799999993</v>
      </c>
      <c r="H23" s="21">
        <f t="shared" si="14"/>
        <v>999.09235997999997</v>
      </c>
      <c r="I23" s="21">
        <f t="shared" si="14"/>
        <v>1029.0651307793999</v>
      </c>
      <c r="J23" s="21">
        <f t="shared" si="14"/>
        <v>1054.7917590488848</v>
      </c>
    </row>
    <row r="24" spans="1:10" x14ac:dyDescent="0.3">
      <c r="A24" s="22" t="s">
        <v>202</v>
      </c>
      <c r="B24" s="23">
        <f>B23/B10</f>
        <v>-5.3822707645415288E-2</v>
      </c>
      <c r="C24" s="23">
        <f t="shared" ref="C24:E24" si="15">C23/C10</f>
        <v>-5.0143767970996372E-2</v>
      </c>
      <c r="D24" s="23">
        <f t="shared" si="15"/>
        <v>2.9439049307765475E-2</v>
      </c>
      <c r="E24" s="23">
        <f t="shared" si="15"/>
        <v>2.0682045912565721E-2</v>
      </c>
      <c r="F24" s="78">
        <v>0.01</v>
      </c>
      <c r="G24" s="78">
        <v>0.01</v>
      </c>
      <c r="H24" s="78">
        <v>0.01</v>
      </c>
      <c r="I24" s="78">
        <v>0.01</v>
      </c>
      <c r="J24" s="78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A5A6-0D27-4B61-9F39-668B6BF868E3}">
  <dimension ref="A2:D15"/>
  <sheetViews>
    <sheetView showGridLines="0" workbookViewId="0">
      <selection activeCell="B15" sqref="B15"/>
    </sheetView>
  </sheetViews>
  <sheetFormatPr defaultRowHeight="14.4" x14ac:dyDescent="0.3"/>
  <cols>
    <col min="1" max="1" width="26" customWidth="1"/>
    <col min="2" max="2" width="22" customWidth="1"/>
  </cols>
  <sheetData>
    <row r="2" spans="1:4" ht="15.6" x14ac:dyDescent="0.3">
      <c r="A2" s="26" t="s">
        <v>213</v>
      </c>
      <c r="B2" s="27"/>
    </row>
    <row r="4" spans="1:4" ht="15.6" x14ac:dyDescent="0.3">
      <c r="A4" s="30" t="s">
        <v>214</v>
      </c>
      <c r="B4">
        <f>Income_Statement_FULL!E18*'Operating Forecast'!G6</f>
        <v>505728.19799999997</v>
      </c>
    </row>
    <row r="5" spans="1:4" ht="15.6" x14ac:dyDescent="0.3">
      <c r="A5" s="30" t="s">
        <v>215</v>
      </c>
      <c r="B5">
        <f>Balance_Sheet_FULL!F32+Balance_Sheet_FULL!F36</f>
        <v>36634</v>
      </c>
    </row>
    <row r="6" spans="1:4" ht="15.6" x14ac:dyDescent="0.3">
      <c r="A6" s="30" t="s">
        <v>216</v>
      </c>
      <c r="B6" s="38">
        <f>((Cash_Flow_FULL!F8)/((Balance_Sheet_FULL!F36+Balance_Sheet_FULL!F32+Balance_Sheet_FULL!E32+Balance_Sheet_FULL!E36)/2))</f>
        <v>6.0334111511991029E-2</v>
      </c>
    </row>
    <row r="7" spans="1:4" ht="15.6" x14ac:dyDescent="0.3">
      <c r="A7" s="30" t="s">
        <v>217</v>
      </c>
      <c r="B7" s="31">
        <v>0.2</v>
      </c>
    </row>
    <row r="8" spans="1:4" ht="15.6" x14ac:dyDescent="0.3">
      <c r="A8" s="30" t="s">
        <v>218</v>
      </c>
      <c r="B8" s="38">
        <v>4.2000000000000003E-2</v>
      </c>
    </row>
    <row r="9" spans="1:4" ht="15.6" x14ac:dyDescent="0.3">
      <c r="A9" s="30" t="s">
        <v>219</v>
      </c>
      <c r="B9" s="37">
        <v>0.35</v>
      </c>
    </row>
    <row r="10" spans="1:4" ht="15.6" x14ac:dyDescent="0.3">
      <c r="A10" s="30" t="s">
        <v>220</v>
      </c>
      <c r="B10" s="31">
        <v>0.1</v>
      </c>
    </row>
    <row r="11" spans="1:4" ht="15.6" x14ac:dyDescent="0.3">
      <c r="A11" s="39" t="s">
        <v>221</v>
      </c>
      <c r="B11" s="40">
        <f>B8+B9*(B10-B8)</f>
        <v>6.2300000000000001E-2</v>
      </c>
    </row>
    <row r="13" spans="1:4" ht="15.6" x14ac:dyDescent="0.3">
      <c r="A13" s="30" t="s">
        <v>222</v>
      </c>
      <c r="B13" s="72">
        <f>B4/(B4+B5)</f>
        <v>0.9324547320313058</v>
      </c>
      <c r="D13" s="70" t="s">
        <v>187</v>
      </c>
    </row>
    <row r="14" spans="1:4" ht="15.6" x14ac:dyDescent="0.3">
      <c r="A14" s="30" t="s">
        <v>223</v>
      </c>
      <c r="B14" s="72">
        <f>B5/(B4+B5)</f>
        <v>6.7545267968694242E-2</v>
      </c>
      <c r="D14" s="70" t="s">
        <v>270</v>
      </c>
    </row>
    <row r="15" spans="1:4" ht="15.6" x14ac:dyDescent="0.3">
      <c r="A15" s="41" t="s">
        <v>224</v>
      </c>
      <c r="B15" s="42">
        <f>(B13*B11+B14*B6*(1-B7))</f>
        <v>6.1352156789334762E-2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FC9A-3443-4D66-AD62-8701B5763850}">
  <dimension ref="A2:F13"/>
  <sheetViews>
    <sheetView showGridLines="0" workbookViewId="0">
      <selection activeCell="E16" sqref="E16"/>
    </sheetView>
  </sheetViews>
  <sheetFormatPr defaultRowHeight="14.4" x14ac:dyDescent="0.3"/>
  <cols>
    <col min="1" max="1" width="46.6640625" customWidth="1"/>
    <col min="2" max="2" width="25.77734375" customWidth="1"/>
  </cols>
  <sheetData>
    <row r="2" spans="1:6" ht="15.6" x14ac:dyDescent="0.3">
      <c r="A2" s="26" t="s">
        <v>208</v>
      </c>
      <c r="B2" s="27"/>
      <c r="F2" s="70" t="s">
        <v>187</v>
      </c>
    </row>
    <row r="4" spans="1:6" ht="15.6" x14ac:dyDescent="0.3">
      <c r="A4" s="28" t="s">
        <v>209</v>
      </c>
      <c r="B4" s="29"/>
    </row>
    <row r="5" spans="1:6" ht="15.6" x14ac:dyDescent="0.3">
      <c r="A5" s="30" t="s">
        <v>9</v>
      </c>
      <c r="B5">
        <v>17442</v>
      </c>
    </row>
    <row r="6" spans="1:6" ht="15.6" x14ac:dyDescent="0.3">
      <c r="A6" s="30" t="s">
        <v>210</v>
      </c>
      <c r="B6" s="31">
        <v>0.2</v>
      </c>
    </row>
    <row r="7" spans="1:6" ht="15.6" x14ac:dyDescent="0.3">
      <c r="A7" s="30" t="s">
        <v>211</v>
      </c>
      <c r="B7">
        <v>7339</v>
      </c>
    </row>
    <row r="8" spans="1:6" ht="15.6" x14ac:dyDescent="0.3">
      <c r="A8" s="30" t="s">
        <v>204</v>
      </c>
      <c r="B8">
        <v>6207</v>
      </c>
    </row>
    <row r="9" spans="1:6" ht="15.6" x14ac:dyDescent="0.3">
      <c r="A9" s="30" t="s">
        <v>205</v>
      </c>
      <c r="B9">
        <v>1837</v>
      </c>
    </row>
    <row r="10" spans="1:6" ht="15.6" x14ac:dyDescent="0.3">
      <c r="A10" s="30"/>
      <c r="B10" s="32"/>
    </row>
    <row r="11" spans="1:6" ht="15.6" x14ac:dyDescent="0.3">
      <c r="A11" s="33" t="s">
        <v>212</v>
      </c>
      <c r="B11" s="34">
        <f>B5*(1-B6)+B7-B8-B9</f>
        <v>13248.599999999999</v>
      </c>
    </row>
    <row r="12" spans="1:6" ht="15.6" x14ac:dyDescent="0.3">
      <c r="A12" s="35"/>
      <c r="B12" s="36"/>
    </row>
    <row r="13" spans="1:6" ht="15.6" x14ac:dyDescent="0.3">
      <c r="A13" s="32"/>
      <c r="B13" s="36"/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D9A7-2372-4333-B4AC-B2C9FCA89216}">
  <dimension ref="A3:J12"/>
  <sheetViews>
    <sheetView showGridLines="0" workbookViewId="0">
      <selection activeCell="B6" sqref="B6"/>
    </sheetView>
  </sheetViews>
  <sheetFormatPr defaultRowHeight="14.4" x14ac:dyDescent="0.3"/>
  <cols>
    <col min="1" max="1" width="21" customWidth="1"/>
    <col min="6" max="6" width="12.88671875" customWidth="1"/>
    <col min="7" max="7" width="10.44140625" customWidth="1"/>
  </cols>
  <sheetData>
    <row r="3" spans="1:10" ht="15.6" x14ac:dyDescent="0.3">
      <c r="A3" s="49" t="s">
        <v>233</v>
      </c>
      <c r="B3" s="43"/>
      <c r="C3" s="43"/>
      <c r="D3" s="43"/>
      <c r="E3" s="43"/>
      <c r="F3" s="43"/>
      <c r="G3" s="27"/>
    </row>
    <row r="5" spans="1:10" ht="15.6" x14ac:dyDescent="0.3">
      <c r="A5" s="30" t="s">
        <v>224</v>
      </c>
      <c r="B5" s="42">
        <v>6.1400000000000003E-2</v>
      </c>
    </row>
    <row r="6" spans="1:10" ht="15.6" x14ac:dyDescent="0.3">
      <c r="A6" s="30" t="s">
        <v>234</v>
      </c>
      <c r="B6" s="38">
        <v>2.2499999999999999E-2</v>
      </c>
    </row>
    <row r="8" spans="1:10" ht="15.6" x14ac:dyDescent="0.3">
      <c r="A8" s="44" t="s">
        <v>226</v>
      </c>
      <c r="B8" s="44">
        <v>0</v>
      </c>
      <c r="C8" s="44">
        <v>1</v>
      </c>
      <c r="D8" s="44">
        <v>2</v>
      </c>
      <c r="E8" s="44">
        <v>3</v>
      </c>
      <c r="F8" s="44">
        <v>4</v>
      </c>
      <c r="G8" s="44">
        <v>5</v>
      </c>
    </row>
    <row r="9" spans="1:10" ht="15.6" x14ac:dyDescent="0.3">
      <c r="A9" s="30" t="s">
        <v>227</v>
      </c>
      <c r="C9" s="37">
        <f>'Operating Forecast'!F13*(1-20%)+'Operating Forecast'!F17-'Operating Forecast'!F20-'Operating Forecast'!F23</f>
        <v>16707.230099999997</v>
      </c>
      <c r="D9" s="37">
        <f>'Operating Forecast'!G13*(1-20%)+'Operating Forecast'!G17-'Operating Forecast'!G20-'Operating Forecast'!G23</f>
        <v>17568.580629600001</v>
      </c>
      <c r="E9" s="37">
        <f>'Operating Forecast'!H13*(1-20%)+'Operating Forecast'!H17-'Operating Forecast'!H20-'Operating Forecast'!H23</f>
        <v>18483.20865963</v>
      </c>
      <c r="F9" s="37">
        <f>'Operating Forecast'!I13*(1-20%)+'Operating Forecast'!I17-'Operating Forecast'!I20-'Operating Forecast'!I23</f>
        <v>19243.517945574775</v>
      </c>
      <c r="G9" s="37">
        <f>'Operating Forecast'!J13*(1-20%)+'Operating Forecast'!J17-'Operating Forecast'!J20-'Operating Forecast'!J23</f>
        <v>20041.043421928811</v>
      </c>
    </row>
    <row r="11" spans="1:10" ht="15.6" x14ac:dyDescent="0.3">
      <c r="F11" s="50" t="s">
        <v>235</v>
      </c>
      <c r="G11" s="51">
        <f>((G9*(1+B6))/(B5-B6))</f>
        <v>526785.7814632958</v>
      </c>
    </row>
    <row r="12" spans="1:10" x14ac:dyDescent="0.3">
      <c r="J12" s="70" t="s">
        <v>187</v>
      </c>
    </row>
  </sheetData>
  <mergeCells count="1">
    <mergeCell ref="A3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A5EA-2E81-4883-8D10-E62E36969E8F}">
  <dimension ref="A4:J17"/>
  <sheetViews>
    <sheetView showGridLines="0" topLeftCell="A3" workbookViewId="0">
      <selection activeCell="C11" sqref="C11"/>
    </sheetView>
  </sheetViews>
  <sheetFormatPr defaultRowHeight="14.4" x14ac:dyDescent="0.3"/>
  <cols>
    <col min="1" max="1" width="18.21875" customWidth="1"/>
    <col min="2" max="2" width="9.33203125" bestFit="1" customWidth="1"/>
    <col min="7" max="7" width="9.33203125" bestFit="1" customWidth="1"/>
  </cols>
  <sheetData>
    <row r="4" spans="1:7" ht="15.6" x14ac:dyDescent="0.3">
      <c r="A4" s="26" t="s">
        <v>225</v>
      </c>
      <c r="B4" s="43"/>
      <c r="C4" s="43"/>
      <c r="D4" s="43"/>
      <c r="E4" s="43"/>
      <c r="F4" s="43"/>
      <c r="G4" s="27"/>
    </row>
    <row r="6" spans="1:7" ht="15.6" x14ac:dyDescent="0.3">
      <c r="A6" s="30" t="s">
        <v>224</v>
      </c>
      <c r="B6" s="38">
        <v>6.1400000000000003E-2</v>
      </c>
    </row>
    <row r="8" spans="1:7" ht="15.6" x14ac:dyDescent="0.3">
      <c r="A8" s="44" t="s">
        <v>226</v>
      </c>
      <c r="B8" s="44">
        <v>0</v>
      </c>
      <c r="C8" s="44">
        <v>1</v>
      </c>
      <c r="D8" s="44">
        <v>2</v>
      </c>
      <c r="E8" s="44">
        <v>3</v>
      </c>
      <c r="F8" s="44">
        <v>4</v>
      </c>
      <c r="G8" s="44">
        <v>5</v>
      </c>
    </row>
    <row r="9" spans="1:7" ht="15.6" x14ac:dyDescent="0.3">
      <c r="A9" s="30" t="s">
        <v>227</v>
      </c>
      <c r="C9" s="37">
        <f>'Operating Forecast'!F13*(1-20%)+'Operating Forecast'!F17-'Operating Forecast'!F20-'Operating Forecast'!F23</f>
        <v>16707.230099999997</v>
      </c>
      <c r="D9" s="37">
        <f>'Operating Forecast'!G13*(1-20%)+'Operating Forecast'!G17-'Operating Forecast'!G20-'Operating Forecast'!G23</f>
        <v>17568.580629600001</v>
      </c>
      <c r="E9" s="37">
        <f>'Operating Forecast'!H13*(1-20%)+'Operating Forecast'!H17-'Operating Forecast'!H20-'Operating Forecast'!H23</f>
        <v>18483.20865963</v>
      </c>
      <c r="F9" s="37">
        <f>'Operating Forecast'!I13*(1-20%)+'Operating Forecast'!I17-'Operating Forecast'!I20-'Operating Forecast'!I23</f>
        <v>19243.517945574775</v>
      </c>
      <c r="G9" s="37">
        <f>'Operating Forecast'!J13*(1-20%)+'Operating Forecast'!J17-'Operating Forecast'!J20-'Operating Forecast'!J23</f>
        <v>20041.043421928811</v>
      </c>
    </row>
    <row r="10" spans="1:7" ht="15.6" x14ac:dyDescent="0.3">
      <c r="A10" s="30" t="s">
        <v>228</v>
      </c>
      <c r="C10" s="37"/>
      <c r="D10" s="37"/>
      <c r="E10" s="37"/>
      <c r="F10" s="37"/>
      <c r="G10" s="51">
        <v>526785.80000000005</v>
      </c>
    </row>
    <row r="11" spans="1:7" ht="15.6" x14ac:dyDescent="0.3">
      <c r="A11" s="39" t="s">
        <v>229</v>
      </c>
      <c r="B11" s="39"/>
      <c r="C11" s="45">
        <f>1/(1+$B6)^C8</f>
        <v>0.94215187488223107</v>
      </c>
      <c r="D11" s="45">
        <f t="shared" ref="D11:G11" si="0">1/(1+$B6)^D8</f>
        <v>0.88765015534410319</v>
      </c>
      <c r="E11" s="45">
        <f t="shared" si="0"/>
        <v>0.83630125809695055</v>
      </c>
      <c r="F11" s="45">
        <f t="shared" si="0"/>
        <v>0.78792279828241052</v>
      </c>
      <c r="G11" s="45">
        <f t="shared" si="0"/>
        <v>0.74234294166422699</v>
      </c>
    </row>
    <row r="13" spans="1:7" ht="15.6" x14ac:dyDescent="0.3">
      <c r="A13" s="39" t="s">
        <v>230</v>
      </c>
      <c r="B13" s="39"/>
      <c r="C13" s="46">
        <f>C9*C11</f>
        <v>15740.748162803842</v>
      </c>
      <c r="D13" s="46">
        <f t="shared" ref="D13:G13" si="1">D9*D11</f>
        <v>15594.753325039843</v>
      </c>
      <c r="E13" s="46">
        <f t="shared" si="1"/>
        <v>15457.530655717021</v>
      </c>
      <c r="F13" s="46">
        <f t="shared" si="1"/>
        <v>15162.40650847506</v>
      </c>
      <c r="G13" s="46">
        <f t="shared" si="1"/>
        <v>14877.327127855138</v>
      </c>
    </row>
    <row r="14" spans="1:7" ht="15.6" x14ac:dyDescent="0.3">
      <c r="A14" s="39" t="s">
        <v>231</v>
      </c>
      <c r="B14" s="39"/>
      <c r="C14" s="46"/>
      <c r="D14" s="46"/>
      <c r="E14" s="46"/>
      <c r="F14" s="46"/>
      <c r="G14" s="46">
        <f>G10*G11</f>
        <v>391055.72039894317</v>
      </c>
    </row>
    <row r="15" spans="1:7" ht="15.6" x14ac:dyDescent="0.3">
      <c r="A15" s="29"/>
      <c r="B15" s="29"/>
    </row>
    <row r="16" spans="1:7" ht="15.6" x14ac:dyDescent="0.3">
      <c r="A16" s="47" t="s">
        <v>232</v>
      </c>
      <c r="B16" s="48">
        <f>SUM(C13,D13,E13,F13,G13,G14)</f>
        <v>467888.48617883411</v>
      </c>
    </row>
    <row r="17" spans="10:10" x14ac:dyDescent="0.3">
      <c r="J17" s="70" t="s">
        <v>187</v>
      </c>
    </row>
  </sheetData>
  <mergeCells count="1">
    <mergeCell ref="A4:G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B2B6-DA3B-4E97-AD72-7EB668F2E0B1}">
  <dimension ref="A3:D13"/>
  <sheetViews>
    <sheetView showGridLines="0" workbookViewId="0">
      <selection activeCell="B13" sqref="B13"/>
    </sheetView>
  </sheetViews>
  <sheetFormatPr defaultRowHeight="14.4" x14ac:dyDescent="0.3"/>
  <cols>
    <col min="1" max="1" width="31.77734375" customWidth="1"/>
    <col min="2" max="2" width="30.5546875" customWidth="1"/>
  </cols>
  <sheetData>
    <row r="3" spans="1:4" ht="15.6" x14ac:dyDescent="0.3">
      <c r="A3" s="26" t="s">
        <v>236</v>
      </c>
      <c r="B3" s="27"/>
      <c r="D3" s="70" t="s">
        <v>187</v>
      </c>
    </row>
    <row r="5" spans="1:4" ht="15.6" x14ac:dyDescent="0.3">
      <c r="A5" s="30" t="s">
        <v>232</v>
      </c>
      <c r="B5" s="37">
        <v>467888.5</v>
      </c>
    </row>
    <row r="6" spans="1:4" ht="15.6" x14ac:dyDescent="0.3">
      <c r="A6" s="30" t="s">
        <v>237</v>
      </c>
      <c r="B6">
        <v>24105</v>
      </c>
    </row>
    <row r="7" spans="1:4" ht="15.6" x14ac:dyDescent="0.3">
      <c r="A7" s="30" t="s">
        <v>238</v>
      </c>
      <c r="B7">
        <v>417</v>
      </c>
    </row>
    <row r="8" spans="1:4" ht="15.6" x14ac:dyDescent="0.3">
      <c r="A8" s="30" t="s">
        <v>239</v>
      </c>
      <c r="B8" s="79">
        <v>5983</v>
      </c>
    </row>
    <row r="9" spans="1:4" ht="15.6" x14ac:dyDescent="0.3">
      <c r="A9" s="30" t="s">
        <v>240</v>
      </c>
      <c r="B9" s="80">
        <v>30651</v>
      </c>
    </row>
    <row r="10" spans="1:4" ht="15.6" x14ac:dyDescent="0.3">
      <c r="A10" s="41" t="s">
        <v>241</v>
      </c>
      <c r="B10" s="81">
        <f>B5+B6+B7-B8-B9</f>
        <v>455776.5</v>
      </c>
    </row>
    <row r="12" spans="1:4" ht="15.6" x14ac:dyDescent="0.3">
      <c r="A12" s="30" t="s">
        <v>242</v>
      </c>
      <c r="B12">
        <v>2406.922</v>
      </c>
    </row>
    <row r="13" spans="1:4" ht="15.6" x14ac:dyDescent="0.3">
      <c r="A13" s="41" t="s">
        <v>243</v>
      </c>
      <c r="B13" s="52">
        <f>B10/B12</f>
        <v>189.36072710291401</v>
      </c>
    </row>
  </sheetData>
  <mergeCells count="1"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10D9-C305-4E60-BD07-8563321EFAA7}">
  <dimension ref="B3:H46"/>
  <sheetViews>
    <sheetView showGridLines="0" topLeftCell="A30" workbookViewId="0">
      <selection activeCell="C43" sqref="C43"/>
    </sheetView>
  </sheetViews>
  <sheetFormatPr defaultRowHeight="14.4" x14ac:dyDescent="0.3"/>
  <cols>
    <col min="2" max="2" width="36.21875" customWidth="1"/>
  </cols>
  <sheetData>
    <row r="3" spans="2:8" ht="15.6" x14ac:dyDescent="0.3">
      <c r="B3" s="26" t="s">
        <v>244</v>
      </c>
      <c r="C3" s="43"/>
      <c r="D3" s="43"/>
      <c r="E3" s="43"/>
      <c r="F3" s="43"/>
      <c r="G3" s="43"/>
      <c r="H3" s="27"/>
    </row>
    <row r="4" spans="2:8" ht="15.6" x14ac:dyDescent="0.3">
      <c r="B4" s="53"/>
      <c r="C4" s="53"/>
      <c r="D4" s="53"/>
      <c r="E4" s="53"/>
      <c r="F4" s="53"/>
      <c r="G4" s="53"/>
      <c r="H4" s="53"/>
    </row>
    <row r="5" spans="2:8" ht="15.6" x14ac:dyDescent="0.3">
      <c r="B5" s="30" t="s">
        <v>234</v>
      </c>
      <c r="C5" s="82">
        <v>2.2499999999999999E-2</v>
      </c>
      <c r="D5" s="30" t="s">
        <v>245</v>
      </c>
      <c r="F5">
        <v>0.35</v>
      </c>
    </row>
    <row r="6" spans="2:8" ht="15.6" x14ac:dyDescent="0.3">
      <c r="B6" s="30" t="s">
        <v>216</v>
      </c>
      <c r="C6" s="83">
        <v>6.0334111511991029E-2</v>
      </c>
      <c r="D6" s="30" t="s">
        <v>220</v>
      </c>
      <c r="F6" s="77">
        <v>0.1</v>
      </c>
    </row>
    <row r="7" spans="2:8" ht="15.6" x14ac:dyDescent="0.3">
      <c r="B7" s="30" t="s">
        <v>246</v>
      </c>
      <c r="C7" s="77">
        <v>0.2</v>
      </c>
      <c r="D7" s="54" t="s">
        <v>214</v>
      </c>
      <c r="F7">
        <v>505728.19799999997</v>
      </c>
    </row>
    <row r="8" spans="2:8" ht="15.6" x14ac:dyDescent="0.3">
      <c r="B8" s="30" t="s">
        <v>247</v>
      </c>
      <c r="C8" s="82">
        <v>4.2000000000000003E-2</v>
      </c>
      <c r="D8" s="54" t="s">
        <v>215</v>
      </c>
      <c r="F8">
        <v>36634</v>
      </c>
    </row>
    <row r="9" spans="2:8" ht="15.6" x14ac:dyDescent="0.3">
      <c r="D9" s="30"/>
      <c r="E9" s="30"/>
    </row>
    <row r="10" spans="2:8" ht="15.6" x14ac:dyDescent="0.3">
      <c r="C10" s="55"/>
    </row>
    <row r="12" spans="2:8" ht="15.6" x14ac:dyDescent="0.3">
      <c r="B12" s="56" t="s">
        <v>226</v>
      </c>
      <c r="C12" s="57">
        <v>0</v>
      </c>
      <c r="D12" s="57">
        <v>1</v>
      </c>
      <c r="E12" s="57">
        <v>2</v>
      </c>
      <c r="F12" s="57">
        <v>3</v>
      </c>
      <c r="G12" s="57">
        <v>4</v>
      </c>
      <c r="H12" s="57">
        <v>5</v>
      </c>
    </row>
    <row r="13" spans="2:8" ht="15.6" x14ac:dyDescent="0.3">
      <c r="B13" s="58"/>
      <c r="C13" s="59"/>
      <c r="D13" s="59"/>
      <c r="E13" s="59"/>
      <c r="F13" s="59"/>
      <c r="G13" s="59"/>
      <c r="H13" s="59"/>
    </row>
    <row r="14" spans="2:8" ht="15.6" x14ac:dyDescent="0.3">
      <c r="B14" s="57" t="s">
        <v>248</v>
      </c>
    </row>
    <row r="15" spans="2:8" ht="15.6" x14ac:dyDescent="0.3">
      <c r="B15" s="35" t="s">
        <v>9</v>
      </c>
      <c r="D15" s="36">
        <v>19491.768449999996</v>
      </c>
      <c r="E15">
        <v>20271.439187999997</v>
      </c>
      <c r="F15">
        <v>20980.939559579998</v>
      </c>
      <c r="G15">
        <v>21610.367746367396</v>
      </c>
      <c r="H15">
        <v>22150.626940026581</v>
      </c>
    </row>
    <row r="16" spans="2:8" ht="15.6" x14ac:dyDescent="0.3">
      <c r="B16" s="35" t="s">
        <v>249</v>
      </c>
      <c r="C16" s="36"/>
      <c r="D16" s="77">
        <v>0.2</v>
      </c>
      <c r="E16" s="77">
        <v>0.2</v>
      </c>
      <c r="F16" s="77">
        <v>0.2</v>
      </c>
      <c r="G16" s="77">
        <v>0.2</v>
      </c>
      <c r="H16" s="77">
        <v>0.2</v>
      </c>
    </row>
    <row r="17" spans="2:8" ht="15.6" x14ac:dyDescent="0.3">
      <c r="B17" s="35" t="s">
        <v>203</v>
      </c>
      <c r="C17" s="36"/>
      <c r="D17">
        <v>8075.1612149999992</v>
      </c>
      <c r="E17">
        <v>8398.1676635999993</v>
      </c>
      <c r="F17">
        <v>8692.1035318259983</v>
      </c>
      <c r="G17">
        <v>8952.8666377807785</v>
      </c>
      <c r="H17">
        <v>9176.6883037252974</v>
      </c>
    </row>
    <row r="18" spans="2:8" ht="15.6" x14ac:dyDescent="0.3">
      <c r="B18" s="35" t="s">
        <v>204</v>
      </c>
      <c r="C18" s="36"/>
      <c r="D18">
        <v>6033.1664249999994</v>
      </c>
      <c r="E18">
        <v>6081.4317563999994</v>
      </c>
      <c r="F18">
        <v>5994.5541598799991</v>
      </c>
      <c r="G18">
        <v>5968.5777585205196</v>
      </c>
      <c r="H18">
        <v>5801.354674768867</v>
      </c>
    </row>
    <row r="19" spans="2:8" ht="15.6" x14ac:dyDescent="0.3">
      <c r="B19" s="35" t="s">
        <v>250</v>
      </c>
      <c r="C19" s="36"/>
      <c r="D19">
        <v>928.17944999999997</v>
      </c>
      <c r="E19">
        <v>965.30662799999993</v>
      </c>
      <c r="F19">
        <v>999.09235997999997</v>
      </c>
      <c r="G19">
        <v>1029.0651307793999</v>
      </c>
      <c r="H19">
        <v>1054.7917590488848</v>
      </c>
    </row>
    <row r="20" spans="2:8" ht="15.6" x14ac:dyDescent="0.3">
      <c r="B20" s="60" t="s">
        <v>227</v>
      </c>
      <c r="C20" s="61"/>
      <c r="D20" s="62">
        <f>D15*(1-D16)+D17-D18-D19</f>
        <v>16707.230099999997</v>
      </c>
      <c r="E20" s="62">
        <f t="shared" ref="E20:H20" si="0">E15*(1-E16)+E17-E18-E19</f>
        <v>17568.580629600001</v>
      </c>
      <c r="F20" s="62">
        <f t="shared" si="0"/>
        <v>18483.20865963</v>
      </c>
      <c r="G20" s="62">
        <f t="shared" si="0"/>
        <v>19243.517945574775</v>
      </c>
      <c r="H20" s="62">
        <f t="shared" si="0"/>
        <v>20041.043421928811</v>
      </c>
    </row>
    <row r="21" spans="2:8" ht="15.6" x14ac:dyDescent="0.3">
      <c r="C21" s="36"/>
      <c r="D21" s="36"/>
      <c r="E21" s="36"/>
      <c r="F21" s="36"/>
      <c r="G21" s="36"/>
      <c r="H21" s="36"/>
    </row>
    <row r="22" spans="2:8" ht="15.6" x14ac:dyDescent="0.3">
      <c r="B22" s="57" t="s">
        <v>224</v>
      </c>
      <c r="C22" s="63"/>
      <c r="D22" s="36"/>
      <c r="E22" s="36"/>
      <c r="F22" s="36"/>
      <c r="G22" s="36"/>
      <c r="H22" s="36"/>
    </row>
    <row r="23" spans="2:8" ht="15.6" x14ac:dyDescent="0.3">
      <c r="B23" s="35" t="s">
        <v>221</v>
      </c>
      <c r="C23" s="64">
        <f>C8+F5*(F6-C8)</f>
        <v>6.2300000000000001E-2</v>
      </c>
      <c r="D23" s="36"/>
      <c r="E23" s="36"/>
      <c r="F23" s="36"/>
      <c r="G23" s="36"/>
      <c r="H23" s="36"/>
    </row>
    <row r="24" spans="2:8" ht="15.6" x14ac:dyDescent="0.3">
      <c r="B24" s="35" t="s">
        <v>251</v>
      </c>
      <c r="C24" s="64">
        <f>F8/(F7+F8)</f>
        <v>6.7545267968694242E-2</v>
      </c>
      <c r="D24" s="36"/>
      <c r="E24" s="36"/>
      <c r="F24" s="36"/>
      <c r="G24" s="36"/>
      <c r="H24" s="36"/>
    </row>
    <row r="25" spans="2:8" ht="15.6" x14ac:dyDescent="0.3">
      <c r="B25" s="35" t="s">
        <v>252</v>
      </c>
      <c r="C25" s="64">
        <f>F7/(F7+F8)</f>
        <v>0.9324547320313058</v>
      </c>
      <c r="D25" s="36"/>
      <c r="E25" s="36"/>
      <c r="F25" s="36"/>
      <c r="G25" s="36"/>
      <c r="H25" s="36"/>
    </row>
    <row r="26" spans="2:8" ht="15.6" x14ac:dyDescent="0.3">
      <c r="B26" s="60" t="s">
        <v>224</v>
      </c>
      <c r="C26" s="65">
        <f>C23*C25+C24*C6*(1-20%)</f>
        <v>6.1352156789334762E-2</v>
      </c>
      <c r="D26" s="36"/>
      <c r="E26" s="36"/>
      <c r="F26" s="36"/>
      <c r="G26" s="36"/>
      <c r="H26" s="36"/>
    </row>
    <row r="27" spans="2:8" ht="15.6" x14ac:dyDescent="0.3">
      <c r="C27" s="36"/>
      <c r="D27" s="36"/>
      <c r="E27" s="36"/>
      <c r="F27" s="36"/>
      <c r="G27" s="36"/>
      <c r="H27" s="36"/>
    </row>
    <row r="28" spans="2:8" ht="15.6" x14ac:dyDescent="0.3">
      <c r="B28" s="57" t="s">
        <v>228</v>
      </c>
      <c r="C28" s="63"/>
      <c r="D28" s="63"/>
      <c r="E28" s="63"/>
      <c r="F28" s="63"/>
      <c r="G28" s="63"/>
      <c r="H28" s="63"/>
    </row>
    <row r="29" spans="2:8" ht="15.6" x14ac:dyDescent="0.3">
      <c r="B29" s="33"/>
      <c r="C29" s="84"/>
      <c r="D29" s="84"/>
      <c r="E29" s="84"/>
      <c r="F29" s="84"/>
      <c r="G29" s="84"/>
      <c r="H29" s="84"/>
    </row>
    <row r="30" spans="2:8" ht="15.6" x14ac:dyDescent="0.3">
      <c r="B30" s="35" t="s">
        <v>253</v>
      </c>
      <c r="C30" s="36"/>
      <c r="D30" s="36"/>
      <c r="E30" s="36"/>
      <c r="F30" s="36"/>
      <c r="G30" s="36"/>
      <c r="H30" s="66">
        <f>(H20*(1+C5)/(C26-C5))</f>
        <v>527434.47448836151</v>
      </c>
    </row>
    <row r="31" spans="2:8" ht="15.6" x14ac:dyDescent="0.3">
      <c r="C31" s="36"/>
      <c r="D31" s="36"/>
      <c r="E31" s="36"/>
      <c r="F31" s="36"/>
      <c r="G31" s="36"/>
      <c r="H31" s="36"/>
    </row>
    <row r="32" spans="2:8" ht="15.6" x14ac:dyDescent="0.3">
      <c r="B32" s="67" t="s">
        <v>254</v>
      </c>
      <c r="C32" s="63"/>
      <c r="D32" s="63"/>
      <c r="E32" s="63"/>
      <c r="F32" s="63"/>
      <c r="G32" s="63"/>
      <c r="H32" s="63"/>
    </row>
    <row r="33" spans="2:8" ht="15.6" x14ac:dyDescent="0.3">
      <c r="B33" s="35" t="s">
        <v>255</v>
      </c>
      <c r="C33" s="36"/>
      <c r="D33" s="68">
        <f>1/(1+$C26)^D12</f>
        <v>0.94219434482996733</v>
      </c>
      <c r="E33" s="68">
        <f t="shared" ref="E33:H33" si="1">1/(1+$C26)^E12</f>
        <v>0.88773018342957144</v>
      </c>
      <c r="F33" s="68">
        <f t="shared" si="1"/>
        <v>0.8364143585622118</v>
      </c>
      <c r="G33" s="68">
        <f t="shared" si="1"/>
        <v>0.78806487857190055</v>
      </c>
      <c r="H33" s="68">
        <f t="shared" si="1"/>
        <v>0.74251027194955965</v>
      </c>
    </row>
    <row r="34" spans="2:8" ht="15.6" x14ac:dyDescent="0.3">
      <c r="B34" s="35" t="s">
        <v>230</v>
      </c>
      <c r="C34" s="36"/>
      <c r="D34" s="66">
        <f>D33*D20</f>
        <v>15741.457717993007</v>
      </c>
      <c r="E34" s="66">
        <f t="shared" ref="E34:H34" si="2">E33*E20</f>
        <v>15596.159304912024</v>
      </c>
      <c r="F34" s="66">
        <f t="shared" si="2"/>
        <v>15459.621115215945</v>
      </c>
      <c r="G34" s="66">
        <f t="shared" si="2"/>
        <v>15165.140633075574</v>
      </c>
      <c r="H34" s="66">
        <f t="shared" si="2"/>
        <v>14880.680601369295</v>
      </c>
    </row>
    <row r="35" spans="2:8" ht="15.6" x14ac:dyDescent="0.3">
      <c r="B35" s="35" t="s">
        <v>231</v>
      </c>
      <c r="C35" s="36"/>
      <c r="D35" s="36"/>
      <c r="E35" s="36"/>
      <c r="F35" s="36"/>
      <c r="G35" s="36"/>
      <c r="H35" s="66">
        <f>'FULL DCF'!H30*'FULL DCF'!H33</f>
        <v>391625.51508792641</v>
      </c>
    </row>
    <row r="36" spans="2:8" ht="15.6" x14ac:dyDescent="0.3">
      <c r="B36" s="60" t="s">
        <v>232</v>
      </c>
      <c r="C36" s="62">
        <f>SUM(D34,E34,F34,G34,H34,H35)</f>
        <v>468468.57446049224</v>
      </c>
      <c r="D36" s="36"/>
      <c r="E36" s="36"/>
      <c r="F36" s="36"/>
      <c r="G36" s="36"/>
      <c r="H36" s="36"/>
    </row>
    <row r="37" spans="2:8" ht="15.6" x14ac:dyDescent="0.3">
      <c r="D37" s="36"/>
      <c r="E37" s="36"/>
      <c r="F37" s="36"/>
      <c r="G37" s="36"/>
      <c r="H37" s="36"/>
    </row>
    <row r="38" spans="2:8" ht="15.6" x14ac:dyDescent="0.3">
      <c r="B38" s="57" t="s">
        <v>236</v>
      </c>
      <c r="C38" s="63"/>
      <c r="D38" s="36"/>
      <c r="E38" s="36"/>
      <c r="F38" s="36"/>
      <c r="G38" s="36"/>
      <c r="H38" s="36"/>
    </row>
    <row r="39" spans="2:8" ht="15.6" x14ac:dyDescent="0.3">
      <c r="B39" s="35" t="s">
        <v>237</v>
      </c>
      <c r="C39" s="36">
        <v>24105</v>
      </c>
      <c r="D39" s="36"/>
      <c r="E39" s="36"/>
      <c r="F39" s="36"/>
      <c r="G39" s="36"/>
    </row>
    <row r="40" spans="2:8" ht="15.6" x14ac:dyDescent="0.3">
      <c r="B40" s="35" t="s">
        <v>238</v>
      </c>
      <c r="C40" s="36">
        <v>417</v>
      </c>
      <c r="D40" s="36"/>
      <c r="E40" s="36"/>
      <c r="F40" s="36"/>
      <c r="G40" s="36"/>
    </row>
    <row r="41" spans="2:8" ht="15.6" x14ac:dyDescent="0.3">
      <c r="B41" s="35" t="s">
        <v>256</v>
      </c>
      <c r="C41" s="36">
        <v>5983</v>
      </c>
      <c r="D41" s="36"/>
      <c r="E41" s="36"/>
      <c r="F41" s="36"/>
      <c r="G41" s="36"/>
    </row>
    <row r="42" spans="2:8" ht="15.6" x14ac:dyDescent="0.3">
      <c r="B42" s="35" t="s">
        <v>257</v>
      </c>
      <c r="C42" s="36">
        <v>30651</v>
      </c>
      <c r="D42" s="36"/>
      <c r="E42" s="36"/>
      <c r="F42" s="36"/>
      <c r="G42" s="36"/>
    </row>
    <row r="43" spans="2:8" ht="15.6" x14ac:dyDescent="0.3">
      <c r="B43" s="60" t="s">
        <v>241</v>
      </c>
      <c r="C43" s="62">
        <f>C36+C39+C40-C41-C42</f>
        <v>456356.57446049224</v>
      </c>
      <c r="D43" s="36"/>
      <c r="E43" s="36"/>
      <c r="F43" s="36"/>
      <c r="G43" s="36"/>
      <c r="H43" s="36"/>
    </row>
    <row r="44" spans="2:8" ht="15.6" x14ac:dyDescent="0.3">
      <c r="C44" s="36"/>
      <c r="D44" s="36"/>
      <c r="E44" s="36"/>
      <c r="F44" s="36"/>
      <c r="G44" s="36"/>
      <c r="H44" s="36"/>
    </row>
    <row r="45" spans="2:8" ht="15.6" x14ac:dyDescent="0.3">
      <c r="B45" s="35" t="s">
        <v>242</v>
      </c>
      <c r="C45" s="36">
        <v>2406.922</v>
      </c>
      <c r="D45" s="36"/>
      <c r="E45" s="36"/>
      <c r="F45" s="36"/>
      <c r="G45" s="36"/>
    </row>
    <row r="46" spans="2:8" ht="15.6" x14ac:dyDescent="0.3">
      <c r="B46" s="60" t="s">
        <v>258</v>
      </c>
      <c r="C46" s="69">
        <f>C43/C45</f>
        <v>189.60172970311967</v>
      </c>
      <c r="D46" s="36"/>
      <c r="E46" s="36"/>
      <c r="F46" s="36"/>
      <c r="G46" s="36"/>
      <c r="H46" s="36"/>
    </row>
  </sheetData>
  <mergeCells count="1">
    <mergeCell ref="B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>
      <selection activeCell="G24" sqref="G24"/>
    </sheetView>
  </sheetViews>
  <sheetFormatPr defaultRowHeight="14.4" x14ac:dyDescent="0.3"/>
  <cols>
    <col min="1" max="1" width="45.21875" customWidth="1"/>
  </cols>
  <sheetData>
    <row r="1" spans="1:5" x14ac:dyDescent="0.3">
      <c r="B1" s="1">
        <v>2021</v>
      </c>
      <c r="C1" s="1">
        <v>2022</v>
      </c>
      <c r="D1" s="1">
        <v>2023</v>
      </c>
      <c r="E1" s="1">
        <v>2024</v>
      </c>
    </row>
    <row r="2" spans="1:5" x14ac:dyDescent="0.3">
      <c r="A2" s="1" t="s">
        <v>0</v>
      </c>
      <c r="B2">
        <v>-79.847999999999999</v>
      </c>
      <c r="C2">
        <v>-162.93199999999999</v>
      </c>
      <c r="D2">
        <v>-1035.23</v>
      </c>
      <c r="E2">
        <v>-1121.7650000000001</v>
      </c>
    </row>
    <row r="3" spans="1:5" x14ac:dyDescent="0.3">
      <c r="A3" s="1" t="s">
        <v>1</v>
      </c>
      <c r="B3">
        <v>7.1999999999999996E-8</v>
      </c>
      <c r="C3">
        <v>1.54E-7</v>
      </c>
      <c r="D3">
        <v>1.15E-7</v>
      </c>
      <c r="E3">
        <v>1.5699999999999999E-7</v>
      </c>
    </row>
    <row r="4" spans="1:5" x14ac:dyDescent="0.3">
      <c r="A4" s="1" t="s">
        <v>2</v>
      </c>
      <c r="B4">
        <v>27860</v>
      </c>
      <c r="C4">
        <v>27663</v>
      </c>
      <c r="D4">
        <v>32322</v>
      </c>
      <c r="E4">
        <v>31926</v>
      </c>
    </row>
    <row r="5" spans="1:5" x14ac:dyDescent="0.3">
      <c r="A5" s="1" t="s">
        <v>3</v>
      </c>
      <c r="B5">
        <v>-1109</v>
      </c>
      <c r="C5">
        <v>-1058</v>
      </c>
      <c r="D5">
        <v>-9002</v>
      </c>
      <c r="E5">
        <v>-7145</v>
      </c>
    </row>
    <row r="6" spans="1:5" x14ac:dyDescent="0.3">
      <c r="A6" s="1" t="s">
        <v>4</v>
      </c>
      <c r="B6">
        <v>-1109</v>
      </c>
      <c r="C6">
        <v>-1058</v>
      </c>
      <c r="D6">
        <v>-9002</v>
      </c>
      <c r="E6">
        <v>-7145</v>
      </c>
    </row>
    <row r="7" spans="1:5" x14ac:dyDescent="0.3">
      <c r="A7" s="1" t="s">
        <v>5</v>
      </c>
      <c r="B7">
        <v>17801</v>
      </c>
      <c r="C7">
        <v>16370</v>
      </c>
      <c r="D7">
        <v>13326</v>
      </c>
      <c r="E7">
        <v>14066</v>
      </c>
    </row>
    <row r="8" spans="1:5" x14ac:dyDescent="0.3">
      <c r="A8" s="1" t="s">
        <v>6</v>
      </c>
      <c r="B8">
        <v>7390</v>
      </c>
      <c r="C8">
        <v>6970</v>
      </c>
      <c r="D8">
        <v>7486</v>
      </c>
      <c r="E8">
        <v>7339</v>
      </c>
    </row>
    <row r="9" spans="1:5" x14ac:dyDescent="0.3">
      <c r="A9" s="1" t="s">
        <v>7</v>
      </c>
      <c r="B9">
        <v>23402</v>
      </c>
      <c r="C9">
        <v>24596</v>
      </c>
      <c r="D9">
        <v>26553</v>
      </c>
      <c r="E9">
        <v>27471</v>
      </c>
    </row>
    <row r="10" spans="1:5" x14ac:dyDescent="0.3">
      <c r="A10" s="1" t="s">
        <v>8</v>
      </c>
      <c r="B10">
        <v>26751</v>
      </c>
      <c r="C10">
        <v>26605</v>
      </c>
      <c r="D10">
        <v>23320</v>
      </c>
      <c r="E10">
        <v>24781</v>
      </c>
    </row>
    <row r="11" spans="1:5" x14ac:dyDescent="0.3">
      <c r="A11" s="1" t="s">
        <v>9</v>
      </c>
      <c r="B11">
        <v>19361</v>
      </c>
      <c r="C11">
        <v>19635</v>
      </c>
      <c r="D11">
        <v>15834</v>
      </c>
      <c r="E11">
        <v>17442</v>
      </c>
    </row>
    <row r="12" spans="1:5" x14ac:dyDescent="0.3">
      <c r="A12" s="1" t="s">
        <v>10</v>
      </c>
      <c r="B12">
        <v>-130</v>
      </c>
      <c r="C12">
        <v>214</v>
      </c>
      <c r="D12">
        <v>489</v>
      </c>
      <c r="E12">
        <v>577</v>
      </c>
    </row>
    <row r="13" spans="1:5" x14ac:dyDescent="0.3">
      <c r="A13" s="1" t="s">
        <v>11</v>
      </c>
      <c r="B13">
        <v>183</v>
      </c>
      <c r="C13">
        <v>276</v>
      </c>
      <c r="D13">
        <v>772</v>
      </c>
      <c r="E13">
        <v>755</v>
      </c>
    </row>
    <row r="14" spans="1:5" x14ac:dyDescent="0.3">
      <c r="A14" s="1" t="s">
        <v>12</v>
      </c>
      <c r="B14">
        <v>53</v>
      </c>
      <c r="C14">
        <v>490</v>
      </c>
      <c r="D14">
        <v>1261</v>
      </c>
      <c r="E14">
        <v>1332</v>
      </c>
    </row>
    <row r="15" spans="1:5" x14ac:dyDescent="0.3">
      <c r="A15" s="1" t="s">
        <v>13</v>
      </c>
      <c r="B15">
        <v>18830.151999999998</v>
      </c>
      <c r="C15">
        <v>17265.067999999999</v>
      </c>
      <c r="D15">
        <v>21292.77</v>
      </c>
      <c r="E15">
        <v>20089.235000000001</v>
      </c>
    </row>
    <row r="16" spans="1:5" x14ac:dyDescent="0.3">
      <c r="A16" s="1" t="s">
        <v>14</v>
      </c>
      <c r="B16">
        <v>20878</v>
      </c>
      <c r="C16">
        <v>17941</v>
      </c>
      <c r="D16">
        <v>35153</v>
      </c>
      <c r="E16">
        <v>14066</v>
      </c>
    </row>
    <row r="17" spans="1:5" x14ac:dyDescent="0.3">
      <c r="A17" s="1" t="s">
        <v>15</v>
      </c>
      <c r="B17">
        <v>57797</v>
      </c>
      <c r="C17">
        <v>58977</v>
      </c>
      <c r="D17">
        <v>61750</v>
      </c>
      <c r="E17">
        <v>66672</v>
      </c>
    </row>
    <row r="18" spans="1:5" x14ac:dyDescent="0.3">
      <c r="A18" s="1" t="s">
        <v>16</v>
      </c>
      <c r="B18">
        <v>2674</v>
      </c>
      <c r="C18">
        <v>2663.9</v>
      </c>
      <c r="D18">
        <v>2560.4</v>
      </c>
      <c r="E18">
        <v>2429.4</v>
      </c>
    </row>
    <row r="19" spans="1:5" x14ac:dyDescent="0.3">
      <c r="A19" s="1" t="s">
        <v>17</v>
      </c>
      <c r="B19">
        <v>2628.9650000000001</v>
      </c>
      <c r="C19">
        <v>2613.5970000000002</v>
      </c>
      <c r="D19">
        <v>2407.078</v>
      </c>
      <c r="E19">
        <v>2406.922</v>
      </c>
    </row>
    <row r="20" spans="1:5" x14ac:dyDescent="0.3">
      <c r="A20" s="1" t="s">
        <v>18</v>
      </c>
      <c r="B20">
        <v>7.8099999999999998E-6</v>
      </c>
      <c r="C20">
        <v>6.7300000000000008E-6</v>
      </c>
      <c r="D20">
        <v>1.3720000000000001E-5</v>
      </c>
      <c r="E20">
        <v>5.7899999999999996E-6</v>
      </c>
    </row>
    <row r="21" spans="1:5" x14ac:dyDescent="0.3">
      <c r="A21" s="1" t="s">
        <v>19</v>
      </c>
      <c r="B21">
        <v>7.930572E-6</v>
      </c>
      <c r="C21">
        <v>6.8621580000000002E-6</v>
      </c>
      <c r="D21">
        <v>1.4604013999999999E-5</v>
      </c>
      <c r="E21">
        <v>5.8439780000000001E-6</v>
      </c>
    </row>
    <row r="22" spans="1:5" x14ac:dyDescent="0.3">
      <c r="A22" s="1" t="s">
        <v>20</v>
      </c>
      <c r="B22">
        <v>20878</v>
      </c>
      <c r="C22">
        <v>17941</v>
      </c>
      <c r="D22">
        <v>35153</v>
      </c>
      <c r="E22">
        <v>14066</v>
      </c>
    </row>
    <row r="23" spans="1:5" x14ac:dyDescent="0.3">
      <c r="A23" s="1" t="s">
        <v>21</v>
      </c>
      <c r="B23">
        <v>20878</v>
      </c>
      <c r="C23">
        <v>17941</v>
      </c>
      <c r="D23">
        <v>35153</v>
      </c>
      <c r="E23">
        <v>14066</v>
      </c>
    </row>
    <row r="24" spans="1:5" x14ac:dyDescent="0.3">
      <c r="A24" s="1" t="s">
        <v>22</v>
      </c>
      <c r="B24">
        <v>20878</v>
      </c>
      <c r="C24">
        <v>17941</v>
      </c>
      <c r="D24">
        <v>35153</v>
      </c>
      <c r="E24">
        <v>14066</v>
      </c>
    </row>
    <row r="25" spans="1:5" x14ac:dyDescent="0.3">
      <c r="A25" s="1" t="s">
        <v>23</v>
      </c>
      <c r="B25">
        <v>20878</v>
      </c>
      <c r="C25">
        <v>17941</v>
      </c>
      <c r="D25">
        <v>35153</v>
      </c>
      <c r="E25">
        <v>14066</v>
      </c>
    </row>
    <row r="26" spans="1:5" x14ac:dyDescent="0.3">
      <c r="A26" s="1" t="s">
        <v>24</v>
      </c>
      <c r="B26">
        <v>3077</v>
      </c>
      <c r="C26">
        <v>1571</v>
      </c>
      <c r="D26">
        <v>21827</v>
      </c>
      <c r="E26">
        <v>0</v>
      </c>
    </row>
    <row r="27" spans="1:5" x14ac:dyDescent="0.3">
      <c r="A27" s="1" t="s">
        <v>25</v>
      </c>
      <c r="B27">
        <v>17801</v>
      </c>
      <c r="C27">
        <v>16370</v>
      </c>
      <c r="D27">
        <v>13326</v>
      </c>
      <c r="E27">
        <v>14066</v>
      </c>
    </row>
    <row r="28" spans="1:5" x14ac:dyDescent="0.3">
      <c r="A28" s="1" t="s">
        <v>26</v>
      </c>
      <c r="B28">
        <v>1377</v>
      </c>
      <c r="C28">
        <v>2989</v>
      </c>
      <c r="D28">
        <v>1736</v>
      </c>
      <c r="E28">
        <v>2621</v>
      </c>
    </row>
    <row r="29" spans="1:5" x14ac:dyDescent="0.3">
      <c r="A29" s="1" t="s">
        <v>27</v>
      </c>
      <c r="B29">
        <v>19178</v>
      </c>
      <c r="C29">
        <v>19359</v>
      </c>
      <c r="D29">
        <v>15062</v>
      </c>
      <c r="E29">
        <v>16687</v>
      </c>
    </row>
    <row r="30" spans="1:5" x14ac:dyDescent="0.3">
      <c r="A30" s="1" t="s">
        <v>28</v>
      </c>
      <c r="B30">
        <v>-1635</v>
      </c>
      <c r="C30">
        <v>-1868</v>
      </c>
      <c r="D30">
        <v>-8802</v>
      </c>
      <c r="E30">
        <v>-6045</v>
      </c>
    </row>
    <row r="31" spans="1:5" x14ac:dyDescent="0.3">
      <c r="A31" s="1" t="s">
        <v>29</v>
      </c>
      <c r="B31">
        <v>-526</v>
      </c>
      <c r="C31">
        <v>-810</v>
      </c>
      <c r="D31">
        <v>200</v>
      </c>
      <c r="E31">
        <v>1100</v>
      </c>
    </row>
    <row r="32" spans="1:5" x14ac:dyDescent="0.3">
      <c r="A32" s="1" t="s">
        <v>30</v>
      </c>
      <c r="B32">
        <v>-1109</v>
      </c>
      <c r="C32">
        <v>-1058</v>
      </c>
      <c r="D32">
        <v>-8402</v>
      </c>
      <c r="E32">
        <v>-6845</v>
      </c>
    </row>
    <row r="33" spans="1:5" x14ac:dyDescent="0.3">
      <c r="A33" s="1" t="s">
        <v>31</v>
      </c>
      <c r="B33">
        <v>2300</v>
      </c>
      <c r="C33">
        <v>2600</v>
      </c>
      <c r="D33">
        <v>7300</v>
      </c>
      <c r="E33">
        <v>5600</v>
      </c>
    </row>
    <row r="34" spans="1:5" x14ac:dyDescent="0.3">
      <c r="A34" s="1" t="s">
        <v>32</v>
      </c>
      <c r="B34">
        <v>900</v>
      </c>
      <c r="C34">
        <v>783</v>
      </c>
      <c r="D34">
        <v>313</v>
      </c>
      <c r="E34">
        <v>211</v>
      </c>
    </row>
    <row r="35" spans="1:5" x14ac:dyDescent="0.3">
      <c r="A35" s="1" t="s">
        <v>33</v>
      </c>
      <c r="B35">
        <v>209</v>
      </c>
      <c r="C35">
        <v>275</v>
      </c>
      <c r="D35">
        <v>789</v>
      </c>
      <c r="E35">
        <v>1034</v>
      </c>
    </row>
    <row r="36" spans="1:5" x14ac:dyDescent="0.3">
      <c r="A36" s="1" t="s">
        <v>34</v>
      </c>
      <c r="B36">
        <v>500</v>
      </c>
      <c r="C36">
        <v>-700</v>
      </c>
      <c r="D36">
        <v>-600</v>
      </c>
      <c r="E36">
        <v>-300</v>
      </c>
    </row>
    <row r="37" spans="1:5" x14ac:dyDescent="0.3">
      <c r="A37" s="1" t="s">
        <v>35</v>
      </c>
      <c r="B37">
        <v>-130</v>
      </c>
      <c r="C37">
        <v>214</v>
      </c>
      <c r="D37">
        <v>489</v>
      </c>
      <c r="E37">
        <v>577</v>
      </c>
    </row>
    <row r="38" spans="1:5" x14ac:dyDescent="0.3">
      <c r="A38" s="1" t="s">
        <v>36</v>
      </c>
      <c r="B38">
        <v>183</v>
      </c>
      <c r="C38">
        <v>276</v>
      </c>
      <c r="D38">
        <v>772</v>
      </c>
      <c r="E38">
        <v>755</v>
      </c>
    </row>
    <row r="39" spans="1:5" x14ac:dyDescent="0.3">
      <c r="A39" s="1" t="s">
        <v>37</v>
      </c>
      <c r="B39">
        <v>53</v>
      </c>
      <c r="C39">
        <v>490</v>
      </c>
      <c r="D39">
        <v>1261</v>
      </c>
      <c r="E39">
        <v>1332</v>
      </c>
    </row>
    <row r="40" spans="1:5" x14ac:dyDescent="0.3">
      <c r="A40" s="1" t="s">
        <v>38</v>
      </c>
      <c r="B40">
        <v>20943</v>
      </c>
      <c r="C40">
        <v>21013</v>
      </c>
      <c r="D40">
        <v>23409</v>
      </c>
      <c r="E40">
        <v>22149</v>
      </c>
    </row>
    <row r="41" spans="1:5" x14ac:dyDescent="0.3">
      <c r="A41" s="1" t="s">
        <v>39</v>
      </c>
      <c r="B41">
        <v>34395</v>
      </c>
      <c r="C41">
        <v>34381</v>
      </c>
      <c r="D41">
        <v>35197</v>
      </c>
      <c r="E41">
        <v>39201</v>
      </c>
    </row>
    <row r="42" spans="1:5" x14ac:dyDescent="0.3">
      <c r="A42" s="1" t="s">
        <v>40</v>
      </c>
      <c r="B42">
        <v>14277</v>
      </c>
      <c r="C42">
        <v>14135</v>
      </c>
      <c r="D42">
        <v>15085</v>
      </c>
      <c r="E42">
        <v>17232</v>
      </c>
    </row>
    <row r="43" spans="1:5" x14ac:dyDescent="0.3">
      <c r="A43" s="1" t="s">
        <v>41</v>
      </c>
      <c r="B43">
        <v>20118</v>
      </c>
      <c r="C43">
        <v>20246</v>
      </c>
      <c r="D43">
        <v>20112</v>
      </c>
      <c r="E43">
        <v>21969</v>
      </c>
    </row>
    <row r="44" spans="1:5" x14ac:dyDescent="0.3">
      <c r="A44" s="1" t="s">
        <v>42</v>
      </c>
      <c r="B44">
        <v>20118</v>
      </c>
      <c r="C44">
        <v>20246</v>
      </c>
      <c r="D44">
        <v>20112</v>
      </c>
      <c r="E44">
        <v>21969</v>
      </c>
    </row>
    <row r="45" spans="1:5" x14ac:dyDescent="0.3">
      <c r="A45" s="1" t="s">
        <v>43</v>
      </c>
      <c r="B45">
        <v>20118</v>
      </c>
      <c r="C45">
        <v>20246</v>
      </c>
      <c r="D45">
        <v>21512</v>
      </c>
      <c r="E45">
        <v>22869</v>
      </c>
    </row>
    <row r="46" spans="1:5" x14ac:dyDescent="0.3">
      <c r="A46" s="1" t="s">
        <v>44</v>
      </c>
      <c r="B46">
        <v>-600</v>
      </c>
      <c r="C46">
        <v>-1200</v>
      </c>
      <c r="D46">
        <v>-1400</v>
      </c>
      <c r="E46">
        <v>-900</v>
      </c>
    </row>
    <row r="47" spans="1:5" x14ac:dyDescent="0.3">
      <c r="A47" s="1" t="s">
        <v>45</v>
      </c>
      <c r="B47">
        <v>55338</v>
      </c>
      <c r="C47">
        <v>55394</v>
      </c>
      <c r="D47">
        <v>58606</v>
      </c>
      <c r="E47">
        <v>61350</v>
      </c>
    </row>
    <row r="48" spans="1:5" x14ac:dyDescent="0.3">
      <c r="A48" s="1" t="s">
        <v>46</v>
      </c>
      <c r="B48">
        <v>23402</v>
      </c>
      <c r="C48">
        <v>24596</v>
      </c>
      <c r="D48">
        <v>26553</v>
      </c>
      <c r="E48">
        <v>27471</v>
      </c>
    </row>
    <row r="49" spans="1:5" x14ac:dyDescent="0.3">
      <c r="A49" s="1" t="s">
        <v>47</v>
      </c>
      <c r="B49">
        <v>78740</v>
      </c>
      <c r="C49">
        <v>79990</v>
      </c>
      <c r="D49">
        <v>85159</v>
      </c>
      <c r="E49">
        <v>88821</v>
      </c>
    </row>
    <row r="50" spans="1:5" x14ac:dyDescent="0.3">
      <c r="A50" s="1" t="s">
        <v>48</v>
      </c>
      <c r="B50">
        <v>78740</v>
      </c>
      <c r="C50">
        <v>79990</v>
      </c>
      <c r="D50">
        <v>85159</v>
      </c>
      <c r="E50">
        <v>88821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A43" workbookViewId="0">
      <selection activeCell="K48" sqref="K48"/>
    </sheetView>
  </sheetViews>
  <sheetFormatPr defaultRowHeight="14.4" x14ac:dyDescent="0.3"/>
  <cols>
    <col min="1" max="1" width="42.77734375" customWidth="1"/>
  </cols>
  <sheetData>
    <row r="1" spans="1:6" x14ac:dyDescent="0.3"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 x14ac:dyDescent="0.3">
      <c r="A2" s="1" t="s">
        <v>49</v>
      </c>
      <c r="C2">
        <v>19758</v>
      </c>
      <c r="D2">
        <v>17185</v>
      </c>
      <c r="E2">
        <v>17778</v>
      </c>
      <c r="F2">
        <v>18059</v>
      </c>
    </row>
    <row r="3" spans="1:6" x14ac:dyDescent="0.3">
      <c r="A3" s="1" t="s">
        <v>50</v>
      </c>
      <c r="C3">
        <v>-3456</v>
      </c>
      <c r="D3">
        <v>-6035</v>
      </c>
      <c r="E3">
        <v>-5054</v>
      </c>
      <c r="F3">
        <v>-2432</v>
      </c>
    </row>
    <row r="4" spans="1:6" x14ac:dyDescent="0.3">
      <c r="A4" s="1" t="s">
        <v>51</v>
      </c>
      <c r="C4">
        <v>-2992</v>
      </c>
      <c r="D4">
        <v>-8684</v>
      </c>
      <c r="E4">
        <v>-24524</v>
      </c>
      <c r="F4">
        <v>-11886</v>
      </c>
    </row>
    <row r="5" spans="1:6" x14ac:dyDescent="0.3">
      <c r="A5" s="1" t="s">
        <v>52</v>
      </c>
      <c r="C5">
        <v>2002</v>
      </c>
      <c r="D5">
        <v>16136</v>
      </c>
      <c r="E5">
        <v>21790</v>
      </c>
      <c r="F5">
        <v>21937</v>
      </c>
    </row>
    <row r="6" spans="1:6" x14ac:dyDescent="0.3">
      <c r="A6" s="1" t="s">
        <v>53</v>
      </c>
      <c r="C6">
        <v>0</v>
      </c>
      <c r="D6">
        <v>0</v>
      </c>
      <c r="E6">
        <v>4241</v>
      </c>
      <c r="F6">
        <v>0</v>
      </c>
    </row>
    <row r="7" spans="1:6" x14ac:dyDescent="0.3">
      <c r="A7" s="1" t="s">
        <v>54</v>
      </c>
      <c r="C7">
        <v>-3652</v>
      </c>
      <c r="D7">
        <v>-4009</v>
      </c>
      <c r="E7">
        <v>-5013</v>
      </c>
      <c r="F7">
        <v>-6207</v>
      </c>
    </row>
    <row r="8" spans="1:6" x14ac:dyDescent="0.3">
      <c r="A8" s="1" t="s">
        <v>55</v>
      </c>
      <c r="C8">
        <v>990</v>
      </c>
      <c r="D8">
        <v>982</v>
      </c>
      <c r="E8">
        <v>1836</v>
      </c>
      <c r="F8">
        <v>1990</v>
      </c>
    </row>
    <row r="9" spans="1:6" x14ac:dyDescent="0.3">
      <c r="A9" s="1" t="s">
        <v>56</v>
      </c>
      <c r="C9">
        <v>4768</v>
      </c>
      <c r="D9">
        <v>5223</v>
      </c>
      <c r="E9">
        <v>8574</v>
      </c>
      <c r="F9">
        <v>6714</v>
      </c>
    </row>
    <row r="10" spans="1:6" x14ac:dyDescent="0.3">
      <c r="A10" s="1" t="s">
        <v>57</v>
      </c>
      <c r="C10">
        <v>14487</v>
      </c>
      <c r="D10">
        <v>14127</v>
      </c>
      <c r="E10">
        <v>21859</v>
      </c>
      <c r="F10">
        <v>24105</v>
      </c>
    </row>
    <row r="11" spans="1:6" x14ac:dyDescent="0.3">
      <c r="A11" s="1" t="s">
        <v>58</v>
      </c>
      <c r="C11">
        <v>13985</v>
      </c>
      <c r="D11">
        <v>14487</v>
      </c>
      <c r="E11">
        <v>14127</v>
      </c>
      <c r="F11">
        <v>21859</v>
      </c>
    </row>
    <row r="12" spans="1:6" x14ac:dyDescent="0.3">
      <c r="A12" s="1" t="s">
        <v>59</v>
      </c>
      <c r="C12">
        <v>-178</v>
      </c>
      <c r="D12">
        <v>-312</v>
      </c>
      <c r="E12">
        <v>-112</v>
      </c>
      <c r="F12">
        <v>-289</v>
      </c>
    </row>
    <row r="13" spans="1:6" x14ac:dyDescent="0.3">
      <c r="A13" s="1" t="s">
        <v>60</v>
      </c>
      <c r="C13">
        <v>680</v>
      </c>
      <c r="D13">
        <v>-48</v>
      </c>
      <c r="E13">
        <v>7844</v>
      </c>
      <c r="F13">
        <v>2535</v>
      </c>
    </row>
    <row r="14" spans="1:6" x14ac:dyDescent="0.3">
      <c r="A14" s="1" t="s">
        <v>61</v>
      </c>
      <c r="C14">
        <v>-14047</v>
      </c>
      <c r="D14">
        <v>-8871</v>
      </c>
      <c r="E14">
        <v>-15825</v>
      </c>
      <c r="F14">
        <v>-3132</v>
      </c>
    </row>
    <row r="15" spans="1:6" x14ac:dyDescent="0.3">
      <c r="A15" s="1" t="s">
        <v>62</v>
      </c>
      <c r="C15">
        <v>-14047</v>
      </c>
      <c r="D15">
        <v>-8871</v>
      </c>
      <c r="E15">
        <v>-15825</v>
      </c>
      <c r="F15">
        <v>-3132</v>
      </c>
    </row>
    <row r="16" spans="1:6" x14ac:dyDescent="0.3">
      <c r="A16" s="1" t="s">
        <v>63</v>
      </c>
      <c r="C16">
        <v>395</v>
      </c>
      <c r="D16">
        <v>65</v>
      </c>
      <c r="E16">
        <v>-1602</v>
      </c>
      <c r="F16">
        <v>234</v>
      </c>
    </row>
    <row r="17" spans="1:6" x14ac:dyDescent="0.3">
      <c r="A17" s="1" t="s">
        <v>64</v>
      </c>
      <c r="C17">
        <v>1036</v>
      </c>
      <c r="D17">
        <v>1329</v>
      </c>
      <c r="E17">
        <v>1094</v>
      </c>
      <c r="F17">
        <v>838</v>
      </c>
    </row>
    <row r="18" spans="1:6" x14ac:dyDescent="0.3">
      <c r="A18" s="1" t="s">
        <v>65</v>
      </c>
      <c r="C18">
        <v>-11032</v>
      </c>
      <c r="D18">
        <v>-11682</v>
      </c>
      <c r="E18">
        <v>-11770</v>
      </c>
      <c r="F18">
        <v>-11823</v>
      </c>
    </row>
    <row r="19" spans="1:6" x14ac:dyDescent="0.3">
      <c r="A19" s="1" t="s">
        <v>66</v>
      </c>
      <c r="C19">
        <v>-11032</v>
      </c>
      <c r="D19">
        <v>-11682</v>
      </c>
      <c r="E19">
        <v>-11770</v>
      </c>
      <c r="F19">
        <v>-11823</v>
      </c>
    </row>
    <row r="20" spans="1:6" x14ac:dyDescent="0.3">
      <c r="A20" s="1" t="s">
        <v>67</v>
      </c>
      <c r="C20">
        <v>-3456</v>
      </c>
      <c r="D20">
        <v>-6035</v>
      </c>
      <c r="E20">
        <v>-813</v>
      </c>
      <c r="F20">
        <v>-2432</v>
      </c>
    </row>
    <row r="21" spans="1:6" x14ac:dyDescent="0.3">
      <c r="A21" s="1" t="s">
        <v>68</v>
      </c>
      <c r="C21">
        <v>-3456</v>
      </c>
      <c r="D21">
        <v>-6035</v>
      </c>
      <c r="E21">
        <v>-5054</v>
      </c>
      <c r="F21">
        <v>-2432</v>
      </c>
    </row>
    <row r="22" spans="1:6" x14ac:dyDescent="0.3">
      <c r="A22" s="1" t="s">
        <v>69</v>
      </c>
      <c r="C22">
        <v>0</v>
      </c>
      <c r="D22">
        <v>0</v>
      </c>
      <c r="E22">
        <v>4241</v>
      </c>
      <c r="F22">
        <v>0</v>
      </c>
    </row>
    <row r="23" spans="1:6" x14ac:dyDescent="0.3">
      <c r="A23" s="1" t="s">
        <v>70</v>
      </c>
      <c r="C23">
        <v>-990</v>
      </c>
      <c r="D23">
        <v>7452</v>
      </c>
      <c r="E23">
        <v>-2734</v>
      </c>
      <c r="F23">
        <v>10051</v>
      </c>
    </row>
    <row r="24" spans="1:6" x14ac:dyDescent="0.3">
      <c r="A24" s="1" t="s">
        <v>71</v>
      </c>
      <c r="C24">
        <v>807</v>
      </c>
      <c r="D24">
        <v>9584</v>
      </c>
      <c r="E24">
        <v>-1183</v>
      </c>
      <c r="F24">
        <v>5814</v>
      </c>
    </row>
    <row r="25" spans="1:6" x14ac:dyDescent="0.3">
      <c r="A25" s="1" t="s">
        <v>72</v>
      </c>
      <c r="C25">
        <v>-1190</v>
      </c>
      <c r="D25">
        <v>-6550</v>
      </c>
      <c r="E25">
        <v>-22973</v>
      </c>
      <c r="F25">
        <v>-9463</v>
      </c>
    </row>
    <row r="26" spans="1:6" x14ac:dyDescent="0.3">
      <c r="A26" s="1" t="s">
        <v>73</v>
      </c>
      <c r="C26">
        <v>1997</v>
      </c>
      <c r="D26">
        <v>16134</v>
      </c>
      <c r="E26">
        <v>21790</v>
      </c>
      <c r="F26">
        <v>15277</v>
      </c>
    </row>
    <row r="27" spans="1:6" x14ac:dyDescent="0.3">
      <c r="A27" s="1" t="s">
        <v>74</v>
      </c>
      <c r="C27">
        <v>-1797</v>
      </c>
      <c r="D27">
        <v>-2132</v>
      </c>
      <c r="E27">
        <v>-1551</v>
      </c>
      <c r="F27">
        <v>4237</v>
      </c>
    </row>
    <row r="28" spans="1:6" x14ac:dyDescent="0.3">
      <c r="A28" s="1" t="s">
        <v>75</v>
      </c>
      <c r="C28">
        <v>-1802</v>
      </c>
      <c r="D28">
        <v>-2134</v>
      </c>
      <c r="E28">
        <v>-1551</v>
      </c>
      <c r="F28">
        <v>-2423</v>
      </c>
    </row>
    <row r="29" spans="1:6" x14ac:dyDescent="0.3">
      <c r="A29" s="1" t="s">
        <v>76</v>
      </c>
      <c r="C29">
        <v>5</v>
      </c>
      <c r="D29">
        <v>2</v>
      </c>
      <c r="E29">
        <v>0</v>
      </c>
      <c r="F29">
        <v>6660</v>
      </c>
    </row>
    <row r="30" spans="1:6" x14ac:dyDescent="0.3">
      <c r="A30" s="1" t="s">
        <v>77</v>
      </c>
      <c r="C30">
        <v>-8683</v>
      </c>
      <c r="D30">
        <v>-12371</v>
      </c>
      <c r="E30">
        <v>878</v>
      </c>
      <c r="F30">
        <v>-18599</v>
      </c>
    </row>
    <row r="31" spans="1:6" x14ac:dyDescent="0.3">
      <c r="A31" s="1" t="s">
        <v>78</v>
      </c>
      <c r="C31">
        <v>-8683</v>
      </c>
      <c r="D31">
        <v>-12371</v>
      </c>
      <c r="E31">
        <v>878</v>
      </c>
      <c r="F31">
        <v>-18599</v>
      </c>
    </row>
    <row r="32" spans="1:6" x14ac:dyDescent="0.3">
      <c r="A32" s="1" t="s">
        <v>79</v>
      </c>
      <c r="C32">
        <v>417</v>
      </c>
      <c r="D32">
        <v>65</v>
      </c>
      <c r="E32">
        <v>-2593</v>
      </c>
      <c r="F32">
        <v>2018</v>
      </c>
    </row>
    <row r="33" spans="1:6" x14ac:dyDescent="0.3">
      <c r="A33" s="1" t="s">
        <v>80</v>
      </c>
      <c r="C33">
        <v>-5388</v>
      </c>
      <c r="D33">
        <v>9225</v>
      </c>
      <c r="E33">
        <v>8484</v>
      </c>
      <c r="F33">
        <v>736</v>
      </c>
    </row>
    <row r="34" spans="1:6" x14ac:dyDescent="0.3">
      <c r="A34" s="1" t="s">
        <v>81</v>
      </c>
      <c r="C34">
        <v>25006</v>
      </c>
      <c r="D34">
        <v>41609</v>
      </c>
      <c r="E34">
        <v>19390</v>
      </c>
      <c r="F34">
        <v>2462</v>
      </c>
    </row>
    <row r="35" spans="1:6" x14ac:dyDescent="0.3">
      <c r="A35" s="1" t="s">
        <v>82</v>
      </c>
      <c r="C35">
        <v>-30394</v>
      </c>
      <c r="D35">
        <v>-32384</v>
      </c>
      <c r="E35">
        <v>-10906</v>
      </c>
      <c r="F35">
        <v>-1726</v>
      </c>
    </row>
    <row r="36" spans="1:6" x14ac:dyDescent="0.3">
      <c r="A36" s="1" t="s">
        <v>83</v>
      </c>
      <c r="C36">
        <v>-60</v>
      </c>
      <c r="D36">
        <v>-17652</v>
      </c>
      <c r="E36">
        <v>0</v>
      </c>
      <c r="F36">
        <v>-15146</v>
      </c>
    </row>
    <row r="37" spans="1:6" x14ac:dyDescent="0.3">
      <c r="A37" s="1" t="s">
        <v>84</v>
      </c>
      <c r="C37">
        <v>-60</v>
      </c>
      <c r="D37">
        <v>-17652</v>
      </c>
      <c r="E37">
        <v>0</v>
      </c>
      <c r="F37">
        <v>-15146</v>
      </c>
    </row>
    <row r="38" spans="1:6" x14ac:dyDescent="0.3">
      <c r="A38" s="1" t="s">
        <v>85</v>
      </c>
      <c r="C38">
        <v>0</v>
      </c>
      <c r="D38">
        <v>0</v>
      </c>
      <c r="E38">
        <v>-470</v>
      </c>
      <c r="F38">
        <v>-1783</v>
      </c>
    </row>
    <row r="39" spans="1:6" x14ac:dyDescent="0.3">
      <c r="A39" s="1" t="s">
        <v>86</v>
      </c>
      <c r="C39">
        <v>0</v>
      </c>
      <c r="D39">
        <v>0</v>
      </c>
      <c r="E39">
        <v>-470</v>
      </c>
      <c r="F39">
        <v>-1783</v>
      </c>
    </row>
    <row r="40" spans="1:6" x14ac:dyDescent="0.3">
      <c r="A40" s="1" t="s">
        <v>87</v>
      </c>
      <c r="C40">
        <v>-3652</v>
      </c>
      <c r="D40">
        <v>-4009</v>
      </c>
      <c r="E40">
        <v>-4543</v>
      </c>
      <c r="F40">
        <v>-4424</v>
      </c>
    </row>
    <row r="41" spans="1:6" x14ac:dyDescent="0.3">
      <c r="A41" s="1" t="s">
        <v>88</v>
      </c>
      <c r="C41">
        <v>-3652</v>
      </c>
      <c r="D41">
        <v>-4009</v>
      </c>
      <c r="E41">
        <v>-4543</v>
      </c>
      <c r="F41">
        <v>-4424</v>
      </c>
    </row>
    <row r="42" spans="1:6" x14ac:dyDescent="0.3">
      <c r="A42" s="1" t="s">
        <v>89</v>
      </c>
      <c r="C42">
        <v>23410</v>
      </c>
      <c r="D42">
        <v>21194</v>
      </c>
      <c r="E42">
        <v>22791</v>
      </c>
      <c r="F42">
        <v>24266</v>
      </c>
    </row>
    <row r="43" spans="1:6" x14ac:dyDescent="0.3">
      <c r="A43" s="1" t="s">
        <v>90</v>
      </c>
      <c r="C43">
        <v>23410</v>
      </c>
      <c r="D43">
        <v>21194</v>
      </c>
      <c r="E43">
        <v>22791</v>
      </c>
      <c r="F43">
        <v>24266</v>
      </c>
    </row>
    <row r="44" spans="1:6" x14ac:dyDescent="0.3">
      <c r="A44" s="1" t="s">
        <v>91</v>
      </c>
      <c r="C44">
        <v>-4238</v>
      </c>
      <c r="D44">
        <v>-4011</v>
      </c>
      <c r="E44">
        <v>2507</v>
      </c>
      <c r="F44">
        <v>1837</v>
      </c>
    </row>
    <row r="45" spans="1:6" x14ac:dyDescent="0.3">
      <c r="A45" s="1" t="s">
        <v>92</v>
      </c>
      <c r="C45">
        <v>-1061</v>
      </c>
      <c r="D45">
        <v>-1979</v>
      </c>
      <c r="E45">
        <v>5588</v>
      </c>
      <c r="F45">
        <v>33</v>
      </c>
    </row>
    <row r="46" spans="1:6" x14ac:dyDescent="0.3">
      <c r="A46" s="1" t="s">
        <v>93</v>
      </c>
      <c r="C46">
        <v>-1964</v>
      </c>
      <c r="D46">
        <v>687</v>
      </c>
      <c r="E46">
        <v>-3480</v>
      </c>
      <c r="F46">
        <v>1717</v>
      </c>
    </row>
    <row r="47" spans="1:6" x14ac:dyDescent="0.3">
      <c r="A47" s="1" t="s">
        <v>94</v>
      </c>
      <c r="C47">
        <v>2437</v>
      </c>
      <c r="D47">
        <v>1098</v>
      </c>
      <c r="E47">
        <v>2346</v>
      </c>
      <c r="F47">
        <v>1621</v>
      </c>
    </row>
    <row r="48" spans="1:6" x14ac:dyDescent="0.3">
      <c r="A48" s="1" t="s">
        <v>95</v>
      </c>
      <c r="C48">
        <v>-1248</v>
      </c>
      <c r="D48">
        <v>-2527</v>
      </c>
      <c r="E48">
        <v>-1323</v>
      </c>
      <c r="F48">
        <v>-1128</v>
      </c>
    </row>
    <row r="49" spans="1:6" x14ac:dyDescent="0.3">
      <c r="A49" s="1" t="s">
        <v>96</v>
      </c>
      <c r="C49">
        <v>-2402</v>
      </c>
      <c r="D49">
        <v>-1290</v>
      </c>
      <c r="E49">
        <v>-624</v>
      </c>
      <c r="F49">
        <v>-406</v>
      </c>
    </row>
    <row r="50" spans="1:6" x14ac:dyDescent="0.3">
      <c r="A50" s="1" t="s">
        <v>97</v>
      </c>
      <c r="C50">
        <v>-2402</v>
      </c>
      <c r="D50">
        <v>-1290</v>
      </c>
      <c r="E50">
        <v>-624</v>
      </c>
      <c r="F50">
        <v>-406</v>
      </c>
    </row>
    <row r="51" spans="1:6" x14ac:dyDescent="0.3">
      <c r="A51" s="1" t="s">
        <v>98</v>
      </c>
      <c r="B51">
        <v>-1148</v>
      </c>
      <c r="E51">
        <v>483</v>
      </c>
      <c r="F51">
        <v>1841</v>
      </c>
    </row>
    <row r="52" spans="1:6" x14ac:dyDescent="0.3">
      <c r="A52" s="1" t="s">
        <v>99</v>
      </c>
      <c r="C52">
        <v>1135</v>
      </c>
      <c r="D52">
        <v>1138</v>
      </c>
      <c r="E52">
        <v>1162</v>
      </c>
      <c r="F52">
        <v>1176</v>
      </c>
    </row>
    <row r="53" spans="1:6" x14ac:dyDescent="0.3">
      <c r="A53" s="1" t="s">
        <v>100</v>
      </c>
      <c r="C53">
        <v>-48</v>
      </c>
      <c r="D53">
        <v>-17</v>
      </c>
      <c r="E53">
        <v>0</v>
      </c>
      <c r="F53">
        <v>11</v>
      </c>
    </row>
    <row r="54" spans="1:6" x14ac:dyDescent="0.3">
      <c r="A54" s="1" t="s">
        <v>101</v>
      </c>
      <c r="C54">
        <v>989</v>
      </c>
      <c r="D54">
        <v>1216</v>
      </c>
      <c r="E54">
        <v>1295</v>
      </c>
      <c r="F54">
        <v>405</v>
      </c>
    </row>
    <row r="55" spans="1:6" x14ac:dyDescent="0.3">
      <c r="A55" s="1" t="s">
        <v>102</v>
      </c>
      <c r="C55">
        <v>-2079</v>
      </c>
      <c r="D55">
        <v>-1663</v>
      </c>
      <c r="E55">
        <v>-4194</v>
      </c>
      <c r="F55">
        <v>-2183</v>
      </c>
    </row>
    <row r="56" spans="1:6" x14ac:dyDescent="0.3">
      <c r="A56" s="1" t="s">
        <v>103</v>
      </c>
      <c r="C56">
        <v>-2079</v>
      </c>
      <c r="D56">
        <v>-1663</v>
      </c>
      <c r="E56">
        <v>-4194</v>
      </c>
      <c r="F56">
        <v>-2183</v>
      </c>
    </row>
    <row r="57" spans="1:6" x14ac:dyDescent="0.3">
      <c r="A57" s="1" t="s">
        <v>104</v>
      </c>
      <c r="C57">
        <v>7390</v>
      </c>
      <c r="D57">
        <v>6970</v>
      </c>
      <c r="E57">
        <v>7486</v>
      </c>
      <c r="F57">
        <v>7339</v>
      </c>
    </row>
    <row r="58" spans="1:6" x14ac:dyDescent="0.3">
      <c r="A58" s="1" t="s">
        <v>105</v>
      </c>
      <c r="C58">
        <v>7390</v>
      </c>
      <c r="D58">
        <v>6970</v>
      </c>
      <c r="E58">
        <v>7486</v>
      </c>
      <c r="F58">
        <v>7339</v>
      </c>
    </row>
    <row r="59" spans="1:6" x14ac:dyDescent="0.3">
      <c r="A59" s="1" t="s">
        <v>106</v>
      </c>
      <c r="C59">
        <v>-617</v>
      </c>
      <c r="D59">
        <v>-380</v>
      </c>
      <c r="E59">
        <v>-21101</v>
      </c>
      <c r="F59">
        <v>-226</v>
      </c>
    </row>
    <row r="60" spans="1:6" x14ac:dyDescent="0.3">
      <c r="A60" s="1" t="s">
        <v>107</v>
      </c>
      <c r="C60">
        <v>0</v>
      </c>
      <c r="D60">
        <v>-380</v>
      </c>
      <c r="E60">
        <v>-21101</v>
      </c>
      <c r="F60">
        <v>-226</v>
      </c>
    </row>
    <row r="61" spans="1:6" x14ac:dyDescent="0.3">
      <c r="A61" s="1" t="s">
        <v>108</v>
      </c>
      <c r="C61">
        <v>20878</v>
      </c>
      <c r="D61">
        <v>17941</v>
      </c>
      <c r="E61">
        <v>35153</v>
      </c>
      <c r="F61">
        <v>14066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workbookViewId="0">
      <selection activeCell="F3" sqref="F3"/>
    </sheetView>
  </sheetViews>
  <sheetFormatPr defaultRowHeight="14.4" x14ac:dyDescent="0.3"/>
  <cols>
    <col min="1" max="1" width="49.21875" customWidth="1"/>
  </cols>
  <sheetData>
    <row r="1" spans="1:6" x14ac:dyDescent="0.3"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 x14ac:dyDescent="0.3">
      <c r="A2" s="1" t="s">
        <v>109</v>
      </c>
      <c r="C2">
        <v>490.87799999999999</v>
      </c>
      <c r="D2">
        <v>506.24599999999998</v>
      </c>
      <c r="E2">
        <v>712.76499999999999</v>
      </c>
      <c r="F2">
        <v>712.92100000000005</v>
      </c>
    </row>
    <row r="3" spans="1:6" x14ac:dyDescent="0.3">
      <c r="A3" s="1" t="s">
        <v>110</v>
      </c>
      <c r="C3">
        <v>2628.9650000000001</v>
      </c>
      <c r="D3">
        <v>2613.5970000000002</v>
      </c>
      <c r="E3">
        <v>2407.078</v>
      </c>
      <c r="F3">
        <v>2406.922</v>
      </c>
    </row>
    <row r="4" spans="1:6" x14ac:dyDescent="0.3">
      <c r="A4" s="1" t="s">
        <v>111</v>
      </c>
      <c r="C4">
        <v>3119.8429999999998</v>
      </c>
      <c r="D4">
        <v>3119.8429999999998</v>
      </c>
      <c r="E4">
        <v>3119.8429999999998</v>
      </c>
      <c r="F4">
        <v>3119.8429999999998</v>
      </c>
    </row>
    <row r="5" spans="1:6" x14ac:dyDescent="0.3">
      <c r="A5" s="1" t="s">
        <v>112</v>
      </c>
      <c r="C5">
        <v>19264</v>
      </c>
      <c r="D5">
        <v>26753</v>
      </c>
      <c r="E5">
        <v>7473</v>
      </c>
      <c r="F5">
        <v>12529</v>
      </c>
    </row>
    <row r="6" spans="1:6" x14ac:dyDescent="0.3">
      <c r="A6" s="1" t="s">
        <v>113</v>
      </c>
      <c r="C6">
        <v>33751</v>
      </c>
      <c r="D6">
        <v>39642</v>
      </c>
      <c r="E6">
        <v>29332</v>
      </c>
      <c r="F6">
        <v>36634</v>
      </c>
    </row>
    <row r="7" spans="1:6" x14ac:dyDescent="0.3">
      <c r="A7" s="1" t="s">
        <v>114</v>
      </c>
      <c r="C7">
        <v>-7615</v>
      </c>
      <c r="D7">
        <v>2268</v>
      </c>
      <c r="E7">
        <v>-1959</v>
      </c>
      <c r="F7">
        <v>-10328</v>
      </c>
    </row>
    <row r="8" spans="1:6" x14ac:dyDescent="0.3">
      <c r="A8" s="1" t="s">
        <v>115</v>
      </c>
      <c r="C8">
        <v>107774</v>
      </c>
      <c r="D8">
        <v>116446</v>
      </c>
      <c r="E8">
        <v>98106</v>
      </c>
      <c r="F8">
        <v>108124</v>
      </c>
    </row>
    <row r="9" spans="1:6" x14ac:dyDescent="0.3">
      <c r="A9" s="1" t="s">
        <v>116</v>
      </c>
      <c r="C9">
        <v>15753</v>
      </c>
      <c r="D9">
        <v>-508</v>
      </c>
      <c r="E9">
        <v>7213</v>
      </c>
      <c r="F9">
        <v>5572</v>
      </c>
    </row>
    <row r="10" spans="1:6" x14ac:dyDescent="0.3">
      <c r="A10" s="1" t="s">
        <v>117</v>
      </c>
      <c r="C10">
        <v>-7615</v>
      </c>
      <c r="D10">
        <v>2268</v>
      </c>
      <c r="E10">
        <v>-1959</v>
      </c>
      <c r="F10">
        <v>-10328</v>
      </c>
    </row>
    <row r="11" spans="1:6" x14ac:dyDescent="0.3">
      <c r="A11" s="1" t="s">
        <v>118</v>
      </c>
      <c r="C11">
        <v>74023</v>
      </c>
      <c r="D11">
        <v>76804</v>
      </c>
      <c r="E11">
        <v>68774</v>
      </c>
      <c r="F11">
        <v>71490</v>
      </c>
    </row>
    <row r="12" spans="1:6" x14ac:dyDescent="0.3">
      <c r="A12" s="1" t="s">
        <v>119</v>
      </c>
      <c r="C12">
        <v>104008</v>
      </c>
      <c r="D12">
        <v>103690</v>
      </c>
      <c r="E12">
        <v>94655</v>
      </c>
      <c r="F12">
        <v>102141</v>
      </c>
    </row>
    <row r="13" spans="1:6" x14ac:dyDescent="0.3">
      <c r="A13" s="1" t="s">
        <v>120</v>
      </c>
      <c r="C13">
        <v>74023</v>
      </c>
      <c r="D13">
        <v>76804</v>
      </c>
      <c r="E13">
        <v>68774</v>
      </c>
      <c r="F13">
        <v>71490</v>
      </c>
    </row>
    <row r="14" spans="1:6" x14ac:dyDescent="0.3">
      <c r="A14" s="1" t="s">
        <v>121</v>
      </c>
      <c r="C14">
        <v>74023</v>
      </c>
      <c r="D14">
        <v>76804</v>
      </c>
      <c r="E14">
        <v>68774</v>
      </c>
      <c r="F14">
        <v>71490</v>
      </c>
    </row>
    <row r="15" spans="1:6" x14ac:dyDescent="0.3">
      <c r="A15" s="1" t="s">
        <v>122</v>
      </c>
      <c r="C15">
        <v>-13058</v>
      </c>
      <c r="D15">
        <v>-12967</v>
      </c>
      <c r="E15">
        <v>-12527</v>
      </c>
      <c r="F15">
        <v>-11741</v>
      </c>
    </row>
    <row r="16" spans="1:6" x14ac:dyDescent="0.3">
      <c r="A16" s="1" t="s">
        <v>123</v>
      </c>
      <c r="C16">
        <v>-13058</v>
      </c>
      <c r="D16">
        <v>-12967</v>
      </c>
      <c r="E16">
        <v>-12527</v>
      </c>
      <c r="F16">
        <v>-11741</v>
      </c>
    </row>
    <row r="17" spans="1:6" x14ac:dyDescent="0.3">
      <c r="A17" s="1" t="s">
        <v>124</v>
      </c>
      <c r="C17">
        <v>39099</v>
      </c>
      <c r="D17">
        <v>41694</v>
      </c>
      <c r="E17">
        <v>75662</v>
      </c>
      <c r="F17">
        <v>75680</v>
      </c>
    </row>
    <row r="18" spans="1:6" x14ac:dyDescent="0.3">
      <c r="A18" s="1" t="s">
        <v>125</v>
      </c>
      <c r="B18">
        <v>113890</v>
      </c>
      <c r="C18">
        <v>123060</v>
      </c>
      <c r="D18">
        <v>128345</v>
      </c>
      <c r="E18">
        <v>153843</v>
      </c>
    </row>
    <row r="19" spans="1:6" x14ac:dyDescent="0.3">
      <c r="A19" s="1" t="s">
        <v>126</v>
      </c>
      <c r="C19">
        <v>123060</v>
      </c>
      <c r="D19">
        <v>128345</v>
      </c>
      <c r="E19">
        <v>153843</v>
      </c>
      <c r="F19">
        <v>155791</v>
      </c>
    </row>
    <row r="20" spans="1:6" x14ac:dyDescent="0.3">
      <c r="A20" s="1" t="s">
        <v>127</v>
      </c>
      <c r="C20">
        <v>3120</v>
      </c>
      <c r="D20">
        <v>3120</v>
      </c>
      <c r="E20">
        <v>3120</v>
      </c>
      <c r="F20">
        <v>3120</v>
      </c>
    </row>
    <row r="21" spans="1:6" x14ac:dyDescent="0.3">
      <c r="A21" s="1" t="s">
        <v>128</v>
      </c>
      <c r="C21">
        <v>3120</v>
      </c>
      <c r="D21">
        <v>3120</v>
      </c>
      <c r="E21">
        <v>3120</v>
      </c>
      <c r="F21">
        <v>3120</v>
      </c>
    </row>
    <row r="22" spans="1:6" x14ac:dyDescent="0.3">
      <c r="A22" s="1" t="s">
        <v>129</v>
      </c>
      <c r="C22">
        <v>0</v>
      </c>
      <c r="D22">
        <v>0</v>
      </c>
      <c r="E22">
        <v>0</v>
      </c>
      <c r="F22">
        <v>0</v>
      </c>
    </row>
    <row r="23" spans="1:6" x14ac:dyDescent="0.3">
      <c r="A23" s="1" t="s">
        <v>130</v>
      </c>
      <c r="C23">
        <v>107995</v>
      </c>
      <c r="D23">
        <v>110574</v>
      </c>
      <c r="E23">
        <v>98784</v>
      </c>
      <c r="F23">
        <v>108614</v>
      </c>
    </row>
    <row r="24" spans="1:6" x14ac:dyDescent="0.3">
      <c r="A24" s="1" t="s">
        <v>131</v>
      </c>
      <c r="C24">
        <v>62769</v>
      </c>
      <c r="D24">
        <v>54772</v>
      </c>
      <c r="E24">
        <v>52502</v>
      </c>
      <c r="F24">
        <v>58293</v>
      </c>
    </row>
    <row r="25" spans="1:6" x14ac:dyDescent="0.3">
      <c r="A25" s="1" t="s">
        <v>132</v>
      </c>
      <c r="C25">
        <v>10686</v>
      </c>
      <c r="D25">
        <v>10146</v>
      </c>
      <c r="E25">
        <v>13398</v>
      </c>
      <c r="F25">
        <v>17549</v>
      </c>
    </row>
    <row r="26" spans="1:6" x14ac:dyDescent="0.3">
      <c r="A26" s="1" t="s">
        <v>133</v>
      </c>
      <c r="D26">
        <v>2901</v>
      </c>
      <c r="E26">
        <v>0</v>
      </c>
    </row>
    <row r="27" spans="1:6" x14ac:dyDescent="0.3">
      <c r="A27" s="1" t="s">
        <v>134</v>
      </c>
      <c r="C27">
        <v>8898</v>
      </c>
      <c r="D27">
        <v>6542</v>
      </c>
      <c r="E27">
        <v>7149</v>
      </c>
      <c r="F27">
        <v>7255</v>
      </c>
    </row>
    <row r="28" spans="1:6" x14ac:dyDescent="0.3">
      <c r="A28" s="1" t="s">
        <v>135</v>
      </c>
      <c r="C28">
        <v>5713</v>
      </c>
      <c r="D28">
        <v>4306</v>
      </c>
      <c r="E28">
        <v>2881</v>
      </c>
      <c r="F28">
        <v>390</v>
      </c>
    </row>
    <row r="29" spans="1:6" x14ac:dyDescent="0.3">
      <c r="A29" s="1" t="s">
        <v>136</v>
      </c>
      <c r="C29">
        <v>7487</v>
      </c>
      <c r="D29">
        <v>3991</v>
      </c>
      <c r="E29">
        <v>3193</v>
      </c>
      <c r="F29">
        <v>2448</v>
      </c>
    </row>
    <row r="30" spans="1:6" x14ac:dyDescent="0.3">
      <c r="A30" s="1" t="s">
        <v>137</v>
      </c>
      <c r="C30">
        <v>7487</v>
      </c>
      <c r="D30">
        <v>3991</v>
      </c>
      <c r="E30">
        <v>3193</v>
      </c>
      <c r="F30">
        <v>2448</v>
      </c>
    </row>
    <row r="31" spans="1:6" x14ac:dyDescent="0.3">
      <c r="A31" s="1" t="s">
        <v>138</v>
      </c>
      <c r="C31">
        <v>29985</v>
      </c>
      <c r="D31">
        <v>26886</v>
      </c>
      <c r="E31">
        <v>25881</v>
      </c>
      <c r="F31">
        <v>30651</v>
      </c>
    </row>
    <row r="32" spans="1:6" x14ac:dyDescent="0.3">
      <c r="A32" s="1" t="s">
        <v>139</v>
      </c>
      <c r="C32">
        <v>29985</v>
      </c>
      <c r="D32">
        <v>26886</v>
      </c>
      <c r="E32">
        <v>25881</v>
      </c>
      <c r="F32">
        <v>30651</v>
      </c>
    </row>
    <row r="33" spans="1:6" x14ac:dyDescent="0.3">
      <c r="A33" s="1" t="s">
        <v>140</v>
      </c>
      <c r="C33">
        <v>45226</v>
      </c>
      <c r="D33">
        <v>55802</v>
      </c>
      <c r="E33">
        <v>46282</v>
      </c>
      <c r="F33">
        <v>50321</v>
      </c>
    </row>
    <row r="34" spans="1:6" x14ac:dyDescent="0.3">
      <c r="A34" s="1" t="s">
        <v>141</v>
      </c>
      <c r="D34">
        <v>3590</v>
      </c>
    </row>
    <row r="35" spans="1:6" x14ac:dyDescent="0.3">
      <c r="A35" s="1" t="s">
        <v>142</v>
      </c>
      <c r="C35">
        <v>3766</v>
      </c>
      <c r="D35">
        <v>12756</v>
      </c>
      <c r="E35">
        <v>3451</v>
      </c>
      <c r="F35">
        <v>5983</v>
      </c>
    </row>
    <row r="36" spans="1:6" x14ac:dyDescent="0.3">
      <c r="A36" s="1" t="s">
        <v>143</v>
      </c>
      <c r="C36">
        <v>3766</v>
      </c>
      <c r="D36">
        <v>12756</v>
      </c>
      <c r="E36">
        <v>3451</v>
      </c>
      <c r="F36">
        <v>5983</v>
      </c>
    </row>
    <row r="37" spans="1:6" x14ac:dyDescent="0.3">
      <c r="A37" s="1" t="s">
        <v>144</v>
      </c>
      <c r="C37">
        <v>3586</v>
      </c>
      <c r="D37">
        <v>3049</v>
      </c>
      <c r="E37">
        <v>3993</v>
      </c>
      <c r="F37">
        <v>4126</v>
      </c>
    </row>
    <row r="38" spans="1:6" x14ac:dyDescent="0.3">
      <c r="A38" s="1" t="s">
        <v>145</v>
      </c>
      <c r="C38">
        <v>37874</v>
      </c>
      <c r="D38">
        <v>36407</v>
      </c>
      <c r="E38">
        <v>38838</v>
      </c>
      <c r="F38">
        <v>40212</v>
      </c>
    </row>
    <row r="39" spans="1:6" x14ac:dyDescent="0.3">
      <c r="A39" s="1" t="s">
        <v>146</v>
      </c>
      <c r="C39">
        <v>25707</v>
      </c>
      <c r="D39">
        <v>24298</v>
      </c>
      <c r="E39">
        <v>26213</v>
      </c>
      <c r="F39">
        <v>26129</v>
      </c>
    </row>
    <row r="40" spans="1:6" x14ac:dyDescent="0.3">
      <c r="A40" s="1" t="s">
        <v>147</v>
      </c>
      <c r="C40">
        <v>12167</v>
      </c>
      <c r="D40">
        <v>12109</v>
      </c>
      <c r="E40">
        <v>12625</v>
      </c>
      <c r="F40">
        <v>14083</v>
      </c>
    </row>
    <row r="41" spans="1:6" x14ac:dyDescent="0.3">
      <c r="A41" s="1" t="s">
        <v>148</v>
      </c>
      <c r="C41">
        <v>1112</v>
      </c>
      <c r="D41">
        <v>2220</v>
      </c>
      <c r="E41">
        <v>2993</v>
      </c>
      <c r="F41">
        <v>3772</v>
      </c>
    </row>
    <row r="42" spans="1:6" x14ac:dyDescent="0.3">
      <c r="A42" s="1" t="s">
        <v>149</v>
      </c>
      <c r="C42">
        <v>1112</v>
      </c>
      <c r="D42">
        <v>2220</v>
      </c>
      <c r="E42">
        <v>2993</v>
      </c>
      <c r="F42">
        <v>3772</v>
      </c>
    </row>
    <row r="43" spans="1:6" x14ac:dyDescent="0.3">
      <c r="A43" s="1" t="s">
        <v>150</v>
      </c>
      <c r="C43">
        <v>11055</v>
      </c>
      <c r="D43">
        <v>9889</v>
      </c>
      <c r="E43">
        <v>9632</v>
      </c>
      <c r="F43">
        <v>10311</v>
      </c>
    </row>
    <row r="44" spans="1:6" x14ac:dyDescent="0.3">
      <c r="A44" s="1" t="s">
        <v>151</v>
      </c>
      <c r="C44">
        <v>182018</v>
      </c>
      <c r="D44">
        <v>187378</v>
      </c>
      <c r="E44">
        <v>167558</v>
      </c>
      <c r="F44">
        <v>180104</v>
      </c>
    </row>
    <row r="45" spans="1:6" x14ac:dyDescent="0.3">
      <c r="A45" s="1" t="s">
        <v>152</v>
      </c>
      <c r="C45">
        <v>121039</v>
      </c>
      <c r="D45">
        <v>132084</v>
      </c>
      <c r="E45">
        <v>114063</v>
      </c>
      <c r="F45">
        <v>124211</v>
      </c>
    </row>
    <row r="46" spans="1:6" x14ac:dyDescent="0.3">
      <c r="A46" s="1" t="s">
        <v>153</v>
      </c>
      <c r="C46">
        <v>10216</v>
      </c>
      <c r="D46">
        <v>30619</v>
      </c>
      <c r="E46">
        <v>14153</v>
      </c>
      <c r="F46">
        <v>11414</v>
      </c>
    </row>
    <row r="47" spans="1:6" x14ac:dyDescent="0.3">
      <c r="A47" s="1" t="s">
        <v>154</v>
      </c>
      <c r="C47">
        <v>10223</v>
      </c>
      <c r="D47">
        <v>8947</v>
      </c>
      <c r="E47">
        <v>9279</v>
      </c>
      <c r="F47">
        <v>10461</v>
      </c>
    </row>
    <row r="48" spans="1:6" x14ac:dyDescent="0.3">
      <c r="A48" s="1" t="s">
        <v>155</v>
      </c>
      <c r="C48">
        <v>10223</v>
      </c>
      <c r="D48">
        <v>8947</v>
      </c>
      <c r="E48">
        <v>9279</v>
      </c>
      <c r="F48">
        <v>10461</v>
      </c>
    </row>
    <row r="49" spans="1:6" x14ac:dyDescent="0.3">
      <c r="A49" s="1" t="s">
        <v>156</v>
      </c>
      <c r="C49">
        <v>81638</v>
      </c>
      <c r="D49">
        <v>74536</v>
      </c>
      <c r="E49">
        <v>70733</v>
      </c>
      <c r="F49">
        <v>81818</v>
      </c>
    </row>
    <row r="50" spans="1:6" x14ac:dyDescent="0.3">
      <c r="A50" s="1" t="s">
        <v>157</v>
      </c>
      <c r="C50">
        <v>46392</v>
      </c>
      <c r="D50">
        <v>38489</v>
      </c>
      <c r="E50">
        <v>34175</v>
      </c>
      <c r="F50">
        <v>37618</v>
      </c>
    </row>
    <row r="51" spans="1:6" x14ac:dyDescent="0.3">
      <c r="A51" s="1" t="s">
        <v>158</v>
      </c>
      <c r="C51">
        <v>35246</v>
      </c>
      <c r="D51">
        <v>36047</v>
      </c>
      <c r="E51">
        <v>36558</v>
      </c>
      <c r="F51">
        <v>44200</v>
      </c>
    </row>
    <row r="52" spans="1:6" x14ac:dyDescent="0.3">
      <c r="A52" s="1" t="s">
        <v>159</v>
      </c>
      <c r="C52">
        <v>18962</v>
      </c>
      <c r="D52">
        <v>17982</v>
      </c>
      <c r="E52">
        <v>19898</v>
      </c>
      <c r="F52">
        <v>20518</v>
      </c>
    </row>
    <row r="53" spans="1:6" x14ac:dyDescent="0.3">
      <c r="A53" s="1" t="s">
        <v>160</v>
      </c>
      <c r="C53">
        <v>-28717</v>
      </c>
      <c r="D53">
        <v>-25552</v>
      </c>
      <c r="E53">
        <v>-27878</v>
      </c>
      <c r="F53">
        <v>-28250</v>
      </c>
    </row>
    <row r="54" spans="1:6" x14ac:dyDescent="0.3">
      <c r="A54" s="1" t="s">
        <v>161</v>
      </c>
      <c r="C54">
        <v>47679</v>
      </c>
      <c r="D54">
        <v>43534</v>
      </c>
      <c r="E54">
        <v>47776</v>
      </c>
      <c r="F54">
        <v>48768</v>
      </c>
    </row>
    <row r="55" spans="1:6" x14ac:dyDescent="0.3">
      <c r="A55" s="1" t="s">
        <v>162</v>
      </c>
      <c r="C55">
        <v>4139</v>
      </c>
      <c r="D55">
        <v>4677</v>
      </c>
      <c r="E55">
        <v>5627</v>
      </c>
      <c r="F55">
        <v>6289</v>
      </c>
    </row>
    <row r="56" spans="1:6" x14ac:dyDescent="0.3">
      <c r="A56" s="1" t="s">
        <v>163</v>
      </c>
      <c r="C56">
        <v>29774</v>
      </c>
      <c r="D56">
        <v>26603</v>
      </c>
      <c r="E56">
        <v>28979</v>
      </c>
      <c r="F56">
        <v>29444</v>
      </c>
    </row>
    <row r="57" spans="1:6" x14ac:dyDescent="0.3">
      <c r="A57" s="1" t="s">
        <v>164</v>
      </c>
      <c r="C57">
        <v>12882</v>
      </c>
      <c r="D57">
        <v>11470</v>
      </c>
      <c r="E57">
        <v>12375</v>
      </c>
      <c r="F57">
        <v>12317</v>
      </c>
    </row>
    <row r="58" spans="1:6" x14ac:dyDescent="0.3">
      <c r="A58" s="1" t="s">
        <v>165</v>
      </c>
      <c r="C58">
        <v>884</v>
      </c>
      <c r="D58">
        <v>784</v>
      </c>
      <c r="E58">
        <v>795</v>
      </c>
      <c r="F58">
        <v>718</v>
      </c>
    </row>
    <row r="59" spans="1:6" x14ac:dyDescent="0.3">
      <c r="A59" s="1" t="s">
        <v>166</v>
      </c>
      <c r="C59">
        <v>0</v>
      </c>
      <c r="D59">
        <v>0</v>
      </c>
      <c r="E59">
        <v>0</v>
      </c>
      <c r="F59">
        <v>0</v>
      </c>
    </row>
    <row r="60" spans="1:6" x14ac:dyDescent="0.3">
      <c r="A60" s="1" t="s">
        <v>167</v>
      </c>
      <c r="C60">
        <v>60979</v>
      </c>
      <c r="D60">
        <v>55294</v>
      </c>
      <c r="E60">
        <v>53495</v>
      </c>
      <c r="F60">
        <v>55893</v>
      </c>
    </row>
    <row r="61" spans="1:6" x14ac:dyDescent="0.3">
      <c r="A61" s="1" t="s">
        <v>168</v>
      </c>
      <c r="B61">
        <v>3132</v>
      </c>
      <c r="C61">
        <v>3701</v>
      </c>
    </row>
    <row r="62" spans="1:6" x14ac:dyDescent="0.3">
      <c r="A62" s="1" t="s">
        <v>169</v>
      </c>
      <c r="B62">
        <v>0</v>
      </c>
      <c r="D62">
        <v>5830</v>
      </c>
      <c r="E62">
        <v>0</v>
      </c>
    </row>
    <row r="63" spans="1:6" x14ac:dyDescent="0.3">
      <c r="A63" s="1" t="s">
        <v>170</v>
      </c>
      <c r="B63">
        <v>3132</v>
      </c>
      <c r="C63">
        <v>3701</v>
      </c>
    </row>
    <row r="64" spans="1:6" x14ac:dyDescent="0.3">
      <c r="A64" s="1" t="s">
        <v>171</v>
      </c>
      <c r="C64">
        <v>10387</v>
      </c>
      <c r="D64">
        <v>10268</v>
      </c>
      <c r="E64">
        <v>11181</v>
      </c>
      <c r="F64">
        <v>12444</v>
      </c>
    </row>
    <row r="65" spans="1:6" x14ac:dyDescent="0.3">
      <c r="A65" s="1" t="s">
        <v>172</v>
      </c>
      <c r="C65">
        <v>6508</v>
      </c>
      <c r="D65">
        <v>6972</v>
      </c>
      <c r="E65">
        <v>6874</v>
      </c>
      <c r="F65">
        <v>7292</v>
      </c>
    </row>
    <row r="66" spans="1:6" x14ac:dyDescent="0.3">
      <c r="A66" s="1" t="s">
        <v>173</v>
      </c>
      <c r="C66">
        <v>2287</v>
      </c>
      <c r="D66">
        <v>1577</v>
      </c>
      <c r="E66">
        <v>1952</v>
      </c>
      <c r="F66">
        <v>2815</v>
      </c>
    </row>
    <row r="67" spans="1:6" x14ac:dyDescent="0.3">
      <c r="A67" s="1" t="s">
        <v>174</v>
      </c>
      <c r="C67">
        <v>1592</v>
      </c>
      <c r="D67">
        <v>1719</v>
      </c>
      <c r="E67">
        <v>2355</v>
      </c>
      <c r="F67">
        <v>2337</v>
      </c>
    </row>
    <row r="68" spans="1:6" x14ac:dyDescent="0.3">
      <c r="A68" s="1" t="s">
        <v>175</v>
      </c>
      <c r="C68">
        <v>18984</v>
      </c>
      <c r="D68">
        <v>16915</v>
      </c>
      <c r="E68">
        <v>19387</v>
      </c>
      <c r="F68">
        <v>18927</v>
      </c>
    </row>
    <row r="69" spans="1:6" x14ac:dyDescent="0.3">
      <c r="A69" s="1" t="s">
        <v>176</v>
      </c>
      <c r="C69">
        <v>3701</v>
      </c>
      <c r="D69">
        <v>2876</v>
      </c>
      <c r="E69">
        <v>4514</v>
      </c>
      <c r="F69">
        <v>4085</v>
      </c>
    </row>
    <row r="70" spans="1:6" x14ac:dyDescent="0.3">
      <c r="A70" s="1" t="s">
        <v>177</v>
      </c>
      <c r="C70">
        <v>15283</v>
      </c>
      <c r="D70">
        <v>14039</v>
      </c>
      <c r="E70">
        <v>14873</v>
      </c>
      <c r="F70">
        <v>14842</v>
      </c>
    </row>
    <row r="71" spans="1:6" x14ac:dyDescent="0.3">
      <c r="A71" s="1" t="s">
        <v>178</v>
      </c>
      <c r="C71">
        <v>-230</v>
      </c>
      <c r="D71">
        <v>-169</v>
      </c>
      <c r="E71">
        <v>-166</v>
      </c>
      <c r="F71">
        <v>-167</v>
      </c>
    </row>
    <row r="72" spans="1:6" x14ac:dyDescent="0.3">
      <c r="A72" s="1" t="s">
        <v>179</v>
      </c>
      <c r="C72">
        <v>15513</v>
      </c>
      <c r="D72">
        <v>14208</v>
      </c>
      <c r="E72">
        <v>15039</v>
      </c>
      <c r="F72">
        <v>15009</v>
      </c>
    </row>
    <row r="73" spans="1:6" x14ac:dyDescent="0.3">
      <c r="A73" s="1" t="s">
        <v>180</v>
      </c>
      <c r="C73">
        <v>31608</v>
      </c>
      <c r="D73">
        <v>22281</v>
      </c>
      <c r="E73">
        <v>22927</v>
      </c>
      <c r="F73">
        <v>24522</v>
      </c>
    </row>
    <row r="74" spans="1:6" x14ac:dyDescent="0.3">
      <c r="A74" s="1" t="s">
        <v>181</v>
      </c>
      <c r="C74">
        <v>17121</v>
      </c>
      <c r="D74">
        <v>9392</v>
      </c>
      <c r="E74">
        <v>1068</v>
      </c>
      <c r="F74">
        <v>417</v>
      </c>
    </row>
    <row r="75" spans="1:6" x14ac:dyDescent="0.3">
      <c r="A75" s="1" t="s">
        <v>182</v>
      </c>
      <c r="C75">
        <v>14487</v>
      </c>
      <c r="D75">
        <v>12889</v>
      </c>
      <c r="E75">
        <v>21859</v>
      </c>
      <c r="F75">
        <v>24105</v>
      </c>
    </row>
    <row r="76" spans="1:6" x14ac:dyDescent="0.3">
      <c r="A76" s="1" t="s">
        <v>183</v>
      </c>
      <c r="D76">
        <v>9198</v>
      </c>
      <c r="E76">
        <v>18519</v>
      </c>
      <c r="F76">
        <v>21187</v>
      </c>
    </row>
    <row r="77" spans="1:6" x14ac:dyDescent="0.3">
      <c r="A77" s="1" t="s">
        <v>184</v>
      </c>
      <c r="D77">
        <v>3691</v>
      </c>
      <c r="E77">
        <v>3340</v>
      </c>
      <c r="F77">
        <v>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Operating Forecast</vt:lpstr>
      <vt:lpstr>WACC</vt:lpstr>
      <vt:lpstr>FCF</vt:lpstr>
      <vt:lpstr>Terminal Value</vt:lpstr>
      <vt:lpstr>Discounting</vt:lpstr>
      <vt:lpstr>EV to Equity Value</vt:lpstr>
      <vt:lpstr>FULL DCF</vt:lpstr>
      <vt:lpstr>Income_Statement_FULL</vt:lpstr>
      <vt:lpstr>Cash_Flow_FULL</vt:lpstr>
      <vt:lpstr>Balance_Sheet_FULL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Sinha</cp:lastModifiedBy>
  <dcterms:created xsi:type="dcterms:W3CDTF">2025-12-29T17:32:48Z</dcterms:created>
  <dcterms:modified xsi:type="dcterms:W3CDTF">2025-12-30T15:03:31Z</dcterms:modified>
</cp:coreProperties>
</file>