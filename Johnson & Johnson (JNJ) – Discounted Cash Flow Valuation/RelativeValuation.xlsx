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uyas\Downloads\"/>
    </mc:Choice>
  </mc:AlternateContent>
  <xr:revisionPtr revIDLastSave="0" documentId="13_ncr:1_{3F6383A6-44DC-4AE9-B726-37BFB2E0EB90}" xr6:coauthVersionLast="47" xr6:coauthVersionMax="47" xr10:uidLastSave="{00000000-0000-0000-0000-000000000000}"/>
  <bookViews>
    <workbookView xWindow="-108" yWindow="-108" windowWidth="23256" windowHeight="13176" xr2:uid="{E729D083-302A-4607-8597-4FA807D60325}"/>
  </bookViews>
  <sheets>
    <sheet name="Data (1)" sheetId="2" r:id="rId1"/>
    <sheet name="Data (2)" sheetId="3" r:id="rId2"/>
    <sheet name="Data (3)" sheetId="4" r:id="rId3"/>
    <sheet name="Sheet1" sheetId="1" r:id="rId4"/>
  </sheets>
  <definedNames>
    <definedName name="ExternalData_1" localSheetId="0" hidden="1">'Data (1)'!$A$1:$F$23</definedName>
    <definedName name="ExternalData_1" localSheetId="1" hidden="1">'Data (2)'!$A$1:$F$21</definedName>
    <definedName name="ExternalData_1" localSheetId="2" hidden="1">'Data (3)'!$A$1:$F$12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1" l="1"/>
  <c r="L4" i="1"/>
  <c r="L5" i="1"/>
  <c r="L7" i="1"/>
  <c r="L8" i="1"/>
  <c r="L9" i="1"/>
  <c r="L10" i="1"/>
  <c r="L11" i="1"/>
  <c r="C6" i="1"/>
  <c r="D6" i="1"/>
  <c r="E6" i="1"/>
  <c r="F6" i="1"/>
  <c r="G6" i="1"/>
  <c r="H6" i="1"/>
  <c r="I6" i="1"/>
  <c r="C8" i="1"/>
  <c r="D8" i="1" s="1"/>
  <c r="E8" i="1"/>
  <c r="F8" i="1"/>
  <c r="H8" i="1"/>
  <c r="H12" i="1"/>
  <c r="H11" i="1"/>
  <c r="H10" i="1"/>
  <c r="H9" i="1"/>
  <c r="H7" i="1"/>
  <c r="H5" i="1"/>
  <c r="H4" i="1"/>
  <c r="H3" i="1"/>
  <c r="H2" i="1"/>
  <c r="E11" i="1"/>
  <c r="E10" i="1"/>
  <c r="E9" i="1"/>
  <c r="E7" i="1"/>
  <c r="E5" i="1"/>
  <c r="E4" i="1"/>
  <c r="F11" i="1"/>
  <c r="F10" i="1"/>
  <c r="F9" i="1"/>
  <c r="F7" i="1"/>
  <c r="F5" i="1"/>
  <c r="F4" i="1"/>
  <c r="F3" i="1"/>
  <c r="E3" i="1"/>
  <c r="F2" i="1"/>
  <c r="E2" i="1"/>
  <c r="C11" i="1"/>
  <c r="D11" i="1" s="1"/>
  <c r="C10" i="1"/>
  <c r="D10" i="1" s="1"/>
  <c r="C9" i="1"/>
  <c r="D9" i="1" s="1"/>
  <c r="C7" i="1"/>
  <c r="D7" i="1" s="1"/>
  <c r="C5" i="1"/>
  <c r="D5" i="1" s="1"/>
  <c r="C4" i="1"/>
  <c r="D4" i="1" s="1"/>
  <c r="C3" i="1"/>
  <c r="D3" i="1" s="1"/>
  <c r="C2" i="1"/>
  <c r="D2" i="1" s="1"/>
  <c r="D13" i="1" l="1"/>
  <c r="J2" i="1" s="1"/>
  <c r="J3" i="1"/>
  <c r="J4" i="1"/>
  <c r="J5" i="1"/>
  <c r="J7" i="1"/>
  <c r="J9" i="1"/>
  <c r="J10" i="1"/>
  <c r="J11" i="1"/>
  <c r="J8" i="1"/>
  <c r="J6" i="1"/>
  <c r="L6" i="1" s="1"/>
  <c r="G8" i="1"/>
  <c r="I8" i="1" s="1"/>
  <c r="G2" i="1"/>
  <c r="I2" i="1" s="1"/>
  <c r="L2" i="1" s="1"/>
  <c r="L12" i="1" s="1"/>
  <c r="C14" i="1" s="1"/>
  <c r="C16" i="1" s="1"/>
  <c r="C17" i="1" s="1"/>
  <c r="C18" i="1" s="1"/>
  <c r="G5" i="1"/>
  <c r="I5" i="1"/>
  <c r="G4" i="1"/>
  <c r="I4" i="1" s="1"/>
  <c r="G9" i="1"/>
  <c r="I9" i="1" s="1"/>
  <c r="G10" i="1"/>
  <c r="I10" i="1" s="1"/>
  <c r="G3" i="1"/>
  <c r="I3" i="1" s="1"/>
  <c r="G11" i="1"/>
  <c r="I11" i="1" s="1"/>
  <c r="G7" i="1"/>
  <c r="I7" i="1" s="1"/>
  <c r="K2" i="1" l="1"/>
  <c r="B16" i="1" s="1"/>
  <c r="B14" i="1"/>
  <c r="B17" i="1" l="1"/>
  <c r="B18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EB8CD99-540A-4D61-9724-D8ACC2548E40}" keepAlive="1" name="Query - Data" description="Connection to the 'Data' query in the workbook." type="5" refreshedVersion="8" background="1" saveData="1">
    <dbPr connection="Provider=Microsoft.Mashup.OleDb.1;Data Source=$Workbook$;Location=Data;Extended Properties=&quot;&quot;" command="SELECT * FROM [Data]"/>
  </connection>
  <connection id="2" xr16:uid="{41929C1A-FD4E-41FA-8965-DB346503BF91}" keepAlive="1" name="Query - Data (2)" description="Connection to the 'Data (2)' query in the workbook." type="5" refreshedVersion="8" background="1" saveData="1">
    <dbPr connection="Provider=Microsoft.Mashup.OleDb.1;Data Source=$Workbook$;Location=&quot;Data (2)&quot;;Extended Properties=&quot;&quot;" command="SELECT * FROM [Data (2)]"/>
  </connection>
  <connection id="3" xr16:uid="{F12D0963-3925-4BCB-966F-11DE02D2B862}" keepAlive="1" name="Query - Data (3)" description="Connection to the 'Data (3)' query in the workbook." type="5" refreshedVersion="8" background="1" saveData="1">
    <dbPr connection="Provider=Microsoft.Mashup.OleDb.1;Data Source=$Workbook$;Location=&quot;Data (3)&quot;;Extended Properties=&quot;&quot;" command="SELECT * FROM [Data (3)]"/>
  </connection>
  <connection id="4" xr16:uid="{C645C256-C8DD-4BAF-A605-8EB6B3E95465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5" xr16:uid="{0F5F5EF6-BD4D-4D04-AC0D-4CDCB4CF5100}" keepAlive="1" name="Query - Parameter2" description="Connection to the 'Parameter2' query in the workbook." type="5" refreshedVersion="0" background="1">
    <dbPr connection="Provider=Microsoft.Mashup.OleDb.1;Data Source=$Workbook$;Location=Parameter2;Extended Properties=&quot;&quot;" command="SELECT * FROM [Parameter2]"/>
  </connection>
  <connection id="6" xr16:uid="{CC585670-C32B-4CD3-B463-95585341F0BD}" keepAlive="1" name="Query - Parameter3" description="Connection to the 'Parameter3' query in the workbook." type="5" refreshedVersion="0" background="1">
    <dbPr connection="Provider=Microsoft.Mashup.OleDb.1;Data Source=$Workbook$;Location=Parameter3;Extended Properties=&quot;&quot;" command="SELECT * FROM [Parameter3]"/>
  </connection>
  <connection id="7" xr16:uid="{4FC0978D-F839-4F9E-9676-64DC590B9DFB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8" xr16:uid="{5787D2C7-48D5-488C-AB54-1733D4218DE3}" keepAlive="1" name="Query - Sample File (2)" description="Connection to the 'Sample File (2)' query in the workbook." type="5" refreshedVersion="0" background="1">
    <dbPr connection="Provider=Microsoft.Mashup.OleDb.1;Data Source=$Workbook$;Location=&quot;Sample File (2)&quot;;Extended Properties=&quot;&quot;" command="SELECT * FROM [Sample File (2)]"/>
  </connection>
  <connection id="9" xr16:uid="{4CE41BA8-2CEF-49A7-BA3E-304F164B43AF}" keepAlive="1" name="Query - Sample File (3)" description="Connection to the 'Sample File (3)' query in the workbook." type="5" refreshedVersion="0" background="1">
    <dbPr connection="Provider=Microsoft.Mashup.OleDb.1;Data Source=$Workbook$;Location=&quot;Sample File (3)&quot;;Extended Properties=&quot;&quot;" command="SELECT * FROM [Sample File (3)]"/>
  </connection>
  <connection id="10" xr16:uid="{907B0A58-C64B-4F8E-A27C-DFDB4DC1DBF4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11" xr16:uid="{0B96A9C0-B0A4-413A-B15B-F77405526BA5}" keepAlive="1" name="Query - Transform File (2)" description="Connection to the 'Transform File (2)' query in the workbook." type="5" refreshedVersion="0" background="1">
    <dbPr connection="Provider=Microsoft.Mashup.OleDb.1;Data Source=$Workbook$;Location=&quot;Transform File (2)&quot;;Extended Properties=&quot;&quot;" command="SELECT * FROM [Transform File (2)]"/>
  </connection>
  <connection id="12" xr16:uid="{2A0BA5E1-3857-47FD-B2AD-D39049EE5F67}" keepAlive="1" name="Query - Transform File (3)" description="Connection to the 'Transform File (3)' query in the workbook." type="5" refreshedVersion="0" background="1">
    <dbPr connection="Provider=Microsoft.Mashup.OleDb.1;Data Source=$Workbook$;Location=&quot;Transform File (3)&quot;;Extended Properties=&quot;&quot;" command="SELECT * FROM [Transform File (3)]"/>
  </connection>
  <connection id="13" xr16:uid="{D381E726-3DCE-4871-8762-643FE82AC61E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  <connection id="14" xr16:uid="{7A456192-BEFE-458A-B342-D6D4FFEB3CDC}" keepAlive="1" name="Query - Transform Sample File (2)" description="Connection to the 'Transform Sample File (2)' query in the workbook." type="5" refreshedVersion="0" background="1">
    <dbPr connection="Provider=Microsoft.Mashup.OleDb.1;Data Source=$Workbook$;Location=&quot;Transform Sample File (2)&quot;;Extended Properties=&quot;&quot;" command="SELECT * FROM [Transform Sample File (2)]"/>
  </connection>
  <connection id="15" xr16:uid="{A9D7018D-91FC-44AD-9B56-8ECA911347AF}" keepAlive="1" name="Query - Transform Sample File (3)" description="Connection to the 'Transform Sample File (3)' query in the workbook." type="5" refreshedVersion="0" background="1">
    <dbPr connection="Provider=Microsoft.Mashup.OleDb.1;Data Source=$Workbook$;Location=&quot;Transform Sample File (3)&quot;;Extended Properties=&quot;&quot;" command="SELECT * FROM [Transform Sample File (3)]"/>
  </connection>
</connections>
</file>

<file path=xl/sharedStrings.xml><?xml version="1.0" encoding="utf-8"?>
<sst xmlns="http://schemas.openxmlformats.org/spreadsheetml/2006/main" count="151" uniqueCount="47">
  <si>
    <t>Source.Name</t>
  </si>
  <si>
    <t>Column1</t>
  </si>
  <si>
    <t>Column2</t>
  </si>
  <si>
    <t>Column3</t>
  </si>
  <si>
    <t>Column4</t>
  </si>
  <si>
    <t>Column5</t>
  </si>
  <si>
    <t>ABBV_FULL_IS_CF_BS.xlsx</t>
  </si>
  <si>
    <t>Total Debt</t>
  </si>
  <si>
    <t>Cash And Cash Equivalents</t>
  </si>
  <si>
    <t>AMGN_FULL_IS_CF_BS.xlsx</t>
  </si>
  <si>
    <t>AZN_FULL_IS_CF_BS.xlsx</t>
  </si>
  <si>
    <t>BMY_FULL_IS_CF_BS.xlsx</t>
  </si>
  <si>
    <t>LLY_FULL_IS_CF_BS.xlsx</t>
  </si>
  <si>
    <t>MRK_FULL_IS_CF_BS.xlsx</t>
  </si>
  <si>
    <t>NVO_FULL_IS_CF_BS.xlsx</t>
  </si>
  <si>
    <t>PFE_FULL_IS_CF_BS.xlsx</t>
  </si>
  <si>
    <t>RHHBY_FULL_IS_CF_BS.xlsx</t>
  </si>
  <si>
    <t>SAN_FULL_IS_CF_BS.xlsx</t>
  </si>
  <si>
    <t>UNH_FULL_IS_CF_BS.xlsx</t>
  </si>
  <si>
    <t>EBITDA</t>
  </si>
  <si>
    <t>EBIT</t>
  </si>
  <si>
    <t>Ordinary Shares Number</t>
  </si>
  <si>
    <t>Company</t>
  </si>
  <si>
    <t>Price(USD)</t>
  </si>
  <si>
    <t>Shares Outstanding(In Billions)</t>
  </si>
  <si>
    <t>Market Cap(In Billions)</t>
  </si>
  <si>
    <t>Total Debt(In Billions)</t>
  </si>
  <si>
    <t>Cash</t>
  </si>
  <si>
    <t>Enterprise Value</t>
  </si>
  <si>
    <t>EV/EBITDA</t>
  </si>
  <si>
    <t>Weights</t>
  </si>
  <si>
    <t>Abbvie</t>
  </si>
  <si>
    <t>Amgen</t>
  </si>
  <si>
    <t>Astrazeneca</t>
  </si>
  <si>
    <t>Bristol  Meyers</t>
  </si>
  <si>
    <t xml:space="preserve"> Eli Lilly</t>
  </si>
  <si>
    <t>Merck</t>
  </si>
  <si>
    <t>Novo Nordisk</t>
  </si>
  <si>
    <t>Pfizer</t>
  </si>
  <si>
    <t>Roche</t>
  </si>
  <si>
    <t>United Health Group</t>
  </si>
  <si>
    <t>Johnson&amp;Johnson</t>
  </si>
  <si>
    <t>Equal Weighted</t>
  </si>
  <si>
    <t>M-Cap Weighted</t>
  </si>
  <si>
    <t>Average Industry EV/EBITDA</t>
  </si>
  <si>
    <t>Mcap</t>
  </si>
  <si>
    <t>Share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</si>
</sst>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2" fontId="0" fillId="0" borderId="0" xfId="0" applyNumberFormat="1"/>
    <xf numFmtId="0" fontId="1" fillId="2" borderId="0" xfId="0" applyFont="1" applyFill="1"/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8FFDEEE-55BB-4860-9E94-AE0DF1DDF2DF}" autoFormatId="16" applyNumberFormats="0" applyBorderFormats="0" applyFontFormats="0" applyPatternFormats="0" applyAlignmentFormats="0" applyWidthHeightFormats="0">
  <queryTableRefresh nextId="7">
    <queryTableFields count="6">
      <queryTableField id="1" name="Source.Name" tableColumnId="1"/>
      <queryTableField id="2" name="Column1" tableColumnId="2"/>
      <queryTableField id="3" name="Column2" tableColumnId="3"/>
      <queryTableField id="4" name="Column3" tableColumnId="4"/>
      <queryTableField id="5" name="Column4" tableColumnId="5"/>
      <queryTableField id="6" name="Column5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C0E2DFCF-895F-4083-A647-EBE845232929}" autoFormatId="16" applyNumberFormats="0" applyBorderFormats="0" applyFontFormats="0" applyPatternFormats="0" applyAlignmentFormats="0" applyWidthHeightFormats="0">
  <queryTableRefresh nextId="7">
    <queryTableFields count="6">
      <queryTableField id="1" name="Source.Name" tableColumnId="1"/>
      <queryTableField id="2" name="Column1" tableColumnId="2"/>
      <queryTableField id="3" name="Column2" tableColumnId="3"/>
      <queryTableField id="4" name="Column3" tableColumnId="4"/>
      <queryTableField id="5" name="Column4" tableColumnId="5"/>
      <queryTableField id="6" name="Column5" tableColumnId="6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00CAA64C-F9B8-4947-A786-C451B233B085}" autoFormatId="16" applyNumberFormats="0" applyBorderFormats="0" applyFontFormats="0" applyPatternFormats="0" applyAlignmentFormats="0" applyWidthHeightFormats="0">
  <queryTableRefresh nextId="7">
    <queryTableFields count="6">
      <queryTableField id="1" name="Source.Name" tableColumnId="1"/>
      <queryTableField id="2" name="Column1" tableColumnId="2"/>
      <queryTableField id="3" name="Column2" tableColumnId="3"/>
      <queryTableField id="4" name="Column3" tableColumnId="4"/>
      <queryTableField id="5" name="Column4" tableColumnId="5"/>
      <queryTableField id="6" name="Column5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9A5C719-D268-4361-BEB8-749A0E107469}" name="Data" displayName="Data" ref="A1:F23" tableType="queryTable" totalsRowShown="0">
  <autoFilter ref="A1:F23" xr:uid="{89A5C719-D268-4361-BEB8-749A0E107469}"/>
  <tableColumns count="6">
    <tableColumn id="1" xr3:uid="{AAFD059F-7A58-49B9-8EEC-E9E9217FC04E}" uniqueName="1" name="Source.Name" queryTableFieldId="1" dataDxfId="5"/>
    <tableColumn id="2" xr3:uid="{2371726F-0DBF-4044-88E5-66193392B88C}" uniqueName="2" name="Column1" queryTableFieldId="2" dataDxfId="4"/>
    <tableColumn id="3" xr3:uid="{238A3CE4-2D37-453F-8101-D0C50742178A}" uniqueName="3" name="Column2" queryTableFieldId="3"/>
    <tableColumn id="4" xr3:uid="{1B1BF13C-3D29-42A8-9E00-655B66F85399}" uniqueName="4" name="Column3" queryTableFieldId="4"/>
    <tableColumn id="5" xr3:uid="{C1DB3203-3AAD-4E6D-ABE9-CE51A42444E6}" uniqueName="5" name="Column4" queryTableFieldId="5"/>
    <tableColumn id="6" xr3:uid="{6A58D08E-0AE5-40BF-8AD0-21485F3DC0A0}" uniqueName="6" name="Column5" queryTableFieldId="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C3801C7-BC4D-4509-B838-8CADE4E80FA2}" name="Data__2" displayName="Data__2" ref="A1:F21" tableType="queryTable" totalsRowShown="0">
  <autoFilter ref="A1:F21" xr:uid="{8C3801C7-BC4D-4509-B838-8CADE4E80FA2}"/>
  <tableColumns count="6">
    <tableColumn id="1" xr3:uid="{AB063604-ED90-4A96-A72F-361B415B149B}" uniqueName="1" name="Source.Name" queryTableFieldId="1" dataDxfId="3"/>
    <tableColumn id="2" xr3:uid="{071964B8-CEFA-4286-AA1B-1565B711F035}" uniqueName="2" name="Column1" queryTableFieldId="2" dataDxfId="2"/>
    <tableColumn id="3" xr3:uid="{462EB440-43D8-4BC0-A86E-95BE2A70F00F}" uniqueName="3" name="Column2" queryTableFieldId="3"/>
    <tableColumn id="4" xr3:uid="{33E79911-F5E2-4048-B032-11E936D32FB7}" uniqueName="4" name="Column3" queryTableFieldId="4"/>
    <tableColumn id="5" xr3:uid="{2BB51A8F-21C8-4020-A16F-222054FB23A2}" uniqueName="5" name="Column4" queryTableFieldId="5"/>
    <tableColumn id="6" xr3:uid="{BD41480D-B147-4B5A-A862-029313D89303}" uniqueName="6" name="Column5" queryTableFieldId="6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252969C-26F2-4234-A2C9-9678ACE43609}" name="Data__3" displayName="Data__3" ref="A1:F12" tableType="queryTable" totalsRowShown="0">
  <autoFilter ref="A1:F12" xr:uid="{9252969C-26F2-4234-A2C9-9678ACE43609}"/>
  <tableColumns count="6">
    <tableColumn id="1" xr3:uid="{34D54D0C-42ED-4263-A26B-C1C6DA2D6FFB}" uniqueName="1" name="Source.Name" queryTableFieldId="1" dataDxfId="1"/>
    <tableColumn id="2" xr3:uid="{A450ACD6-830C-4DC9-8ED5-B530A0661B67}" uniqueName="2" name="Column1" queryTableFieldId="2" dataDxfId="0"/>
    <tableColumn id="3" xr3:uid="{FDA3E821-3E4B-441B-B238-6A5AB0C64AB3}" uniqueName="3" name="Column2" queryTableFieldId="3"/>
    <tableColumn id="4" xr3:uid="{F466F103-1F70-4AF8-98F8-0EE33039B932}" uniqueName="4" name="Column3" queryTableFieldId="4"/>
    <tableColumn id="5" xr3:uid="{F051D37C-1283-45C5-A518-3FADFEEDFCF3}" uniqueName="5" name="Column4" queryTableFieldId="5"/>
    <tableColumn id="6" xr3:uid="{46BD810A-2B91-4AF6-8B17-1A3AA5F552AF}" uniqueName="6" name="Column5" queryTableFieldId="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C2EC43-6A62-4864-9966-F02A3C61D43D}">
  <dimension ref="A1:F23"/>
  <sheetViews>
    <sheetView tabSelected="1" topLeftCell="A6" workbookViewId="0">
      <selection activeCell="C30" sqref="C30"/>
    </sheetView>
  </sheetViews>
  <sheetFormatPr defaultRowHeight="14.4" x14ac:dyDescent="0.3"/>
  <cols>
    <col min="1" max="1" width="23.5546875" bestFit="1" customWidth="1"/>
    <col min="2" max="2" width="22.6640625" bestFit="1" customWidth="1"/>
    <col min="3" max="6" width="10.664062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>
        <v>76684</v>
      </c>
      <c r="D2">
        <v>63271</v>
      </c>
      <c r="E2">
        <v>59385</v>
      </c>
      <c r="F2">
        <v>67144</v>
      </c>
    </row>
    <row r="3" spans="1:6" x14ac:dyDescent="0.3">
      <c r="A3" t="s">
        <v>6</v>
      </c>
      <c r="B3" t="s">
        <v>8</v>
      </c>
      <c r="C3">
        <v>9746</v>
      </c>
      <c r="D3">
        <v>9201</v>
      </c>
      <c r="E3">
        <v>12814</v>
      </c>
      <c r="F3">
        <v>5524</v>
      </c>
    </row>
    <row r="4" spans="1:6" x14ac:dyDescent="0.3">
      <c r="A4" t="s">
        <v>9</v>
      </c>
      <c r="B4" t="s">
        <v>7</v>
      </c>
      <c r="C4">
        <v>33309</v>
      </c>
      <c r="D4">
        <v>38945</v>
      </c>
      <c r="E4">
        <v>64613</v>
      </c>
      <c r="F4">
        <v>60099</v>
      </c>
    </row>
    <row r="5" spans="1:6" x14ac:dyDescent="0.3">
      <c r="A5" t="s">
        <v>9</v>
      </c>
      <c r="B5" t="s">
        <v>8</v>
      </c>
      <c r="C5">
        <v>7989</v>
      </c>
      <c r="D5">
        <v>7629</v>
      </c>
      <c r="E5">
        <v>10944</v>
      </c>
      <c r="F5">
        <v>11973</v>
      </c>
    </row>
    <row r="6" spans="1:6" x14ac:dyDescent="0.3">
      <c r="A6" t="s">
        <v>10</v>
      </c>
      <c r="B6" t="s">
        <v>7</v>
      </c>
      <c r="C6">
        <v>30688</v>
      </c>
      <c r="D6">
        <v>29143</v>
      </c>
      <c r="E6">
        <v>28407</v>
      </c>
      <c r="F6">
        <v>30114</v>
      </c>
    </row>
    <row r="7" spans="1:6" x14ac:dyDescent="0.3">
      <c r="A7" t="s">
        <v>10</v>
      </c>
      <c r="B7" t="s">
        <v>8</v>
      </c>
      <c r="C7">
        <v>6329</v>
      </c>
      <c r="D7">
        <v>6166</v>
      </c>
      <c r="E7">
        <v>5840</v>
      </c>
      <c r="F7">
        <v>5488</v>
      </c>
    </row>
    <row r="8" spans="1:6" x14ac:dyDescent="0.3">
      <c r="A8" t="s">
        <v>11</v>
      </c>
      <c r="B8" t="s">
        <v>7</v>
      </c>
      <c r="C8">
        <v>45596</v>
      </c>
      <c r="D8">
        <v>40717</v>
      </c>
      <c r="E8">
        <v>41464</v>
      </c>
      <c r="F8">
        <v>51200</v>
      </c>
    </row>
    <row r="9" spans="1:6" x14ac:dyDescent="0.3">
      <c r="A9" t="s">
        <v>11</v>
      </c>
      <c r="B9" t="s">
        <v>8</v>
      </c>
      <c r="C9">
        <v>13979</v>
      </c>
      <c r="D9">
        <v>9123</v>
      </c>
      <c r="E9">
        <v>11464</v>
      </c>
      <c r="F9">
        <v>10346</v>
      </c>
    </row>
    <row r="10" spans="1:6" x14ac:dyDescent="0.3">
      <c r="A10" t="s">
        <v>12</v>
      </c>
      <c r="B10" t="s">
        <v>7</v>
      </c>
      <c r="C10">
        <v>16884.7</v>
      </c>
      <c r="D10">
        <v>16238.6</v>
      </c>
      <c r="E10">
        <v>25225.3</v>
      </c>
      <c r="F10">
        <v>33644.199999999997</v>
      </c>
    </row>
    <row r="11" spans="1:6" x14ac:dyDescent="0.3">
      <c r="A11" t="s">
        <v>12</v>
      </c>
      <c r="B11" t="s">
        <v>8</v>
      </c>
      <c r="C11">
        <v>3818.5</v>
      </c>
      <c r="D11">
        <v>2067</v>
      </c>
      <c r="E11">
        <v>2818.6</v>
      </c>
      <c r="F11">
        <v>3268.4</v>
      </c>
    </row>
    <row r="12" spans="1:6" x14ac:dyDescent="0.3">
      <c r="A12" t="s">
        <v>13</v>
      </c>
      <c r="B12" t="s">
        <v>7</v>
      </c>
      <c r="C12">
        <v>33102</v>
      </c>
      <c r="D12">
        <v>30691</v>
      </c>
      <c r="E12">
        <v>35055</v>
      </c>
      <c r="F12">
        <v>37111</v>
      </c>
    </row>
    <row r="13" spans="1:6" x14ac:dyDescent="0.3">
      <c r="A13" t="s">
        <v>13</v>
      </c>
      <c r="B13" t="s">
        <v>8</v>
      </c>
      <c r="C13">
        <v>8096</v>
      </c>
      <c r="D13">
        <v>12694</v>
      </c>
      <c r="E13">
        <v>6841</v>
      </c>
      <c r="F13">
        <v>13242</v>
      </c>
    </row>
    <row r="14" spans="1:6" x14ac:dyDescent="0.3">
      <c r="A14" t="s">
        <v>14</v>
      </c>
      <c r="B14" t="s">
        <v>7</v>
      </c>
      <c r="C14">
        <v>26645</v>
      </c>
      <c r="D14">
        <v>25784</v>
      </c>
      <c r="E14">
        <v>27006</v>
      </c>
      <c r="F14">
        <v>102787</v>
      </c>
    </row>
    <row r="15" spans="1:6" x14ac:dyDescent="0.3">
      <c r="A15" t="s">
        <v>14</v>
      </c>
      <c r="B15" t="s">
        <v>8</v>
      </c>
      <c r="C15">
        <v>10720</v>
      </c>
      <c r="D15">
        <v>12653</v>
      </c>
      <c r="E15">
        <v>14392</v>
      </c>
      <c r="F15">
        <v>15655</v>
      </c>
    </row>
    <row r="16" spans="1:6" x14ac:dyDescent="0.3">
      <c r="A16" t="s">
        <v>15</v>
      </c>
      <c r="B16" t="s">
        <v>7</v>
      </c>
      <c r="C16">
        <v>36998</v>
      </c>
      <c r="D16">
        <v>34859</v>
      </c>
      <c r="E16">
        <v>70845</v>
      </c>
      <c r="F16">
        <v>63649</v>
      </c>
    </row>
    <row r="17" spans="1:6" x14ac:dyDescent="0.3">
      <c r="A17" t="s">
        <v>15</v>
      </c>
      <c r="B17" t="s">
        <v>8</v>
      </c>
      <c r="C17">
        <v>1944</v>
      </c>
      <c r="D17">
        <v>416</v>
      </c>
      <c r="E17">
        <v>2853</v>
      </c>
      <c r="F17">
        <v>1043</v>
      </c>
    </row>
    <row r="18" spans="1:6" x14ac:dyDescent="0.3">
      <c r="A18" t="s">
        <v>16</v>
      </c>
      <c r="B18" t="s">
        <v>7</v>
      </c>
      <c r="C18">
        <v>32552</v>
      </c>
      <c r="D18">
        <v>26544</v>
      </c>
      <c r="E18">
        <v>30782</v>
      </c>
      <c r="F18">
        <v>36354</v>
      </c>
    </row>
    <row r="19" spans="1:6" x14ac:dyDescent="0.3">
      <c r="A19" t="s">
        <v>16</v>
      </c>
      <c r="B19" t="s">
        <v>8</v>
      </c>
      <c r="C19">
        <v>6850</v>
      </c>
      <c r="D19">
        <v>4991</v>
      </c>
      <c r="E19">
        <v>5376</v>
      </c>
      <c r="F19">
        <v>6975</v>
      </c>
    </row>
    <row r="20" spans="1:6" x14ac:dyDescent="0.3">
      <c r="A20" t="s">
        <v>17</v>
      </c>
      <c r="B20" t="s">
        <v>7</v>
      </c>
      <c r="C20">
        <v>249019</v>
      </c>
      <c r="D20">
        <v>282961</v>
      </c>
      <c r="E20">
        <v>310979</v>
      </c>
      <c r="F20">
        <v>327723</v>
      </c>
    </row>
    <row r="21" spans="1:6" x14ac:dyDescent="0.3">
      <c r="A21" t="s">
        <v>17</v>
      </c>
      <c r="B21" t="s">
        <v>8</v>
      </c>
      <c r="C21">
        <v>234805</v>
      </c>
      <c r="D21">
        <v>247227</v>
      </c>
      <c r="E21">
        <v>246895</v>
      </c>
      <c r="F21">
        <v>217892</v>
      </c>
    </row>
    <row r="22" spans="1:6" x14ac:dyDescent="0.3">
      <c r="A22" t="s">
        <v>18</v>
      </c>
      <c r="B22" t="s">
        <v>7</v>
      </c>
      <c r="C22">
        <v>46003</v>
      </c>
      <c r="D22">
        <v>57623</v>
      </c>
      <c r="E22">
        <v>62537</v>
      </c>
      <c r="F22">
        <v>76904</v>
      </c>
    </row>
    <row r="23" spans="1:6" x14ac:dyDescent="0.3">
      <c r="A23" t="s">
        <v>18</v>
      </c>
      <c r="B23" t="s">
        <v>8</v>
      </c>
      <c r="C23">
        <v>21375</v>
      </c>
      <c r="D23">
        <v>23365</v>
      </c>
      <c r="E23">
        <v>25427</v>
      </c>
      <c r="F23">
        <v>25312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24092-E68B-4E8E-A5BD-4F48A56B7134}">
  <dimension ref="A1:F21"/>
  <sheetViews>
    <sheetView workbookViewId="0">
      <selection activeCell="F3" sqref="F3"/>
    </sheetView>
  </sheetViews>
  <sheetFormatPr defaultRowHeight="14.4" x14ac:dyDescent="0.3"/>
  <cols>
    <col min="1" max="1" width="23.5546875" bestFit="1" customWidth="1"/>
    <col min="2" max="6" width="10.664062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19</v>
      </c>
      <c r="C2">
        <v>23933</v>
      </c>
      <c r="D2">
        <v>24174</v>
      </c>
      <c r="E2">
        <v>17172</v>
      </c>
      <c r="F2">
        <v>14910</v>
      </c>
    </row>
    <row r="3" spans="1:6" x14ac:dyDescent="0.3">
      <c r="A3" t="s">
        <v>6</v>
      </c>
      <c r="B3" t="s">
        <v>20</v>
      </c>
      <c r="C3">
        <v>15412</v>
      </c>
      <c r="D3">
        <v>15707</v>
      </c>
      <c r="E3">
        <v>8474</v>
      </c>
      <c r="F3">
        <v>6524</v>
      </c>
    </row>
    <row r="4" spans="1:6" x14ac:dyDescent="0.3">
      <c r="A4" t="s">
        <v>9</v>
      </c>
      <c r="B4" t="s">
        <v>19</v>
      </c>
      <c r="C4">
        <v>11296</v>
      </c>
      <c r="D4">
        <v>12169</v>
      </c>
      <c r="E4">
        <v>14801</v>
      </c>
      <c r="F4">
        <v>13356</v>
      </c>
    </row>
    <row r="5" spans="1:6" x14ac:dyDescent="0.3">
      <c r="A5" t="s">
        <v>9</v>
      </c>
      <c r="B5" t="s">
        <v>20</v>
      </c>
      <c r="C5">
        <v>7898</v>
      </c>
      <c r="D5">
        <v>8752</v>
      </c>
      <c r="E5">
        <v>10730</v>
      </c>
      <c r="F5">
        <v>7764</v>
      </c>
    </row>
    <row r="6" spans="1:6" x14ac:dyDescent="0.3">
      <c r="A6" t="s">
        <v>10</v>
      </c>
      <c r="B6" t="s">
        <v>19</v>
      </c>
      <c r="C6">
        <v>5113</v>
      </c>
      <c r="D6">
        <v>9085</v>
      </c>
      <c r="E6">
        <v>13422</v>
      </c>
      <c r="F6">
        <v>15438</v>
      </c>
    </row>
    <row r="7" spans="1:6" x14ac:dyDescent="0.3">
      <c r="A7" t="s">
        <v>10</v>
      </c>
      <c r="B7" t="s">
        <v>20</v>
      </c>
      <c r="C7">
        <v>1011</v>
      </c>
      <c r="D7">
        <v>3831</v>
      </c>
      <c r="E7">
        <v>8488</v>
      </c>
      <c r="F7">
        <v>10373</v>
      </c>
    </row>
    <row r="8" spans="1:6" x14ac:dyDescent="0.3">
      <c r="A8" t="s">
        <v>11</v>
      </c>
      <c r="B8" t="s">
        <v>19</v>
      </c>
      <c r="C8">
        <v>20118</v>
      </c>
      <c r="D8">
        <v>19221</v>
      </c>
      <c r="E8">
        <v>19366</v>
      </c>
      <c r="F8">
        <v>3168</v>
      </c>
    </row>
    <row r="9" spans="1:6" x14ac:dyDescent="0.3">
      <c r="A9" t="s">
        <v>11</v>
      </c>
      <c r="B9" t="s">
        <v>20</v>
      </c>
      <c r="C9">
        <v>9432</v>
      </c>
      <c r="D9">
        <v>8945</v>
      </c>
      <c r="E9">
        <v>9606</v>
      </c>
      <c r="F9">
        <v>-6432</v>
      </c>
    </row>
    <row r="10" spans="1:6" x14ac:dyDescent="0.3">
      <c r="A10" t="s">
        <v>12</v>
      </c>
      <c r="B10" t="s">
        <v>19</v>
      </c>
      <c r="C10">
        <v>8042.9</v>
      </c>
      <c r="D10">
        <v>8660.5</v>
      </c>
      <c r="E10">
        <v>8567.7999999999993</v>
      </c>
      <c r="F10">
        <v>15227.6</v>
      </c>
    </row>
    <row r="11" spans="1:6" x14ac:dyDescent="0.3">
      <c r="A11" t="s">
        <v>12</v>
      </c>
      <c r="B11" t="s">
        <v>20</v>
      </c>
      <c r="C11">
        <v>6495.3</v>
      </c>
      <c r="D11">
        <v>7138</v>
      </c>
      <c r="E11">
        <v>7040.5</v>
      </c>
      <c r="F11">
        <v>13461</v>
      </c>
    </row>
    <row r="12" spans="1:6" x14ac:dyDescent="0.3">
      <c r="A12" t="s">
        <v>13</v>
      </c>
      <c r="B12" t="s">
        <v>19</v>
      </c>
      <c r="C12">
        <v>17899</v>
      </c>
      <c r="D12">
        <v>21315</v>
      </c>
      <c r="E12">
        <v>6907</v>
      </c>
      <c r="F12">
        <v>25706</v>
      </c>
    </row>
    <row r="13" spans="1:6" x14ac:dyDescent="0.3">
      <c r="A13" t="s">
        <v>13</v>
      </c>
      <c r="B13" t="s">
        <v>20</v>
      </c>
      <c r="C13">
        <v>14685</v>
      </c>
      <c r="D13">
        <v>17406</v>
      </c>
      <c r="E13">
        <v>3035</v>
      </c>
      <c r="F13">
        <v>21207</v>
      </c>
    </row>
    <row r="14" spans="1:6" x14ac:dyDescent="0.3">
      <c r="A14" t="s">
        <v>14</v>
      </c>
      <c r="B14" t="s">
        <v>19</v>
      </c>
      <c r="C14">
        <v>65394</v>
      </c>
      <c r="D14">
        <v>76802</v>
      </c>
      <c r="E14">
        <v>114629</v>
      </c>
      <c r="F14">
        <v>137376</v>
      </c>
    </row>
    <row r="15" spans="1:6" x14ac:dyDescent="0.3">
      <c r="A15" t="s">
        <v>14</v>
      </c>
      <c r="B15" t="s">
        <v>20</v>
      </c>
      <c r="C15">
        <v>59369</v>
      </c>
      <c r="D15">
        <v>69440</v>
      </c>
      <c r="E15">
        <v>105216</v>
      </c>
      <c r="F15">
        <v>128831</v>
      </c>
    </row>
    <row r="16" spans="1:6" x14ac:dyDescent="0.3">
      <c r="A16" t="s">
        <v>15</v>
      </c>
      <c r="B16" t="s">
        <v>19</v>
      </c>
      <c r="C16">
        <v>30793</v>
      </c>
      <c r="D16">
        <v>41031</v>
      </c>
      <c r="E16">
        <v>9557</v>
      </c>
      <c r="F16">
        <v>18127</v>
      </c>
    </row>
    <row r="17" spans="1:6" x14ac:dyDescent="0.3">
      <c r="A17" t="s">
        <v>15</v>
      </c>
      <c r="B17" t="s">
        <v>20</v>
      </c>
      <c r="C17">
        <v>25602</v>
      </c>
      <c r="D17">
        <v>35967</v>
      </c>
      <c r="E17">
        <v>3267</v>
      </c>
      <c r="F17">
        <v>11114</v>
      </c>
    </row>
    <row r="18" spans="1:6" x14ac:dyDescent="0.3">
      <c r="A18" t="s">
        <v>16</v>
      </c>
      <c r="B18" t="s">
        <v>19</v>
      </c>
      <c r="C18">
        <v>22260</v>
      </c>
      <c r="D18">
        <v>20861</v>
      </c>
      <c r="E18">
        <v>18540</v>
      </c>
      <c r="F18">
        <v>16619</v>
      </c>
    </row>
    <row r="19" spans="1:6" x14ac:dyDescent="0.3">
      <c r="A19" t="s">
        <v>16</v>
      </c>
      <c r="B19" t="s">
        <v>20</v>
      </c>
      <c r="C19">
        <v>17817</v>
      </c>
      <c r="D19">
        <v>17017</v>
      </c>
      <c r="E19">
        <v>15076</v>
      </c>
      <c r="F19">
        <v>13196</v>
      </c>
    </row>
    <row r="20" spans="1:6" x14ac:dyDescent="0.3">
      <c r="A20" t="s">
        <v>18</v>
      </c>
      <c r="B20" t="s">
        <v>19</v>
      </c>
      <c r="C20">
        <v>27073</v>
      </c>
      <c r="D20">
        <v>31835</v>
      </c>
      <c r="E20">
        <v>36330</v>
      </c>
      <c r="F20">
        <v>28076</v>
      </c>
    </row>
    <row r="21" spans="1:6" x14ac:dyDescent="0.3">
      <c r="A21" t="s">
        <v>18</v>
      </c>
      <c r="B21" t="s">
        <v>20</v>
      </c>
      <c r="C21">
        <v>23970</v>
      </c>
      <c r="D21">
        <v>28435</v>
      </c>
      <c r="E21">
        <v>32358</v>
      </c>
      <c r="F21">
        <v>23977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73D6F-200F-48B2-8011-043FD0BE6A32}">
  <dimension ref="A1:F12"/>
  <sheetViews>
    <sheetView workbookViewId="0">
      <selection activeCell="C20" sqref="C20"/>
    </sheetView>
  </sheetViews>
  <sheetFormatPr defaultRowHeight="14.4" x14ac:dyDescent="0.3"/>
  <cols>
    <col min="1" max="1" width="23.5546875" bestFit="1" customWidth="1"/>
    <col min="2" max="2" width="20.88671875" bestFit="1" customWidth="1"/>
    <col min="3" max="6" width="12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21</v>
      </c>
      <c r="C2">
        <v>1768.3376960000001</v>
      </c>
      <c r="D2">
        <v>1769.181294</v>
      </c>
      <c r="E2">
        <v>1765.9407329999999</v>
      </c>
      <c r="F2">
        <v>1765.2569860000001</v>
      </c>
    </row>
    <row r="3" spans="1:6" x14ac:dyDescent="0.3">
      <c r="A3" t="s">
        <v>9</v>
      </c>
      <c r="B3" t="s">
        <v>21</v>
      </c>
      <c r="C3">
        <v>558.29999999999995</v>
      </c>
      <c r="D3">
        <v>534</v>
      </c>
      <c r="E3">
        <v>535.4</v>
      </c>
      <c r="F3">
        <v>537</v>
      </c>
    </row>
    <row r="4" spans="1:6" x14ac:dyDescent="0.3">
      <c r="A4" t="s">
        <v>10</v>
      </c>
      <c r="B4" t="s">
        <v>21</v>
      </c>
      <c r="C4">
        <v>1549.4006649999999</v>
      </c>
      <c r="D4">
        <v>1549.8000300000001</v>
      </c>
      <c r="E4">
        <v>1550.162626</v>
      </c>
      <c r="F4">
        <v>1550.103897</v>
      </c>
    </row>
    <row r="5" spans="1:6" x14ac:dyDescent="0.3">
      <c r="A5" t="s">
        <v>11</v>
      </c>
      <c r="B5" t="s">
        <v>21</v>
      </c>
      <c r="C5">
        <v>2153</v>
      </c>
      <c r="D5">
        <v>2075</v>
      </c>
      <c r="E5">
        <v>2021</v>
      </c>
      <c r="F5">
        <v>2029</v>
      </c>
    </row>
    <row r="6" spans="1:6" x14ac:dyDescent="0.3">
      <c r="A6" t="s">
        <v>12</v>
      </c>
      <c r="B6" t="s">
        <v>21</v>
      </c>
      <c r="C6">
        <v>953.65300000000002</v>
      </c>
      <c r="D6">
        <v>950.18200000000002</v>
      </c>
      <c r="E6">
        <v>899.37900000000002</v>
      </c>
      <c r="F6">
        <v>897.53800000000001</v>
      </c>
    </row>
    <row r="7" spans="1:6" x14ac:dyDescent="0.3">
      <c r="A7" t="s">
        <v>13</v>
      </c>
      <c r="B7" t="s">
        <v>21</v>
      </c>
      <c r="C7">
        <v>2527.604499</v>
      </c>
      <c r="D7">
        <v>2537.8338840000001</v>
      </c>
      <c r="E7">
        <v>2531.6332729999999</v>
      </c>
      <c r="F7">
        <v>2527.6373349999999</v>
      </c>
    </row>
    <row r="8" spans="1:6" x14ac:dyDescent="0.3">
      <c r="A8" t="s">
        <v>14</v>
      </c>
      <c r="B8" t="s">
        <v>21</v>
      </c>
      <c r="C8">
        <v>4620</v>
      </c>
      <c r="D8">
        <v>4499.8</v>
      </c>
      <c r="E8">
        <v>4458.2879460000004</v>
      </c>
      <c r="F8">
        <v>4441.3404680000003</v>
      </c>
    </row>
    <row r="9" spans="1:6" x14ac:dyDescent="0.3">
      <c r="A9" t="s">
        <v>15</v>
      </c>
      <c r="B9" t="s">
        <v>21</v>
      </c>
      <c r="C9">
        <v>5620</v>
      </c>
      <c r="D9">
        <v>5616</v>
      </c>
      <c r="E9">
        <v>5646</v>
      </c>
      <c r="F9">
        <v>5666.9900349999998</v>
      </c>
    </row>
    <row r="10" spans="1:6" x14ac:dyDescent="0.3">
      <c r="A10" t="s">
        <v>16</v>
      </c>
      <c r="B10" t="s">
        <v>21</v>
      </c>
      <c r="C10">
        <v>800.40329099999997</v>
      </c>
      <c r="D10">
        <v>799.18067099999996</v>
      </c>
      <c r="E10">
        <v>797.24194499999999</v>
      </c>
      <c r="F10">
        <v>795.40069500000004</v>
      </c>
    </row>
    <row r="11" spans="1:6" x14ac:dyDescent="0.3">
      <c r="A11" t="s">
        <v>17</v>
      </c>
      <c r="B11" t="s">
        <v>21</v>
      </c>
      <c r="C11">
        <v>17063.049362000002</v>
      </c>
      <c r="D11">
        <v>16794.401583999999</v>
      </c>
      <c r="E11">
        <v>15886.330386</v>
      </c>
      <c r="F11">
        <v>15136.962863000001</v>
      </c>
    </row>
    <row r="12" spans="1:6" x14ac:dyDescent="0.3">
      <c r="A12" t="s">
        <v>18</v>
      </c>
      <c r="B12" t="s">
        <v>21</v>
      </c>
      <c r="C12">
        <v>941</v>
      </c>
      <c r="D12">
        <v>934</v>
      </c>
      <c r="E12">
        <v>924</v>
      </c>
      <c r="F12">
        <v>915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0B5C7-4A86-4B76-A1F6-CC81D0ADBD8B}">
  <dimension ref="A1:L18"/>
  <sheetViews>
    <sheetView workbookViewId="0">
      <selection activeCell="B18" sqref="B18"/>
    </sheetView>
  </sheetViews>
  <sheetFormatPr defaultRowHeight="14.4" x14ac:dyDescent="0.3"/>
  <cols>
    <col min="1" max="1" width="23.5546875" bestFit="1" customWidth="1"/>
    <col min="2" max="2" width="14.5546875" bestFit="1" customWidth="1"/>
    <col min="3" max="3" width="32.6640625" customWidth="1"/>
    <col min="4" max="4" width="22.109375" customWidth="1"/>
    <col min="5" max="5" width="27" customWidth="1"/>
    <col min="7" max="7" width="16" customWidth="1"/>
    <col min="9" max="9" width="12.44140625" customWidth="1"/>
  </cols>
  <sheetData>
    <row r="1" spans="1:12" s="3" customFormat="1" x14ac:dyDescent="0.3">
      <c r="A1" s="3" t="s">
        <v>22</v>
      </c>
      <c r="B1" s="3" t="s">
        <v>23</v>
      </c>
      <c r="C1" s="3" t="s">
        <v>24</v>
      </c>
      <c r="D1" s="3" t="s">
        <v>25</v>
      </c>
      <c r="E1" s="3" t="s">
        <v>26</v>
      </c>
      <c r="F1" s="3" t="s">
        <v>27</v>
      </c>
      <c r="G1" s="3" t="s">
        <v>28</v>
      </c>
      <c r="H1" s="3" t="s">
        <v>19</v>
      </c>
      <c r="I1" s="3" t="s">
        <v>29</v>
      </c>
      <c r="J1" s="3" t="s">
        <v>30</v>
      </c>
    </row>
    <row r="2" spans="1:12" x14ac:dyDescent="0.3">
      <c r="A2" t="s">
        <v>31</v>
      </c>
      <c r="B2">
        <v>228.5</v>
      </c>
      <c r="C2" s="1">
        <f>Data__3[[#This Row],[Column5]]/1000</f>
        <v>1.765256986</v>
      </c>
      <c r="D2" s="1">
        <f>B2*C2</f>
        <v>403.361221301</v>
      </c>
      <c r="E2">
        <f>Data[[#This Row],[Column5]]/1000</f>
        <v>67.144000000000005</v>
      </c>
      <c r="F2">
        <f>'Data (1)'!F3/1000</f>
        <v>5.524</v>
      </c>
      <c r="G2" s="1">
        <f>D2+E2-F2</f>
        <v>464.98122130100001</v>
      </c>
      <c r="H2" s="1">
        <f>Data__2[[#This Row],[Column5]]/1000</f>
        <v>14.91</v>
      </c>
      <c r="I2" s="1">
        <f>G2/H2</f>
        <v>31.185863266331321</v>
      </c>
      <c r="J2">
        <f t="shared" ref="J2:J11" si="0">D2/$D$13</f>
        <v>0.1988708487814336</v>
      </c>
      <c r="K2" s="1">
        <f>AVERAGE(I2:I4,I6:I11)</f>
        <v>19.895365341450944</v>
      </c>
      <c r="L2">
        <f t="shared" ref="L2:L11" si="1">J2*I2</f>
        <v>6.2019590977570411</v>
      </c>
    </row>
    <row r="3" spans="1:12" x14ac:dyDescent="0.3">
      <c r="A3" t="s">
        <v>32</v>
      </c>
      <c r="B3">
        <v>327.3</v>
      </c>
      <c r="C3" s="1">
        <f>Data__3[[#This Row],[Column5]]/1000</f>
        <v>0.53700000000000003</v>
      </c>
      <c r="D3" s="1">
        <f t="shared" ref="D3:D11" si="2">B3*C3</f>
        <v>175.76010000000002</v>
      </c>
      <c r="E3">
        <f>'Data (1)'!F4/1000</f>
        <v>60.098999999999997</v>
      </c>
      <c r="F3">
        <f>'Data (1)'!F5/1000</f>
        <v>11.973000000000001</v>
      </c>
      <c r="G3" s="1">
        <f t="shared" ref="G3:G11" si="3">D3+E3-F3</f>
        <v>223.8861</v>
      </c>
      <c r="H3" s="1">
        <f>'Data (2)'!F4/1000</f>
        <v>13.356</v>
      </c>
      <c r="I3" s="1">
        <f t="shared" ref="I3:I11" si="4">G3/H3</f>
        <v>16.762960467205751</v>
      </c>
      <c r="J3">
        <f t="shared" si="0"/>
        <v>8.6655727975462157E-2</v>
      </c>
      <c r="L3">
        <f t="shared" si="1"/>
        <v>1.4526065423096075</v>
      </c>
    </row>
    <row r="4" spans="1:12" x14ac:dyDescent="0.3">
      <c r="A4" t="s">
        <v>33</v>
      </c>
      <c r="B4">
        <v>92.51</v>
      </c>
      <c r="C4" s="1">
        <f>Data__3[[#This Row],[Column5]]/1000</f>
        <v>1.5501038970000001</v>
      </c>
      <c r="D4" s="1">
        <f t="shared" si="2"/>
        <v>143.40011151147002</v>
      </c>
      <c r="E4">
        <f>'Data (1)'!F6/1000</f>
        <v>30.114000000000001</v>
      </c>
      <c r="F4">
        <f>'Data (1)'!F7/1000</f>
        <v>5.4880000000000004</v>
      </c>
      <c r="G4" s="1">
        <f t="shared" si="3"/>
        <v>168.02611151147002</v>
      </c>
      <c r="H4" s="1">
        <f>'Data (2)'!F6/1000</f>
        <v>15.438000000000001</v>
      </c>
      <c r="I4" s="1">
        <f t="shared" si="4"/>
        <v>10.88393001110701</v>
      </c>
      <c r="J4">
        <f t="shared" si="0"/>
        <v>7.0701149207293826E-2</v>
      </c>
      <c r="L4">
        <f t="shared" si="1"/>
        <v>0.76950635967701986</v>
      </c>
    </row>
    <row r="5" spans="1:12" x14ac:dyDescent="0.3">
      <c r="A5" t="s">
        <v>34</v>
      </c>
      <c r="B5">
        <v>53.95</v>
      </c>
      <c r="C5" s="1">
        <f>Data__3[[#This Row],[Column5]]/1000</f>
        <v>2.0289999999999999</v>
      </c>
      <c r="D5" s="1">
        <f t="shared" si="2"/>
        <v>109.46455</v>
      </c>
      <c r="E5">
        <f>'Data (1)'!F8/1000</f>
        <v>51.2</v>
      </c>
      <c r="F5">
        <f>'Data (1)'!F9/1000</f>
        <v>10.346</v>
      </c>
      <c r="G5" s="1">
        <f t="shared" si="3"/>
        <v>150.31855000000002</v>
      </c>
      <c r="H5" s="1">
        <f>'Data (2)'!F8/1000</f>
        <v>3.1680000000000001</v>
      </c>
      <c r="I5" s="1">
        <f t="shared" si="4"/>
        <v>47.449037247474749</v>
      </c>
      <c r="J5">
        <f t="shared" si="0"/>
        <v>5.3969759164658966E-2</v>
      </c>
      <c r="L5">
        <f t="shared" si="1"/>
        <v>2.5608131128411449</v>
      </c>
    </row>
    <row r="6" spans="1:12" x14ac:dyDescent="0.3">
      <c r="A6" t="s">
        <v>35</v>
      </c>
      <c r="B6">
        <v>1075</v>
      </c>
      <c r="C6" s="1">
        <f>Data__3[[#This Row],[Column5]]/1000</f>
        <v>0.89753800000000006</v>
      </c>
      <c r="D6" s="1">
        <f t="shared" si="2"/>
        <v>964.85335000000009</v>
      </c>
      <c r="E6">
        <f>'Data (1)'!F10/1000</f>
        <v>33.644199999999998</v>
      </c>
      <c r="F6">
        <f>'Data (1)'!F11/1000</f>
        <v>3.2684000000000002</v>
      </c>
      <c r="G6" s="1">
        <f t="shared" si="3"/>
        <v>995.22915</v>
      </c>
      <c r="H6" s="1">
        <f>'Data (2)'!F10/1000</f>
        <v>15.227600000000001</v>
      </c>
      <c r="I6" s="1">
        <f t="shared" si="4"/>
        <v>65.356927552601846</v>
      </c>
      <c r="J6">
        <f t="shared" si="0"/>
        <v>0.47570563190288001</v>
      </c>
      <c r="L6">
        <f t="shared" si="1"/>
        <v>31.09065852064121</v>
      </c>
    </row>
    <row r="7" spans="1:12" x14ac:dyDescent="0.3">
      <c r="A7" t="s">
        <v>36</v>
      </c>
      <c r="B7">
        <v>105.26</v>
      </c>
      <c r="C7" s="1">
        <f>Data__3[[#This Row],[Column5]]/1000</f>
        <v>2.5276373350000001</v>
      </c>
      <c r="D7" s="1">
        <f t="shared" si="2"/>
        <v>266.05910588210003</v>
      </c>
      <c r="E7">
        <f>'Data (1)'!F12/1000</f>
        <v>37.110999999999997</v>
      </c>
      <c r="F7">
        <f>'Data (1)'!F13/1000</f>
        <v>13.242000000000001</v>
      </c>
      <c r="G7" s="1">
        <f t="shared" si="3"/>
        <v>289.9281058821</v>
      </c>
      <c r="H7" s="1">
        <f>'Data (2)'!F12/1000</f>
        <v>25.706</v>
      </c>
      <c r="I7" s="1">
        <f t="shared" si="4"/>
        <v>11.278616116163542</v>
      </c>
      <c r="J7">
        <f t="shared" si="0"/>
        <v>0.13117621977180227</v>
      </c>
      <c r="L7">
        <f t="shared" si="1"/>
        <v>1.4794862263756599</v>
      </c>
    </row>
    <row r="8" spans="1:12" x14ac:dyDescent="0.3">
      <c r="A8" t="s">
        <v>37</v>
      </c>
      <c r="B8">
        <v>50.88</v>
      </c>
      <c r="C8" s="1">
        <f>Data__3[[#This Row],[Column5]]/1000</f>
        <v>4.4413404679999999</v>
      </c>
      <c r="D8" s="1">
        <f t="shared" si="2"/>
        <v>225.97540301184</v>
      </c>
      <c r="E8">
        <f>'Data (1)'!F14/1000</f>
        <v>102.78700000000001</v>
      </c>
      <c r="F8">
        <f>'Data (1)'!F15/1000</f>
        <v>15.654999999999999</v>
      </c>
      <c r="G8" s="1">
        <f t="shared" si="3"/>
        <v>313.10740301184001</v>
      </c>
      <c r="H8" s="1">
        <f>'Data (2)'!F14/1000</f>
        <v>137.376</v>
      </c>
      <c r="I8" s="1">
        <f t="shared" si="4"/>
        <v>2.2792001733333334</v>
      </c>
      <c r="J8">
        <f t="shared" si="0"/>
        <v>0.11141358620380529</v>
      </c>
      <c r="L8">
        <f t="shared" si="1"/>
        <v>0.25393386498740128</v>
      </c>
    </row>
    <row r="9" spans="1:12" x14ac:dyDescent="0.3">
      <c r="A9" t="s">
        <v>38</v>
      </c>
      <c r="B9">
        <v>24.9</v>
      </c>
      <c r="C9" s="1">
        <f>Data__3[[#This Row],[Column5]]/1000</f>
        <v>5.6669900349999995</v>
      </c>
      <c r="D9" s="1">
        <f t="shared" si="2"/>
        <v>141.10805187149998</v>
      </c>
      <c r="E9">
        <f>'Data (1)'!F16/1000</f>
        <v>63.649000000000001</v>
      </c>
      <c r="F9">
        <f>'Data (1)'!F17/1000</f>
        <v>1.0429999999999999</v>
      </c>
      <c r="G9" s="1">
        <f t="shared" si="3"/>
        <v>203.71405187149998</v>
      </c>
      <c r="H9" s="1">
        <f>'Data (2)'!F16/1000</f>
        <v>18.126999999999999</v>
      </c>
      <c r="I9" s="1">
        <f t="shared" si="4"/>
        <v>11.238155892949743</v>
      </c>
      <c r="J9">
        <f t="shared" si="0"/>
        <v>6.9571085577011541E-2</v>
      </c>
      <c r="L9">
        <f t="shared" si="1"/>
        <v>0.78185070535620316</v>
      </c>
    </row>
    <row r="10" spans="1:12" x14ac:dyDescent="0.3">
      <c r="A10" t="s">
        <v>39</v>
      </c>
      <c r="B10">
        <v>328.2</v>
      </c>
      <c r="C10" s="1">
        <f>Data__3[[#This Row],[Column5]]/1000</f>
        <v>0.79540069499999999</v>
      </c>
      <c r="D10" s="1">
        <f t="shared" si="2"/>
        <v>261.05050809900001</v>
      </c>
      <c r="E10">
        <f>'Data (1)'!F18/1000</f>
        <v>36.353999999999999</v>
      </c>
      <c r="F10">
        <f>'Data (1)'!F19/1000</f>
        <v>6.9749999999999996</v>
      </c>
      <c r="G10" s="1">
        <f t="shared" si="3"/>
        <v>290.42950809899997</v>
      </c>
      <c r="H10" s="1">
        <f>'Data (2)'!F18/1000</f>
        <v>16.619</v>
      </c>
      <c r="I10" s="1">
        <f t="shared" si="4"/>
        <v>17.475751134183763</v>
      </c>
      <c r="J10">
        <f t="shared" si="0"/>
        <v>0.12870681012176896</v>
      </c>
      <c r="L10">
        <f t="shared" si="1"/>
        <v>2.249248182962678</v>
      </c>
    </row>
    <row r="11" spans="1:12" x14ac:dyDescent="0.3">
      <c r="A11" t="s">
        <v>40</v>
      </c>
      <c r="B11">
        <v>330.14</v>
      </c>
      <c r="C11" s="1">
        <f>'Data (3)'!F12/1000</f>
        <v>0.91500000000000004</v>
      </c>
      <c r="D11" s="1">
        <f t="shared" si="2"/>
        <v>302.07810000000001</v>
      </c>
      <c r="E11">
        <f>'Data (1)'!F22/1000</f>
        <v>76.903999999999996</v>
      </c>
      <c r="F11">
        <f>'Data (1)'!F23/1000</f>
        <v>25.312000000000001</v>
      </c>
      <c r="G11" s="1">
        <f t="shared" si="3"/>
        <v>353.67009999999999</v>
      </c>
      <c r="H11" s="1">
        <f>'Data (2)'!F20/1000</f>
        <v>28.076000000000001</v>
      </c>
      <c r="I11" s="1">
        <f t="shared" si="4"/>
        <v>12.596883459182219</v>
      </c>
      <c r="J11">
        <f t="shared" si="0"/>
        <v>0.14893481319676338</v>
      </c>
      <c r="L11">
        <f t="shared" si="1"/>
        <v>1.8761144848547024</v>
      </c>
    </row>
    <row r="12" spans="1:12" x14ac:dyDescent="0.3">
      <c r="A12" t="s">
        <v>41</v>
      </c>
      <c r="C12">
        <v>2.407</v>
      </c>
      <c r="E12">
        <v>36.634</v>
      </c>
      <c r="F12">
        <v>24.105</v>
      </c>
      <c r="H12">
        <f>24781/1000</f>
        <v>24.780999999999999</v>
      </c>
      <c r="L12">
        <f>SUM(L2:L5,L7:L11)</f>
        <v>17.625518577121458</v>
      </c>
    </row>
    <row r="13" spans="1:12" x14ac:dyDescent="0.3">
      <c r="B13" t="s">
        <v>42</v>
      </c>
      <c r="C13" t="s">
        <v>43</v>
      </c>
      <c r="D13" s="1">
        <f>SUM(D2:D5,D7:D11)</f>
        <v>2028.2571516769101</v>
      </c>
    </row>
    <row r="14" spans="1:12" x14ac:dyDescent="0.3">
      <c r="A14" t="s">
        <v>44</v>
      </c>
      <c r="B14" s="1">
        <f>AVERAGE(I2:I11)</f>
        <v>22.650732532053325</v>
      </c>
      <c r="C14">
        <f>L12</f>
        <v>17.625518577121458</v>
      </c>
    </row>
    <row r="16" spans="1:12" x14ac:dyDescent="0.3">
      <c r="A16" t="s">
        <v>28</v>
      </c>
      <c r="B16" s="2">
        <f>K2*H12</f>
        <v>493.02704852649583</v>
      </c>
      <c r="C16">
        <f>C14*H12</f>
        <v>436.7779758596468</v>
      </c>
    </row>
    <row r="17" spans="1:3" x14ac:dyDescent="0.3">
      <c r="A17" t="s">
        <v>45</v>
      </c>
      <c r="B17" s="2">
        <f>B16+E12-F12</f>
        <v>505.55604852649583</v>
      </c>
      <c r="C17">
        <f>C16+E12-F12</f>
        <v>449.3069758596468</v>
      </c>
    </row>
    <row r="18" spans="1:3" x14ac:dyDescent="0.3">
      <c r="A18" t="s">
        <v>46</v>
      </c>
      <c r="B18" s="2">
        <f>B17/C12</f>
        <v>210.03574928396171</v>
      </c>
      <c r="C18">
        <f>C17/C12</f>
        <v>186.66679512241245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7045D81-98D6-449F-AA5B-0A664AE392A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 (1)</vt:lpstr>
      <vt:lpstr>Data (2)</vt:lpstr>
      <vt:lpstr>Data (3)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MANAS  JALAN</dc:creator>
  <cp:keywords/>
  <dc:description/>
  <cp:lastModifiedBy>Suyash Sinha</cp:lastModifiedBy>
  <cp:revision/>
  <dcterms:created xsi:type="dcterms:W3CDTF">2026-01-01T18:08:18Z</dcterms:created>
  <dcterms:modified xsi:type="dcterms:W3CDTF">2026-01-06T13:00:07Z</dcterms:modified>
  <cp:category/>
  <cp:contentStatus/>
</cp:coreProperties>
</file>